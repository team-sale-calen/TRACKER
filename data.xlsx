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cos/REPORT FB&amp;STORE/"/>
    </mc:Choice>
  </mc:AlternateContent>
  <xr:revisionPtr revIDLastSave="0" documentId="13_ncr:1_{7879567C-AA74-AF49-8E29-1DC5907FDCF9}" xr6:coauthVersionLast="47" xr6:coauthVersionMax="47" xr10:uidLastSave="{00000000-0000-0000-0000-000000000000}"/>
  <bookViews>
    <workbookView xWindow="80" yWindow="660" windowWidth="29320" windowHeight="18460" tabRatio="500" activeTab="1" xr2:uid="{00000000-000D-0000-FFFF-FFFF00000000}"/>
  </bookViews>
  <sheets>
    <sheet name="📖 ĐỊNH NGHĨA CHỈ SỐ" sheetId="1" r:id="rId1"/>
    <sheet name="📊 MASTER" sheetId="2" r:id="rId2"/>
    <sheet name="📅 DAILY T9-25" sheetId="3" r:id="rId3"/>
    <sheet name="📅 DAILY T10-25" sheetId="4" r:id="rId4"/>
    <sheet name="📅 DAILY T11-25" sheetId="5" r:id="rId5"/>
    <sheet name="📅 DAILY T12-25" sheetId="6" r:id="rId6"/>
    <sheet name="📅 DAILY T1-26" sheetId="7" r:id="rId7"/>
    <sheet name="📅 DAILY T2-26" sheetId="8" r:id="rId8"/>
    <sheet name="📅 DAILY T3-26" sheetId="9" r:id="rId9"/>
    <sheet name="📅 DAILY T4-26" sheetId="10" r:id="rId10"/>
    <sheet name="📅 DAILY T5-26" sheetId="11" r:id="rId11"/>
    <sheet name="📅 DAILY T6" sheetId="12" r:id="rId12"/>
    <sheet name="📊 TUẦN T6" sheetId="13" r:id="rId13"/>
    <sheet name="📅 DAILY T7" sheetId="14" r:id="rId14"/>
    <sheet name="📊 TUẦN T7" sheetId="15" r:id="rId15"/>
    <sheet name="📅 DAILY T8" sheetId="16" r:id="rId16"/>
    <sheet name="📊 TUẦN T8" sheetId="17" r:id="rId17"/>
    <sheet name="📅 DAILY T9" sheetId="18" r:id="rId18"/>
    <sheet name="📊 TUẦN T9" sheetId="19" r:id="rId19"/>
    <sheet name="📅 DAILY T10" sheetId="20" r:id="rId20"/>
    <sheet name="📊 TUẦN T10" sheetId="21" r:id="rId21"/>
    <sheet name="📅 DAILY T11" sheetId="22" r:id="rId22"/>
    <sheet name="📊 TUẦN T11" sheetId="23" r:id="rId23"/>
    <sheet name="📅 DAILY T12" sheetId="24" r:id="rId24"/>
    <sheet name="📊 TUẦN T12" sheetId="25" r:id="rId25"/>
    <sheet name="📖 HƯỚNG DẪN" sheetId="26" r:id="rId26"/>
    <sheet name="HÀNH VI SP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5" l="1"/>
  <c r="L8" i="25" s="1"/>
  <c r="H8" i="25"/>
  <c r="I8" i="25" s="1"/>
  <c r="F8" i="25"/>
  <c r="G8" i="25" s="1"/>
  <c r="C8" i="25"/>
  <c r="H7" i="25"/>
  <c r="I7" i="25" s="1"/>
  <c r="F7" i="25"/>
  <c r="G7" i="25" s="1"/>
  <c r="C7" i="25"/>
  <c r="H6" i="25"/>
  <c r="I6" i="25" s="1"/>
  <c r="F6" i="25"/>
  <c r="G6" i="25" s="1"/>
  <c r="C6" i="25"/>
  <c r="H5" i="25"/>
  <c r="I5" i="25" s="1"/>
  <c r="G5" i="25"/>
  <c r="F5" i="25"/>
  <c r="C5" i="25"/>
  <c r="H4" i="25"/>
  <c r="I4" i="25" s="1"/>
  <c r="F4" i="25"/>
  <c r="G4" i="25" s="1"/>
  <c r="C4" i="25"/>
  <c r="Q36" i="24"/>
  <c r="P36" i="24"/>
  <c r="O36" i="24"/>
  <c r="M36" i="24"/>
  <c r="N36" i="24" s="1"/>
  <c r="Q35" i="24"/>
  <c r="P35" i="24"/>
  <c r="O35" i="24"/>
  <c r="M35" i="24"/>
  <c r="N35" i="24" s="1"/>
  <c r="Q34" i="24"/>
  <c r="P34" i="24"/>
  <c r="O34" i="24"/>
  <c r="M34" i="24"/>
  <c r="N34" i="24" s="1"/>
  <c r="Q33" i="24"/>
  <c r="P33" i="24"/>
  <c r="O33" i="24"/>
  <c r="M33" i="24"/>
  <c r="N33" i="24" s="1"/>
  <c r="Q32" i="24"/>
  <c r="P32" i="24"/>
  <c r="O32" i="24"/>
  <c r="M32" i="24"/>
  <c r="N32" i="24" s="1"/>
  <c r="Q31" i="24"/>
  <c r="P31" i="24"/>
  <c r="O31" i="24"/>
  <c r="M31" i="24"/>
  <c r="N31" i="24" s="1"/>
  <c r="Q30" i="24"/>
  <c r="P30" i="24"/>
  <c r="O30" i="24"/>
  <c r="M30" i="24"/>
  <c r="N30" i="24" s="1"/>
  <c r="Q29" i="24"/>
  <c r="P29" i="24"/>
  <c r="O29" i="24"/>
  <c r="M29" i="24"/>
  <c r="N29" i="24" s="1"/>
  <c r="Q28" i="24"/>
  <c r="P28" i="24"/>
  <c r="O28" i="24"/>
  <c r="M28" i="24"/>
  <c r="N28" i="24" s="1"/>
  <c r="Q27" i="24"/>
  <c r="P27" i="24"/>
  <c r="O27" i="24"/>
  <c r="M27" i="24"/>
  <c r="N27" i="24" s="1"/>
  <c r="Q26" i="24"/>
  <c r="P26" i="24"/>
  <c r="O26" i="24"/>
  <c r="M26" i="24"/>
  <c r="Q25" i="24"/>
  <c r="P25" i="24"/>
  <c r="O25" i="24"/>
  <c r="M25" i="24"/>
  <c r="N25" i="24" s="1"/>
  <c r="Q24" i="24"/>
  <c r="P24" i="24"/>
  <c r="O24" i="24"/>
  <c r="M24" i="24"/>
  <c r="N24" i="24" s="1"/>
  <c r="Q23" i="24"/>
  <c r="P23" i="24"/>
  <c r="O23" i="24"/>
  <c r="M23" i="24"/>
  <c r="N23" i="24" s="1"/>
  <c r="Q22" i="24"/>
  <c r="P22" i="24"/>
  <c r="O22" i="24"/>
  <c r="N22" i="24"/>
  <c r="M22" i="24"/>
  <c r="Q21" i="24"/>
  <c r="P21" i="24"/>
  <c r="O21" i="24"/>
  <c r="M21" i="24"/>
  <c r="N21" i="24" s="1"/>
  <c r="Q20" i="24"/>
  <c r="P20" i="24"/>
  <c r="O20" i="24"/>
  <c r="M20" i="24"/>
  <c r="N20" i="24" s="1"/>
  <c r="Q19" i="24"/>
  <c r="P19" i="24"/>
  <c r="O19" i="24"/>
  <c r="M19" i="24"/>
  <c r="Q18" i="24"/>
  <c r="P18" i="24"/>
  <c r="O18" i="24"/>
  <c r="M18" i="24"/>
  <c r="N18" i="24" s="1"/>
  <c r="Q17" i="24"/>
  <c r="P17" i="24"/>
  <c r="O17" i="24"/>
  <c r="N17" i="24"/>
  <c r="M17" i="24"/>
  <c r="Q16" i="24"/>
  <c r="P16" i="24"/>
  <c r="O16" i="24"/>
  <c r="M16" i="24"/>
  <c r="N16" i="24" s="1"/>
  <c r="Q15" i="24"/>
  <c r="P15" i="24"/>
  <c r="O15" i="24"/>
  <c r="M15" i="24"/>
  <c r="N15" i="24" s="1"/>
  <c r="Q14" i="24"/>
  <c r="P14" i="24"/>
  <c r="O14" i="24"/>
  <c r="M14" i="24"/>
  <c r="N14" i="24" s="1"/>
  <c r="Q13" i="24"/>
  <c r="P13" i="24"/>
  <c r="O13" i="24"/>
  <c r="M13" i="24"/>
  <c r="N13" i="24" s="1"/>
  <c r="Q12" i="24"/>
  <c r="P12" i="24"/>
  <c r="O12" i="24"/>
  <c r="M12" i="24"/>
  <c r="Q11" i="24"/>
  <c r="P11" i="24"/>
  <c r="O11" i="24"/>
  <c r="M11" i="24"/>
  <c r="N11" i="24" s="1"/>
  <c r="Q10" i="24"/>
  <c r="P10" i="24"/>
  <c r="O10" i="24"/>
  <c r="M10" i="24"/>
  <c r="N10" i="24" s="1"/>
  <c r="Q9" i="24"/>
  <c r="P9" i="24"/>
  <c r="O9" i="24"/>
  <c r="M9" i="24"/>
  <c r="N9" i="24" s="1"/>
  <c r="Q8" i="24"/>
  <c r="P8" i="24"/>
  <c r="O8" i="24"/>
  <c r="M8" i="24"/>
  <c r="N8" i="24" s="1"/>
  <c r="Q7" i="24"/>
  <c r="P7" i="24"/>
  <c r="O7" i="24"/>
  <c r="M7" i="24"/>
  <c r="N7" i="24" s="1"/>
  <c r="Q6" i="24"/>
  <c r="P6" i="24"/>
  <c r="O6" i="24"/>
  <c r="M6" i="24"/>
  <c r="H9" i="23"/>
  <c r="I9" i="23" s="1"/>
  <c r="F9" i="23"/>
  <c r="G9" i="23" s="1"/>
  <c r="C9" i="23"/>
  <c r="H8" i="23"/>
  <c r="I8" i="23" s="1"/>
  <c r="F8" i="23"/>
  <c r="G8" i="23" s="1"/>
  <c r="C8" i="23"/>
  <c r="J7" i="23"/>
  <c r="L7" i="23" s="1"/>
  <c r="H7" i="23"/>
  <c r="I7" i="23" s="1"/>
  <c r="F7" i="23"/>
  <c r="G7" i="23" s="1"/>
  <c r="C7" i="23"/>
  <c r="J6" i="23"/>
  <c r="L6" i="23" s="1"/>
  <c r="H6" i="23"/>
  <c r="I6" i="23" s="1"/>
  <c r="F6" i="23"/>
  <c r="G6" i="23" s="1"/>
  <c r="C6" i="23"/>
  <c r="J5" i="23"/>
  <c r="L5" i="23" s="1"/>
  <c r="H5" i="23"/>
  <c r="I5" i="23" s="1"/>
  <c r="F5" i="23"/>
  <c r="G5" i="23" s="1"/>
  <c r="C5" i="23"/>
  <c r="J4" i="23"/>
  <c r="L4" i="23" s="1"/>
  <c r="H4" i="23"/>
  <c r="I4" i="23" s="1"/>
  <c r="F4" i="23"/>
  <c r="G4" i="23" s="1"/>
  <c r="C4" i="23"/>
  <c r="Q35" i="22"/>
  <c r="P35" i="22"/>
  <c r="O35" i="22"/>
  <c r="M35" i="22"/>
  <c r="Q34" i="22"/>
  <c r="P34" i="22"/>
  <c r="O34" i="22"/>
  <c r="M34" i="22"/>
  <c r="N34" i="22" s="1"/>
  <c r="Q33" i="22"/>
  <c r="P33" i="22"/>
  <c r="O33" i="22"/>
  <c r="M33" i="22"/>
  <c r="Q32" i="22"/>
  <c r="P32" i="22"/>
  <c r="O32" i="22"/>
  <c r="M32" i="22"/>
  <c r="N32" i="22" s="1"/>
  <c r="Q31" i="22"/>
  <c r="P31" i="22"/>
  <c r="O31" i="22"/>
  <c r="M31" i="22"/>
  <c r="N31" i="22" s="1"/>
  <c r="Q30" i="22"/>
  <c r="P30" i="22"/>
  <c r="O30" i="22"/>
  <c r="M30" i="22"/>
  <c r="N30" i="22" s="1"/>
  <c r="Q29" i="22"/>
  <c r="P29" i="22"/>
  <c r="O29" i="22"/>
  <c r="M29" i="22"/>
  <c r="N29" i="22" s="1"/>
  <c r="Q28" i="22"/>
  <c r="P28" i="22"/>
  <c r="O28" i="22"/>
  <c r="M28" i="22"/>
  <c r="N28" i="22" s="1"/>
  <c r="Q27" i="22"/>
  <c r="P27" i="22"/>
  <c r="O27" i="22"/>
  <c r="M27" i="22"/>
  <c r="N27" i="22" s="1"/>
  <c r="Q26" i="22"/>
  <c r="P26" i="22"/>
  <c r="O26" i="22"/>
  <c r="M26" i="22"/>
  <c r="N26" i="22" s="1"/>
  <c r="Q25" i="22"/>
  <c r="P25" i="22"/>
  <c r="O25" i="22"/>
  <c r="M25" i="22"/>
  <c r="N25" i="22" s="1"/>
  <c r="Q24" i="22"/>
  <c r="P24" i="22"/>
  <c r="O24" i="22"/>
  <c r="M24" i="22"/>
  <c r="N24" i="22" s="1"/>
  <c r="Q23" i="22"/>
  <c r="P23" i="22"/>
  <c r="O23" i="22"/>
  <c r="M23" i="22"/>
  <c r="N23" i="22" s="1"/>
  <c r="Q22" i="22"/>
  <c r="P22" i="22"/>
  <c r="O22" i="22"/>
  <c r="M22" i="22"/>
  <c r="N22" i="22" s="1"/>
  <c r="Q21" i="22"/>
  <c r="P21" i="22"/>
  <c r="O21" i="22"/>
  <c r="M21" i="22"/>
  <c r="N21" i="22" s="1"/>
  <c r="Q20" i="22"/>
  <c r="P20" i="22"/>
  <c r="O20" i="22"/>
  <c r="M20" i="22"/>
  <c r="N20" i="22" s="1"/>
  <c r="Q19" i="22"/>
  <c r="P19" i="22"/>
  <c r="O19" i="22"/>
  <c r="M19" i="22"/>
  <c r="N19" i="22" s="1"/>
  <c r="Q18" i="22"/>
  <c r="P18" i="22"/>
  <c r="O18" i="22"/>
  <c r="M18" i="22"/>
  <c r="N18" i="22" s="1"/>
  <c r="Q17" i="22"/>
  <c r="P17" i="22"/>
  <c r="O17" i="22"/>
  <c r="M17" i="22"/>
  <c r="N17" i="22" s="1"/>
  <c r="Q16" i="22"/>
  <c r="P16" i="22"/>
  <c r="O16" i="22"/>
  <c r="M16" i="22"/>
  <c r="N16" i="22" s="1"/>
  <c r="Q15" i="22"/>
  <c r="P15" i="22"/>
  <c r="O15" i="22"/>
  <c r="M15" i="22"/>
  <c r="N15" i="22" s="1"/>
  <c r="Q14" i="22"/>
  <c r="P14" i="22"/>
  <c r="O14" i="22"/>
  <c r="M14" i="22"/>
  <c r="N14" i="22" s="1"/>
  <c r="Q13" i="22"/>
  <c r="P13" i="22"/>
  <c r="O13" i="22"/>
  <c r="M13" i="22"/>
  <c r="N13" i="22" s="1"/>
  <c r="Q12" i="22"/>
  <c r="P12" i="22"/>
  <c r="O12" i="22"/>
  <c r="M12" i="22"/>
  <c r="N12" i="22" s="1"/>
  <c r="Q11" i="22"/>
  <c r="P11" i="22"/>
  <c r="O11" i="22"/>
  <c r="M11" i="22"/>
  <c r="N11" i="22" s="1"/>
  <c r="Q10" i="22"/>
  <c r="P10" i="22"/>
  <c r="O10" i="22"/>
  <c r="M10" i="22"/>
  <c r="N10" i="22" s="1"/>
  <c r="Q9" i="22"/>
  <c r="P9" i="22"/>
  <c r="O9" i="22"/>
  <c r="M9" i="22"/>
  <c r="N9" i="22" s="1"/>
  <c r="Q8" i="22"/>
  <c r="P8" i="22"/>
  <c r="O8" i="22"/>
  <c r="M8" i="22"/>
  <c r="N8" i="22" s="1"/>
  <c r="Q7" i="22"/>
  <c r="P7" i="22"/>
  <c r="O7" i="22"/>
  <c r="M7" i="22"/>
  <c r="N7" i="22" s="1"/>
  <c r="Q6" i="22"/>
  <c r="P6" i="22"/>
  <c r="O6" i="22"/>
  <c r="M6" i="22"/>
  <c r="N6" i="22" s="1"/>
  <c r="H8" i="21"/>
  <c r="I8" i="21" s="1"/>
  <c r="F8" i="21"/>
  <c r="G8" i="21" s="1"/>
  <c r="C8" i="21"/>
  <c r="H7" i="21"/>
  <c r="I7" i="21" s="1"/>
  <c r="F7" i="21"/>
  <c r="G7" i="21" s="1"/>
  <c r="C7" i="21"/>
  <c r="H6" i="21"/>
  <c r="I6" i="21" s="1"/>
  <c r="F6" i="21"/>
  <c r="G6" i="21" s="1"/>
  <c r="C6" i="21"/>
  <c r="J5" i="21"/>
  <c r="L5" i="21" s="1"/>
  <c r="H5" i="21"/>
  <c r="I5" i="21" s="1"/>
  <c r="F5" i="21"/>
  <c r="G5" i="21" s="1"/>
  <c r="C5" i="21"/>
  <c r="J4" i="21"/>
  <c r="L4" i="21" s="1"/>
  <c r="H4" i="21"/>
  <c r="I4" i="21" s="1"/>
  <c r="F4" i="21"/>
  <c r="G4" i="21" s="1"/>
  <c r="C4" i="21"/>
  <c r="Q36" i="20"/>
  <c r="P36" i="20"/>
  <c r="O36" i="20"/>
  <c r="M36" i="20"/>
  <c r="N36" i="20" s="1"/>
  <c r="Q35" i="20"/>
  <c r="P35" i="20"/>
  <c r="O35" i="20"/>
  <c r="M35" i="20"/>
  <c r="N35" i="20" s="1"/>
  <c r="Q34" i="20"/>
  <c r="P34" i="20"/>
  <c r="O34" i="20"/>
  <c r="M34" i="20"/>
  <c r="N34" i="20" s="1"/>
  <c r="Q33" i="20"/>
  <c r="P33" i="20"/>
  <c r="O33" i="20"/>
  <c r="M33" i="20"/>
  <c r="N33" i="20" s="1"/>
  <c r="Q32" i="20"/>
  <c r="P32" i="20"/>
  <c r="O32" i="20"/>
  <c r="M32" i="20"/>
  <c r="N32" i="20" s="1"/>
  <c r="Q31" i="20"/>
  <c r="P31" i="20"/>
  <c r="O31" i="20"/>
  <c r="M31" i="20"/>
  <c r="Q30" i="20"/>
  <c r="P30" i="20"/>
  <c r="O30" i="20"/>
  <c r="M30" i="20"/>
  <c r="N30" i="20" s="1"/>
  <c r="Q29" i="20"/>
  <c r="P29" i="20"/>
  <c r="O29" i="20"/>
  <c r="M29" i="20"/>
  <c r="N29" i="20" s="1"/>
  <c r="Q28" i="20"/>
  <c r="P28" i="20"/>
  <c r="O28" i="20"/>
  <c r="M28" i="20"/>
  <c r="N28" i="20" s="1"/>
  <c r="Q27" i="20"/>
  <c r="P27" i="20"/>
  <c r="O27" i="20"/>
  <c r="M27" i="20"/>
  <c r="N27" i="20" s="1"/>
  <c r="Q26" i="20"/>
  <c r="P26" i="20"/>
  <c r="O26" i="20"/>
  <c r="M26" i="20"/>
  <c r="N26" i="20" s="1"/>
  <c r="Q25" i="20"/>
  <c r="P25" i="20"/>
  <c r="O25" i="20"/>
  <c r="M25" i="20"/>
  <c r="N25" i="20" s="1"/>
  <c r="Q24" i="20"/>
  <c r="P24" i="20"/>
  <c r="O24" i="20"/>
  <c r="M24" i="20"/>
  <c r="Q23" i="20"/>
  <c r="O23" i="20"/>
  <c r="M23" i="20"/>
  <c r="Q22" i="20"/>
  <c r="O22" i="20"/>
  <c r="M22" i="20"/>
  <c r="Q21" i="20"/>
  <c r="O21" i="20"/>
  <c r="M21" i="20"/>
  <c r="Q20" i="20"/>
  <c r="O20" i="20"/>
  <c r="M20" i="20"/>
  <c r="Q19" i="20"/>
  <c r="O19" i="20"/>
  <c r="M19" i="20"/>
  <c r="Q18" i="20"/>
  <c r="O18" i="20"/>
  <c r="M18" i="20"/>
  <c r="Q17" i="20"/>
  <c r="O17" i="20"/>
  <c r="M17" i="20"/>
  <c r="Q16" i="20"/>
  <c r="O16" i="20"/>
  <c r="M16" i="20"/>
  <c r="Q15" i="20"/>
  <c r="O15" i="20"/>
  <c r="M15" i="20"/>
  <c r="Q14" i="20"/>
  <c r="O14" i="20"/>
  <c r="M14" i="20"/>
  <c r="Q13" i="20"/>
  <c r="O13" i="20"/>
  <c r="M13" i="20"/>
  <c r="Q12" i="20"/>
  <c r="O12" i="20"/>
  <c r="M12" i="20"/>
  <c r="Q11" i="20"/>
  <c r="O11" i="20"/>
  <c r="M11" i="20"/>
  <c r="Q10" i="20"/>
  <c r="O10" i="20"/>
  <c r="M10" i="20"/>
  <c r="Q9" i="20"/>
  <c r="O9" i="20"/>
  <c r="M9" i="20"/>
  <c r="Q8" i="20"/>
  <c r="O8" i="20"/>
  <c r="M8" i="20"/>
  <c r="Q7" i="20"/>
  <c r="O7" i="20"/>
  <c r="M7" i="20"/>
  <c r="Q6" i="20"/>
  <c r="O6" i="20"/>
  <c r="M6" i="20"/>
  <c r="L8" i="19"/>
  <c r="H8" i="19"/>
  <c r="I8" i="19" s="1"/>
  <c r="E8" i="19"/>
  <c r="L7" i="19"/>
  <c r="H7" i="19"/>
  <c r="I7" i="19" s="1"/>
  <c r="E7" i="19"/>
  <c r="L6" i="19"/>
  <c r="H6" i="19"/>
  <c r="I6" i="19" s="1"/>
  <c r="E6" i="19"/>
  <c r="L5" i="19"/>
  <c r="H5" i="19"/>
  <c r="I5" i="19" s="1"/>
  <c r="E5" i="19"/>
  <c r="L4" i="19"/>
  <c r="H4" i="19"/>
  <c r="I4" i="19" s="1"/>
  <c r="E4" i="19"/>
  <c r="Q35" i="18"/>
  <c r="O35" i="18"/>
  <c r="M35" i="18"/>
  <c r="Q34" i="18"/>
  <c r="O34" i="18"/>
  <c r="M34" i="18"/>
  <c r="Q33" i="18"/>
  <c r="O33" i="18"/>
  <c r="M33" i="18"/>
  <c r="Q32" i="18"/>
  <c r="O32" i="18"/>
  <c r="M32" i="18"/>
  <c r="Q31" i="18"/>
  <c r="O31" i="18"/>
  <c r="M31" i="18"/>
  <c r="Q30" i="18"/>
  <c r="O30" i="18"/>
  <c r="M30" i="18"/>
  <c r="Q29" i="18"/>
  <c r="O29" i="18"/>
  <c r="M29" i="18"/>
  <c r="Q28" i="18"/>
  <c r="O28" i="18"/>
  <c r="M28" i="18"/>
  <c r="Q27" i="18"/>
  <c r="O27" i="18"/>
  <c r="M27" i="18"/>
  <c r="Q26" i="18"/>
  <c r="O26" i="18"/>
  <c r="M26" i="18"/>
  <c r="Q25" i="18"/>
  <c r="O25" i="18"/>
  <c r="M25" i="18"/>
  <c r="Q24" i="18"/>
  <c r="O24" i="18"/>
  <c r="M24" i="18"/>
  <c r="Q23" i="18"/>
  <c r="O23" i="18"/>
  <c r="M23" i="18"/>
  <c r="Q22" i="18"/>
  <c r="O22" i="18"/>
  <c r="M22" i="18"/>
  <c r="Q21" i="18"/>
  <c r="O21" i="18"/>
  <c r="M21" i="18"/>
  <c r="Q20" i="18"/>
  <c r="O20" i="18"/>
  <c r="M20" i="18"/>
  <c r="Q19" i="18"/>
  <c r="O19" i="18"/>
  <c r="M19" i="18"/>
  <c r="Q18" i="18"/>
  <c r="O18" i="18"/>
  <c r="M18" i="18"/>
  <c r="Q17" i="18"/>
  <c r="O17" i="18"/>
  <c r="M17" i="18"/>
  <c r="Q16" i="18"/>
  <c r="O16" i="18"/>
  <c r="M16" i="18"/>
  <c r="Q15" i="18"/>
  <c r="O15" i="18"/>
  <c r="M15" i="18"/>
  <c r="Q14" i="18"/>
  <c r="O14" i="18"/>
  <c r="M14" i="18"/>
  <c r="Q13" i="18"/>
  <c r="O13" i="18"/>
  <c r="M13" i="18"/>
  <c r="Q12" i="18"/>
  <c r="O12" i="18"/>
  <c r="M12" i="18"/>
  <c r="Q11" i="18"/>
  <c r="O11" i="18"/>
  <c r="M11" i="18"/>
  <c r="Q10" i="18"/>
  <c r="O10" i="18"/>
  <c r="M10" i="18"/>
  <c r="Q9" i="18"/>
  <c r="O9" i="18"/>
  <c r="M9" i="18"/>
  <c r="Q8" i="18"/>
  <c r="O8" i="18"/>
  <c r="M8" i="18"/>
  <c r="Q7" i="18"/>
  <c r="O7" i="18"/>
  <c r="M7" i="18"/>
  <c r="Q6" i="18"/>
  <c r="O6" i="18"/>
  <c r="M6" i="18"/>
  <c r="K22" i="17"/>
  <c r="J22" i="17"/>
  <c r="H22" i="17"/>
  <c r="G22" i="17"/>
  <c r="F22" i="17"/>
  <c r="E22" i="17"/>
  <c r="D22" i="17"/>
  <c r="C22" i="17"/>
  <c r="K9" i="17"/>
  <c r="J9" i="17"/>
  <c r="H9" i="17"/>
  <c r="E9" i="17"/>
  <c r="D9" i="17"/>
  <c r="K8" i="17"/>
  <c r="J8" i="17"/>
  <c r="H8" i="17"/>
  <c r="D8" i="17"/>
  <c r="K7" i="17"/>
  <c r="J7" i="17"/>
  <c r="H7" i="17"/>
  <c r="E7" i="17"/>
  <c r="D7" i="17"/>
  <c r="K6" i="17"/>
  <c r="J6" i="17"/>
  <c r="H6" i="17"/>
  <c r="E6" i="17"/>
  <c r="D6" i="17"/>
  <c r="K5" i="17"/>
  <c r="J5" i="17"/>
  <c r="H5" i="17"/>
  <c r="E5" i="17"/>
  <c r="D5" i="17"/>
  <c r="K4" i="17"/>
  <c r="J4" i="17"/>
  <c r="H4" i="17"/>
  <c r="E4" i="17"/>
  <c r="D4" i="17"/>
  <c r="Q36" i="16"/>
  <c r="O36" i="16"/>
  <c r="M36" i="16"/>
  <c r="Q35" i="16"/>
  <c r="O35" i="16"/>
  <c r="M35" i="16"/>
  <c r="Q34" i="16"/>
  <c r="O34" i="16"/>
  <c r="M34" i="16"/>
  <c r="Q33" i="16"/>
  <c r="O33" i="16"/>
  <c r="M33" i="16"/>
  <c r="Q32" i="16"/>
  <c r="O32" i="16"/>
  <c r="M32" i="16"/>
  <c r="Q31" i="16"/>
  <c r="O31" i="16"/>
  <c r="M31" i="16"/>
  <c r="Q30" i="16"/>
  <c r="O30" i="16"/>
  <c r="M30" i="16"/>
  <c r="Q29" i="16"/>
  <c r="O29" i="16"/>
  <c r="M29" i="16"/>
  <c r="Q28" i="16"/>
  <c r="O28" i="16"/>
  <c r="M28" i="16"/>
  <c r="Q27" i="16"/>
  <c r="O27" i="16"/>
  <c r="M27" i="16"/>
  <c r="Q26" i="16"/>
  <c r="O26" i="16"/>
  <c r="M26" i="16"/>
  <c r="Q25" i="16"/>
  <c r="O25" i="16"/>
  <c r="M25" i="16"/>
  <c r="Q24" i="16"/>
  <c r="O24" i="16"/>
  <c r="M24" i="16"/>
  <c r="Q23" i="16"/>
  <c r="O23" i="16"/>
  <c r="M23" i="16"/>
  <c r="Q22" i="16"/>
  <c r="O22" i="16"/>
  <c r="M22" i="16"/>
  <c r="Q21" i="16"/>
  <c r="O21" i="16"/>
  <c r="M21" i="16"/>
  <c r="Q20" i="16"/>
  <c r="O20" i="16"/>
  <c r="M20" i="16"/>
  <c r="Q19" i="16"/>
  <c r="O19" i="16"/>
  <c r="M19" i="16"/>
  <c r="Q18" i="16"/>
  <c r="O18" i="16"/>
  <c r="M18" i="16"/>
  <c r="Q17" i="16"/>
  <c r="O17" i="16"/>
  <c r="M17" i="16"/>
  <c r="Q16" i="16"/>
  <c r="O16" i="16"/>
  <c r="M16" i="16"/>
  <c r="Q15" i="16"/>
  <c r="O15" i="16"/>
  <c r="M15" i="16"/>
  <c r="Q14" i="16"/>
  <c r="O14" i="16"/>
  <c r="M14" i="16"/>
  <c r="Q13" i="16"/>
  <c r="O13" i="16"/>
  <c r="M13" i="16"/>
  <c r="Q12" i="16"/>
  <c r="O12" i="16"/>
  <c r="M12" i="16"/>
  <c r="Q11" i="16"/>
  <c r="O11" i="16"/>
  <c r="M11" i="16"/>
  <c r="Q10" i="16"/>
  <c r="O10" i="16"/>
  <c r="M10" i="16"/>
  <c r="Q9" i="16"/>
  <c r="O9" i="16"/>
  <c r="M9" i="16"/>
  <c r="Q8" i="16"/>
  <c r="O8" i="16"/>
  <c r="M8" i="16"/>
  <c r="Q7" i="16"/>
  <c r="O7" i="16"/>
  <c r="M7" i="16"/>
  <c r="Q6" i="16"/>
  <c r="O6" i="16"/>
  <c r="M6" i="16"/>
  <c r="J21" i="15"/>
  <c r="G21" i="15"/>
  <c r="F21" i="15"/>
  <c r="E21" i="15"/>
  <c r="D21" i="15"/>
  <c r="C21" i="15"/>
  <c r="J8" i="15"/>
  <c r="E8" i="15"/>
  <c r="D8" i="15"/>
  <c r="J7" i="15"/>
  <c r="E7" i="15"/>
  <c r="D7" i="15"/>
  <c r="J6" i="15"/>
  <c r="E6" i="15"/>
  <c r="D6" i="15"/>
  <c r="K5" i="15"/>
  <c r="J5" i="15"/>
  <c r="H5" i="15"/>
  <c r="E5" i="15"/>
  <c r="D5" i="15"/>
  <c r="K4" i="15"/>
  <c r="J4" i="15"/>
  <c r="H4" i="15"/>
  <c r="E4" i="15"/>
  <c r="D4" i="15"/>
  <c r="Q36" i="14"/>
  <c r="O36" i="14"/>
  <c r="M36" i="14"/>
  <c r="Q35" i="14"/>
  <c r="O35" i="14"/>
  <c r="M35" i="14"/>
  <c r="Q34" i="14"/>
  <c r="O34" i="14"/>
  <c r="M34" i="14"/>
  <c r="Q33" i="14"/>
  <c r="O33" i="14"/>
  <c r="M33" i="14"/>
  <c r="Q32" i="14"/>
  <c r="O32" i="14"/>
  <c r="M32" i="14"/>
  <c r="Q31" i="14"/>
  <c r="O31" i="14"/>
  <c r="M31" i="14"/>
  <c r="Q30" i="14"/>
  <c r="O30" i="14"/>
  <c r="M30" i="14"/>
  <c r="Q29" i="14"/>
  <c r="O29" i="14"/>
  <c r="M29" i="14"/>
  <c r="Q28" i="14"/>
  <c r="O28" i="14"/>
  <c r="M28" i="14"/>
  <c r="Q27" i="14"/>
  <c r="O27" i="14"/>
  <c r="M27" i="14"/>
  <c r="Q26" i="14"/>
  <c r="O26" i="14"/>
  <c r="M26" i="14"/>
  <c r="Q25" i="14"/>
  <c r="O25" i="14"/>
  <c r="M25" i="14"/>
  <c r="Q24" i="14"/>
  <c r="O24" i="14"/>
  <c r="M24" i="14"/>
  <c r="Q23" i="14"/>
  <c r="O23" i="14"/>
  <c r="M23" i="14"/>
  <c r="Q22" i="14"/>
  <c r="O22" i="14"/>
  <c r="M22" i="14"/>
  <c r="Q21" i="14"/>
  <c r="O21" i="14"/>
  <c r="M21" i="14"/>
  <c r="Q20" i="14"/>
  <c r="O20" i="14"/>
  <c r="M20" i="14"/>
  <c r="Q19" i="14"/>
  <c r="O19" i="14"/>
  <c r="M19" i="14"/>
  <c r="Q18" i="14"/>
  <c r="O18" i="14"/>
  <c r="M18" i="14"/>
  <c r="Q17" i="14"/>
  <c r="O17" i="14"/>
  <c r="M17" i="14"/>
  <c r="Q16" i="14"/>
  <c r="O16" i="14"/>
  <c r="M16" i="14"/>
  <c r="Q15" i="14"/>
  <c r="O15" i="14"/>
  <c r="M15" i="14"/>
  <c r="Q14" i="14"/>
  <c r="O14" i="14"/>
  <c r="M14" i="14"/>
  <c r="Q13" i="14"/>
  <c r="O13" i="14"/>
  <c r="M13" i="14"/>
  <c r="Q12" i="14"/>
  <c r="O12" i="14"/>
  <c r="M12" i="14"/>
  <c r="Q11" i="14"/>
  <c r="O11" i="14"/>
  <c r="M11" i="14"/>
  <c r="Q10" i="14"/>
  <c r="O10" i="14"/>
  <c r="M10" i="14"/>
  <c r="Q9" i="14"/>
  <c r="O9" i="14"/>
  <c r="M9" i="14"/>
  <c r="Q8" i="14"/>
  <c r="O8" i="14"/>
  <c r="M8" i="14"/>
  <c r="Q7" i="14"/>
  <c r="O7" i="14"/>
  <c r="M7" i="14"/>
  <c r="Q6" i="14"/>
  <c r="O6" i="14"/>
  <c r="M6" i="14"/>
  <c r="Q35" i="12"/>
  <c r="O35" i="12"/>
  <c r="M35" i="12"/>
  <c r="Q34" i="12"/>
  <c r="O34" i="12"/>
  <c r="M34" i="12"/>
  <c r="Q33" i="12"/>
  <c r="O33" i="12"/>
  <c r="M33" i="12"/>
  <c r="Q32" i="12"/>
  <c r="O32" i="12"/>
  <c r="M32" i="12"/>
  <c r="Q31" i="12"/>
  <c r="O31" i="12"/>
  <c r="M31" i="12"/>
  <c r="Q30" i="12"/>
  <c r="O30" i="12"/>
  <c r="M30" i="12"/>
  <c r="Q29" i="12"/>
  <c r="O29" i="12"/>
  <c r="M29" i="12"/>
  <c r="Q28" i="12"/>
  <c r="O28" i="12"/>
  <c r="M28" i="12"/>
  <c r="Q27" i="12"/>
  <c r="O27" i="12"/>
  <c r="M27" i="12"/>
  <c r="Q26" i="12"/>
  <c r="O26" i="12"/>
  <c r="M26" i="12"/>
  <c r="Q25" i="12"/>
  <c r="O25" i="12"/>
  <c r="M25" i="12"/>
  <c r="Q24" i="12"/>
  <c r="O24" i="12"/>
  <c r="M24" i="12"/>
  <c r="Q23" i="12"/>
  <c r="O23" i="12"/>
  <c r="M23" i="12"/>
  <c r="Q22" i="12"/>
  <c r="O22" i="12"/>
  <c r="M22" i="12"/>
  <c r="Q21" i="12"/>
  <c r="O21" i="12"/>
  <c r="M21" i="12"/>
  <c r="Q20" i="12"/>
  <c r="O20" i="12"/>
  <c r="M20" i="12"/>
  <c r="Q19" i="12"/>
  <c r="O19" i="12"/>
  <c r="M19" i="12"/>
  <c r="Q18" i="12"/>
  <c r="O18" i="12"/>
  <c r="M18" i="12"/>
  <c r="Q17" i="12"/>
  <c r="O17" i="12"/>
  <c r="M17" i="12"/>
  <c r="Q16" i="12"/>
  <c r="O16" i="12"/>
  <c r="M16" i="12"/>
  <c r="Q15" i="12"/>
  <c r="O15" i="12"/>
  <c r="M15" i="12"/>
  <c r="Q14" i="12"/>
  <c r="O14" i="12"/>
  <c r="M14" i="12"/>
  <c r="Q13" i="12"/>
  <c r="O13" i="12"/>
  <c r="M13" i="12"/>
  <c r="Q12" i="12"/>
  <c r="O12" i="12"/>
  <c r="M12" i="12"/>
  <c r="Q11" i="12"/>
  <c r="O11" i="12"/>
  <c r="M11" i="12"/>
  <c r="Q10" i="12"/>
  <c r="O10" i="12"/>
  <c r="M10" i="12"/>
  <c r="Q9" i="12"/>
  <c r="O9" i="12"/>
  <c r="M9" i="12"/>
  <c r="Q8" i="12"/>
  <c r="O8" i="12"/>
  <c r="M8" i="12"/>
  <c r="Q7" i="12"/>
  <c r="O7" i="12"/>
  <c r="M7" i="12"/>
  <c r="Q6" i="12"/>
  <c r="O6" i="12"/>
  <c r="M6" i="12"/>
  <c r="Q36" i="11"/>
  <c r="O36" i="11"/>
  <c r="M36" i="11"/>
  <c r="Q35" i="11"/>
  <c r="O35" i="11"/>
  <c r="M35" i="11"/>
  <c r="Q34" i="11"/>
  <c r="O34" i="11"/>
  <c r="M34" i="11"/>
  <c r="Q33" i="11"/>
  <c r="O33" i="11"/>
  <c r="M33" i="11"/>
  <c r="Q32" i="11"/>
  <c r="O32" i="11"/>
  <c r="M32" i="11"/>
  <c r="Q31" i="11"/>
  <c r="O31" i="11"/>
  <c r="M31" i="11"/>
  <c r="Q30" i="11"/>
  <c r="O30" i="11"/>
  <c r="M30" i="11"/>
  <c r="Q29" i="11"/>
  <c r="O29" i="11"/>
  <c r="M29" i="11"/>
  <c r="Q28" i="11"/>
  <c r="P28" i="11"/>
  <c r="O28" i="11"/>
  <c r="M28" i="11"/>
  <c r="N28" i="11" s="1"/>
  <c r="Q27" i="11"/>
  <c r="O27" i="11"/>
  <c r="M27" i="11"/>
  <c r="Q26" i="11"/>
  <c r="O26" i="11"/>
  <c r="M26" i="11"/>
  <c r="Q25" i="11"/>
  <c r="O25" i="11"/>
  <c r="M25" i="11"/>
  <c r="Q24" i="11"/>
  <c r="O24" i="11"/>
  <c r="M24" i="11"/>
  <c r="Q23" i="11"/>
  <c r="O23" i="11"/>
  <c r="M23" i="11"/>
  <c r="Q22" i="11"/>
  <c r="O22" i="11"/>
  <c r="M22" i="11"/>
  <c r="Q21" i="11"/>
  <c r="O21" i="11"/>
  <c r="M21" i="11"/>
  <c r="Q20" i="11"/>
  <c r="O20" i="11"/>
  <c r="M20" i="11"/>
  <c r="Q19" i="11"/>
  <c r="O19" i="11"/>
  <c r="M19" i="11"/>
  <c r="Q18" i="11"/>
  <c r="O18" i="11"/>
  <c r="M18" i="11"/>
  <c r="Q17" i="11"/>
  <c r="O17" i="11"/>
  <c r="M17" i="11"/>
  <c r="Q16" i="11"/>
  <c r="O16" i="11"/>
  <c r="M16" i="11"/>
  <c r="Q15" i="11"/>
  <c r="O15" i="11"/>
  <c r="M15" i="11"/>
  <c r="Q14" i="11"/>
  <c r="O14" i="11"/>
  <c r="M14" i="11"/>
  <c r="Q13" i="11"/>
  <c r="O13" i="11"/>
  <c r="M13" i="11"/>
  <c r="Q12" i="11"/>
  <c r="O12" i="11"/>
  <c r="M12" i="11"/>
  <c r="Q11" i="11"/>
  <c r="O11" i="11"/>
  <c r="M11" i="11"/>
  <c r="Q10" i="11"/>
  <c r="O10" i="11"/>
  <c r="M10" i="11"/>
  <c r="Q9" i="11"/>
  <c r="O9" i="11"/>
  <c r="M9" i="11"/>
  <c r="Q8" i="11"/>
  <c r="O8" i="11"/>
  <c r="M8" i="11"/>
  <c r="Q7" i="11"/>
  <c r="O7" i="11"/>
  <c r="M7" i="11"/>
  <c r="Q6" i="11"/>
  <c r="O6" i="11"/>
  <c r="M6" i="11"/>
  <c r="Q35" i="10"/>
  <c r="O35" i="10"/>
  <c r="M35" i="10"/>
  <c r="Q34" i="10"/>
  <c r="O34" i="10"/>
  <c r="M34" i="10"/>
  <c r="Q33" i="10"/>
  <c r="O33" i="10"/>
  <c r="M33" i="10"/>
  <c r="Q32" i="10"/>
  <c r="O32" i="10"/>
  <c r="M32" i="10"/>
  <c r="Q31" i="10"/>
  <c r="O31" i="10"/>
  <c r="M31" i="10"/>
  <c r="Q30" i="10"/>
  <c r="O30" i="10"/>
  <c r="M30" i="10"/>
  <c r="Q29" i="10"/>
  <c r="O29" i="10"/>
  <c r="M29" i="10"/>
  <c r="Q28" i="10"/>
  <c r="O28" i="10"/>
  <c r="M28" i="10"/>
  <c r="Q27" i="10"/>
  <c r="O27" i="10"/>
  <c r="M27" i="10"/>
  <c r="Q26" i="10"/>
  <c r="O26" i="10"/>
  <c r="M26" i="10"/>
  <c r="Q25" i="10"/>
  <c r="O25" i="10"/>
  <c r="M25" i="10"/>
  <c r="Q24" i="10"/>
  <c r="O24" i="10"/>
  <c r="M24" i="10"/>
  <c r="Q23" i="10"/>
  <c r="O23" i="10"/>
  <c r="M23" i="10"/>
  <c r="Q22" i="10"/>
  <c r="O22" i="10"/>
  <c r="M22" i="10"/>
  <c r="Q21" i="10"/>
  <c r="O21" i="10"/>
  <c r="M21" i="10"/>
  <c r="Q20" i="10"/>
  <c r="O20" i="10"/>
  <c r="M20" i="10"/>
  <c r="Q19" i="10"/>
  <c r="O19" i="10"/>
  <c r="M19" i="10"/>
  <c r="Q18" i="10"/>
  <c r="O18" i="10"/>
  <c r="M18" i="10"/>
  <c r="Q17" i="10"/>
  <c r="O17" i="10"/>
  <c r="M17" i="10"/>
  <c r="Q16" i="10"/>
  <c r="O16" i="10"/>
  <c r="M16" i="10"/>
  <c r="Q15" i="10"/>
  <c r="O15" i="10"/>
  <c r="M15" i="10"/>
  <c r="Q14" i="10"/>
  <c r="O14" i="10"/>
  <c r="M14" i="10"/>
  <c r="Q13" i="10"/>
  <c r="O13" i="10"/>
  <c r="M13" i="10"/>
  <c r="Q12" i="10"/>
  <c r="O12" i="10"/>
  <c r="M12" i="10"/>
  <c r="Q11" i="10"/>
  <c r="O11" i="10"/>
  <c r="M11" i="10"/>
  <c r="Q10" i="10"/>
  <c r="O10" i="10"/>
  <c r="M10" i="10"/>
  <c r="Q9" i="10"/>
  <c r="O9" i="10"/>
  <c r="M9" i="10"/>
  <c r="Q8" i="10"/>
  <c r="O8" i="10"/>
  <c r="M8" i="10"/>
  <c r="Q7" i="10"/>
  <c r="O7" i="10"/>
  <c r="M7" i="10"/>
  <c r="Q6" i="10"/>
  <c r="O6" i="10"/>
  <c r="M6" i="10"/>
  <c r="Q36" i="9"/>
  <c r="O36" i="9"/>
  <c r="M36" i="9"/>
  <c r="Q35" i="9"/>
  <c r="O35" i="9"/>
  <c r="M35" i="9"/>
  <c r="Q34" i="9"/>
  <c r="O34" i="9"/>
  <c r="M34" i="9"/>
  <c r="Q33" i="9"/>
  <c r="O33" i="9"/>
  <c r="M33" i="9"/>
  <c r="Q32" i="9"/>
  <c r="O32" i="9"/>
  <c r="M32" i="9"/>
  <c r="Q31" i="9"/>
  <c r="O31" i="9"/>
  <c r="M31" i="9"/>
  <c r="Q30" i="9"/>
  <c r="O30" i="9"/>
  <c r="M30" i="9"/>
  <c r="Q29" i="9"/>
  <c r="O29" i="9"/>
  <c r="M29" i="9"/>
  <c r="Q28" i="9"/>
  <c r="O28" i="9"/>
  <c r="M28" i="9"/>
  <c r="Q27" i="9"/>
  <c r="O27" i="9"/>
  <c r="M27" i="9"/>
  <c r="Q26" i="9"/>
  <c r="O26" i="9"/>
  <c r="M26" i="9"/>
  <c r="Q25" i="9"/>
  <c r="O25" i="9"/>
  <c r="M25" i="9"/>
  <c r="Q24" i="9"/>
  <c r="O24" i="9"/>
  <c r="M24" i="9"/>
  <c r="Q23" i="9"/>
  <c r="O23" i="9"/>
  <c r="M23" i="9"/>
  <c r="Q22" i="9"/>
  <c r="O22" i="9"/>
  <c r="M22" i="9"/>
  <c r="Q21" i="9"/>
  <c r="O21" i="9"/>
  <c r="M21" i="9"/>
  <c r="Q20" i="9"/>
  <c r="O20" i="9"/>
  <c r="M20" i="9"/>
  <c r="Q19" i="9"/>
  <c r="O19" i="9"/>
  <c r="M19" i="9"/>
  <c r="Q18" i="9"/>
  <c r="O18" i="9"/>
  <c r="M18" i="9"/>
  <c r="Q17" i="9"/>
  <c r="O17" i="9"/>
  <c r="M17" i="9"/>
  <c r="Q16" i="9"/>
  <c r="O16" i="9"/>
  <c r="M16" i="9"/>
  <c r="Q15" i="9"/>
  <c r="O15" i="9"/>
  <c r="M15" i="9"/>
  <c r="Q14" i="9"/>
  <c r="O14" i="9"/>
  <c r="M14" i="9"/>
  <c r="Q13" i="9"/>
  <c r="O13" i="9"/>
  <c r="M13" i="9"/>
  <c r="Q12" i="9"/>
  <c r="O12" i="9"/>
  <c r="M12" i="9"/>
  <c r="Q11" i="9"/>
  <c r="O11" i="9"/>
  <c r="M11" i="9"/>
  <c r="Q10" i="9"/>
  <c r="O10" i="9"/>
  <c r="M10" i="9"/>
  <c r="Q9" i="9"/>
  <c r="O9" i="9"/>
  <c r="M9" i="9"/>
  <c r="Q8" i="9"/>
  <c r="O8" i="9"/>
  <c r="M8" i="9"/>
  <c r="Q7" i="9"/>
  <c r="O7" i="9"/>
  <c r="M7" i="9"/>
  <c r="Q6" i="9"/>
  <c r="O6" i="9"/>
  <c r="M6" i="9"/>
  <c r="Q33" i="8"/>
  <c r="O33" i="8"/>
  <c r="M33" i="8"/>
  <c r="Q32" i="8"/>
  <c r="O32" i="8"/>
  <c r="M32" i="8"/>
  <c r="Q31" i="8"/>
  <c r="O31" i="8"/>
  <c r="M31" i="8"/>
  <c r="Q30" i="8"/>
  <c r="O30" i="8"/>
  <c r="M30" i="8"/>
  <c r="Q29" i="8"/>
  <c r="O29" i="8"/>
  <c r="M29" i="8"/>
  <c r="Q28" i="8"/>
  <c r="O28" i="8"/>
  <c r="M28" i="8"/>
  <c r="Q27" i="8"/>
  <c r="O27" i="8"/>
  <c r="M27" i="8"/>
  <c r="Q26" i="8"/>
  <c r="O26" i="8"/>
  <c r="M26" i="8"/>
  <c r="Q25" i="8"/>
  <c r="P25" i="8"/>
  <c r="O25" i="8"/>
  <c r="M25" i="8"/>
  <c r="N25" i="8" s="1"/>
  <c r="Q24" i="8"/>
  <c r="P24" i="8"/>
  <c r="O24" i="8"/>
  <c r="M24" i="8"/>
  <c r="N24" i="8" s="1"/>
  <c r="Q23" i="8"/>
  <c r="P23" i="8"/>
  <c r="O23" i="8"/>
  <c r="M23" i="8"/>
  <c r="N23" i="8" s="1"/>
  <c r="Q22" i="8"/>
  <c r="P22" i="8"/>
  <c r="O22" i="8"/>
  <c r="M22" i="8"/>
  <c r="N22" i="8" s="1"/>
  <c r="Q21" i="8"/>
  <c r="O21" i="8"/>
  <c r="M21" i="8"/>
  <c r="Q20" i="8"/>
  <c r="O20" i="8"/>
  <c r="M20" i="8"/>
  <c r="Q19" i="8"/>
  <c r="O19" i="8"/>
  <c r="M19" i="8"/>
  <c r="Q18" i="8"/>
  <c r="O18" i="8"/>
  <c r="M18" i="8"/>
  <c r="Q17" i="8"/>
  <c r="O17" i="8"/>
  <c r="M17" i="8"/>
  <c r="Q16" i="8"/>
  <c r="O16" i="8"/>
  <c r="M16" i="8"/>
  <c r="Q15" i="8"/>
  <c r="O15" i="8"/>
  <c r="M15" i="8"/>
  <c r="Q14" i="8"/>
  <c r="O14" i="8"/>
  <c r="M14" i="8"/>
  <c r="Q13" i="8"/>
  <c r="O13" i="8"/>
  <c r="M13" i="8"/>
  <c r="Q12" i="8"/>
  <c r="O12" i="8"/>
  <c r="M12" i="8"/>
  <c r="Q11" i="8"/>
  <c r="O11" i="8"/>
  <c r="M11" i="8"/>
  <c r="Q10" i="8"/>
  <c r="O10" i="8"/>
  <c r="M10" i="8"/>
  <c r="Q9" i="8"/>
  <c r="O9" i="8"/>
  <c r="M9" i="8"/>
  <c r="Q8" i="8"/>
  <c r="P8" i="8"/>
  <c r="O8" i="8"/>
  <c r="M8" i="8"/>
  <c r="N8" i="8" s="1"/>
  <c r="Q7" i="8"/>
  <c r="O7" i="8"/>
  <c r="M7" i="8"/>
  <c r="Q6" i="8"/>
  <c r="O6" i="8"/>
  <c r="M6" i="8"/>
  <c r="Q36" i="7"/>
  <c r="O36" i="7"/>
  <c r="M36" i="7"/>
  <c r="Q35" i="7"/>
  <c r="O35" i="7"/>
  <c r="M35" i="7"/>
  <c r="Q34" i="7"/>
  <c r="O34" i="7"/>
  <c r="M34" i="7"/>
  <c r="Q33" i="7"/>
  <c r="O33" i="7"/>
  <c r="M33" i="7"/>
  <c r="Q32" i="7"/>
  <c r="O32" i="7"/>
  <c r="M32" i="7"/>
  <c r="Q31" i="7"/>
  <c r="O31" i="7"/>
  <c r="M31" i="7"/>
  <c r="Q30" i="7"/>
  <c r="O30" i="7"/>
  <c r="M30" i="7"/>
  <c r="Q29" i="7"/>
  <c r="O29" i="7"/>
  <c r="M29" i="7"/>
  <c r="Q28" i="7"/>
  <c r="O28" i="7"/>
  <c r="M28" i="7"/>
  <c r="Q27" i="7"/>
  <c r="O27" i="7"/>
  <c r="M27" i="7"/>
  <c r="Q26" i="7"/>
  <c r="O26" i="7"/>
  <c r="M26" i="7"/>
  <c r="Q25" i="7"/>
  <c r="O25" i="7"/>
  <c r="M25" i="7"/>
  <c r="Q24" i="7"/>
  <c r="O24" i="7"/>
  <c r="M24" i="7"/>
  <c r="Q23" i="7"/>
  <c r="O23" i="7"/>
  <c r="M23" i="7"/>
  <c r="Q22" i="7"/>
  <c r="O22" i="7"/>
  <c r="M22" i="7"/>
  <c r="Q21" i="7"/>
  <c r="O21" i="7"/>
  <c r="M21" i="7"/>
  <c r="Q20" i="7"/>
  <c r="O20" i="7"/>
  <c r="M20" i="7"/>
  <c r="Q19" i="7"/>
  <c r="O19" i="7"/>
  <c r="M19" i="7"/>
  <c r="Q18" i="7"/>
  <c r="O18" i="7"/>
  <c r="M18" i="7"/>
  <c r="Q17" i="7"/>
  <c r="O17" i="7"/>
  <c r="M17" i="7"/>
  <c r="Q16" i="7"/>
  <c r="O16" i="7"/>
  <c r="M16" i="7"/>
  <c r="Q15" i="7"/>
  <c r="O15" i="7"/>
  <c r="M15" i="7"/>
  <c r="Q14" i="7"/>
  <c r="O14" i="7"/>
  <c r="M14" i="7"/>
  <c r="Q13" i="7"/>
  <c r="O13" i="7"/>
  <c r="M13" i="7"/>
  <c r="Q12" i="7"/>
  <c r="O12" i="7"/>
  <c r="M12" i="7"/>
  <c r="Q11" i="7"/>
  <c r="O11" i="7"/>
  <c r="M11" i="7"/>
  <c r="Q10" i="7"/>
  <c r="O10" i="7"/>
  <c r="M10" i="7"/>
  <c r="Q9" i="7"/>
  <c r="O9" i="7"/>
  <c r="M9" i="7"/>
  <c r="Q8" i="7"/>
  <c r="O8" i="7"/>
  <c r="M8" i="7"/>
  <c r="Q7" i="7"/>
  <c r="O7" i="7"/>
  <c r="M7" i="7"/>
  <c r="Q6" i="7"/>
  <c r="O6" i="7"/>
  <c r="M6" i="7"/>
  <c r="Q36" i="6"/>
  <c r="O36" i="6"/>
  <c r="M36" i="6"/>
  <c r="Q35" i="6"/>
  <c r="O35" i="6"/>
  <c r="M35" i="6"/>
  <c r="Q34" i="6"/>
  <c r="O34" i="6"/>
  <c r="M34" i="6"/>
  <c r="Q33" i="6"/>
  <c r="O33" i="6"/>
  <c r="M33" i="6"/>
  <c r="Q32" i="6"/>
  <c r="O32" i="6"/>
  <c r="M32" i="6"/>
  <c r="Q31" i="6"/>
  <c r="O31" i="6"/>
  <c r="M31" i="6"/>
  <c r="Q30" i="6"/>
  <c r="O30" i="6"/>
  <c r="M30" i="6"/>
  <c r="Q29" i="6"/>
  <c r="O29" i="6"/>
  <c r="M29" i="6"/>
  <c r="Q28" i="6"/>
  <c r="O28" i="6"/>
  <c r="M28" i="6"/>
  <c r="Q27" i="6"/>
  <c r="O27" i="6"/>
  <c r="M27" i="6"/>
  <c r="Q26" i="6"/>
  <c r="O26" i="6"/>
  <c r="M26" i="6"/>
  <c r="Q25" i="6"/>
  <c r="O25" i="6"/>
  <c r="M25" i="6"/>
  <c r="Q24" i="6"/>
  <c r="O24" i="6"/>
  <c r="M24" i="6"/>
  <c r="Q23" i="6"/>
  <c r="O23" i="6"/>
  <c r="M23" i="6"/>
  <c r="Q22" i="6"/>
  <c r="O22" i="6"/>
  <c r="M22" i="6"/>
  <c r="Q21" i="6"/>
  <c r="O21" i="6"/>
  <c r="M21" i="6"/>
  <c r="Q20" i="6"/>
  <c r="O20" i="6"/>
  <c r="M20" i="6"/>
  <c r="Q19" i="6"/>
  <c r="O19" i="6"/>
  <c r="M19" i="6"/>
  <c r="Q18" i="6"/>
  <c r="O18" i="6"/>
  <c r="M18" i="6"/>
  <c r="Q17" i="6"/>
  <c r="O17" i="6"/>
  <c r="M17" i="6"/>
  <c r="Q16" i="6"/>
  <c r="P16" i="6"/>
  <c r="O16" i="6"/>
  <c r="N16" i="6"/>
  <c r="M16" i="6"/>
  <c r="Q15" i="6"/>
  <c r="O15" i="6"/>
  <c r="M15" i="6"/>
  <c r="Q14" i="6"/>
  <c r="O14" i="6"/>
  <c r="M14" i="6"/>
  <c r="Q13" i="6"/>
  <c r="O13" i="6"/>
  <c r="M13" i="6"/>
  <c r="Q12" i="6"/>
  <c r="O12" i="6"/>
  <c r="M12" i="6"/>
  <c r="Q11" i="6"/>
  <c r="O11" i="6"/>
  <c r="M11" i="6"/>
  <c r="Q10" i="6"/>
  <c r="O10" i="6"/>
  <c r="M10" i="6"/>
  <c r="Q9" i="6"/>
  <c r="O9" i="6"/>
  <c r="M9" i="6"/>
  <c r="Q8" i="6"/>
  <c r="O8" i="6"/>
  <c r="M8" i="6"/>
  <c r="Q7" i="6"/>
  <c r="O7" i="6"/>
  <c r="M7" i="6"/>
  <c r="Q6" i="6"/>
  <c r="O6" i="6"/>
  <c r="M6" i="6"/>
  <c r="Q35" i="5"/>
  <c r="O35" i="5"/>
  <c r="M35" i="5"/>
  <c r="Q34" i="5"/>
  <c r="O34" i="5"/>
  <c r="M34" i="5"/>
  <c r="Q33" i="5"/>
  <c r="O33" i="5"/>
  <c r="M33" i="5"/>
  <c r="Q32" i="5"/>
  <c r="O32" i="5"/>
  <c r="M32" i="5"/>
  <c r="Q31" i="5"/>
  <c r="O31" i="5"/>
  <c r="M31" i="5"/>
  <c r="Q30" i="5"/>
  <c r="O30" i="5"/>
  <c r="M30" i="5"/>
  <c r="Q29" i="5"/>
  <c r="O29" i="5"/>
  <c r="M29" i="5"/>
  <c r="Q28" i="5"/>
  <c r="O28" i="5"/>
  <c r="M28" i="5"/>
  <c r="Q27" i="5"/>
  <c r="O27" i="5"/>
  <c r="M27" i="5"/>
  <c r="Q26" i="5"/>
  <c r="O26" i="5"/>
  <c r="M26" i="5"/>
  <c r="Q25" i="5"/>
  <c r="O25" i="5"/>
  <c r="M25" i="5"/>
  <c r="Q24" i="5"/>
  <c r="O24" i="5"/>
  <c r="M24" i="5"/>
  <c r="Q23" i="5"/>
  <c r="O23" i="5"/>
  <c r="M23" i="5"/>
  <c r="Q22" i="5"/>
  <c r="O22" i="5"/>
  <c r="M22" i="5"/>
  <c r="Q21" i="5"/>
  <c r="O21" i="5"/>
  <c r="M21" i="5"/>
  <c r="Q20" i="5"/>
  <c r="O20" i="5"/>
  <c r="M20" i="5"/>
  <c r="Q19" i="5"/>
  <c r="O19" i="5"/>
  <c r="M19" i="5"/>
  <c r="Q18" i="5"/>
  <c r="O18" i="5"/>
  <c r="M18" i="5"/>
  <c r="Q17" i="5"/>
  <c r="O17" i="5"/>
  <c r="M17" i="5"/>
  <c r="Q16" i="5"/>
  <c r="O16" i="5"/>
  <c r="M16" i="5"/>
  <c r="Q15" i="5"/>
  <c r="O15" i="5"/>
  <c r="M15" i="5"/>
  <c r="Q14" i="5"/>
  <c r="O14" i="5"/>
  <c r="M14" i="5"/>
  <c r="Q13" i="5"/>
  <c r="O13" i="5"/>
  <c r="M13" i="5"/>
  <c r="Q12" i="5"/>
  <c r="O12" i="5"/>
  <c r="M12" i="5"/>
  <c r="Q11" i="5"/>
  <c r="O11" i="5"/>
  <c r="M11" i="5"/>
  <c r="Q10" i="5"/>
  <c r="O10" i="5"/>
  <c r="M10" i="5"/>
  <c r="Q9" i="5"/>
  <c r="O9" i="5"/>
  <c r="M9" i="5"/>
  <c r="Q8" i="5"/>
  <c r="O8" i="5"/>
  <c r="M8" i="5"/>
  <c r="Q7" i="5"/>
  <c r="O7" i="5"/>
  <c r="M7" i="5"/>
  <c r="Q6" i="5"/>
  <c r="O6" i="5"/>
  <c r="M6" i="5"/>
  <c r="Q36" i="4"/>
  <c r="O36" i="4"/>
  <c r="M36" i="4"/>
  <c r="Q35" i="4"/>
  <c r="O35" i="4"/>
  <c r="M35" i="4"/>
  <c r="Q34" i="4"/>
  <c r="O34" i="4"/>
  <c r="M34" i="4"/>
  <c r="Q33" i="4"/>
  <c r="O33" i="4"/>
  <c r="M33" i="4"/>
  <c r="Q32" i="4"/>
  <c r="O32" i="4"/>
  <c r="M32" i="4"/>
  <c r="Q31" i="4"/>
  <c r="O31" i="4"/>
  <c r="M31" i="4"/>
  <c r="Q30" i="4"/>
  <c r="O30" i="4"/>
  <c r="M30" i="4"/>
  <c r="Q29" i="4"/>
  <c r="O29" i="4"/>
  <c r="M29" i="4"/>
  <c r="Q28" i="4"/>
  <c r="O28" i="4"/>
  <c r="M28" i="4"/>
  <c r="Q27" i="4"/>
  <c r="O27" i="4"/>
  <c r="M27" i="4"/>
  <c r="Q26" i="4"/>
  <c r="O26" i="4"/>
  <c r="M26" i="4"/>
  <c r="Q25" i="4"/>
  <c r="O25" i="4"/>
  <c r="M25" i="4"/>
  <c r="Q24" i="4"/>
  <c r="O24" i="4"/>
  <c r="M24" i="4"/>
  <c r="Q23" i="4"/>
  <c r="O23" i="4"/>
  <c r="M23" i="4"/>
  <c r="Q22" i="4"/>
  <c r="P22" i="4"/>
  <c r="O22" i="4"/>
  <c r="M22" i="4"/>
  <c r="N22" i="4" s="1"/>
  <c r="Q21" i="4"/>
  <c r="O21" i="4"/>
  <c r="M21" i="4"/>
  <c r="Q20" i="4"/>
  <c r="O20" i="4"/>
  <c r="M20" i="4"/>
  <c r="Q19" i="4"/>
  <c r="O19" i="4"/>
  <c r="M19" i="4"/>
  <c r="Q18" i="4"/>
  <c r="O18" i="4"/>
  <c r="M18" i="4"/>
  <c r="Q17" i="4"/>
  <c r="O17" i="4"/>
  <c r="M17" i="4"/>
  <c r="Q16" i="4"/>
  <c r="O16" i="4"/>
  <c r="M16" i="4"/>
  <c r="Q15" i="4"/>
  <c r="O15" i="4"/>
  <c r="M15" i="4"/>
  <c r="Q14" i="4"/>
  <c r="O14" i="4"/>
  <c r="M14" i="4"/>
  <c r="Q13" i="4"/>
  <c r="O13" i="4"/>
  <c r="M13" i="4"/>
  <c r="Q12" i="4"/>
  <c r="O12" i="4"/>
  <c r="M12" i="4"/>
  <c r="Q11" i="4"/>
  <c r="O11" i="4"/>
  <c r="M11" i="4"/>
  <c r="Q10" i="4"/>
  <c r="O10" i="4"/>
  <c r="M10" i="4"/>
  <c r="Q9" i="4"/>
  <c r="O9" i="4"/>
  <c r="M9" i="4"/>
  <c r="Q8" i="4"/>
  <c r="O8" i="4"/>
  <c r="M8" i="4"/>
  <c r="Q7" i="4"/>
  <c r="O7" i="4"/>
  <c r="M7" i="4"/>
  <c r="Q6" i="4"/>
  <c r="O6" i="4"/>
  <c r="M6" i="4"/>
  <c r="Q35" i="3"/>
  <c r="O35" i="3"/>
  <c r="M35" i="3"/>
  <c r="Q34" i="3"/>
  <c r="O34" i="3"/>
  <c r="M34" i="3"/>
  <c r="Q33" i="3"/>
  <c r="O33" i="3"/>
  <c r="M33" i="3"/>
  <c r="Q32" i="3"/>
  <c r="O32" i="3"/>
  <c r="M32" i="3"/>
  <c r="Q31" i="3"/>
  <c r="O31" i="3"/>
  <c r="M31" i="3"/>
  <c r="Q30" i="3"/>
  <c r="O30" i="3"/>
  <c r="M30" i="3"/>
  <c r="Q29" i="3"/>
  <c r="O29" i="3"/>
  <c r="M29" i="3"/>
  <c r="Q28" i="3"/>
  <c r="O28" i="3"/>
  <c r="M28" i="3"/>
  <c r="Q27" i="3"/>
  <c r="O27" i="3"/>
  <c r="M27" i="3"/>
  <c r="Q26" i="3"/>
  <c r="O26" i="3"/>
  <c r="M26" i="3"/>
  <c r="Q25" i="3"/>
  <c r="O25" i="3"/>
  <c r="M25" i="3"/>
  <c r="Q24" i="3"/>
  <c r="O24" i="3"/>
  <c r="M24" i="3"/>
  <c r="Q23" i="3"/>
  <c r="O23" i="3"/>
  <c r="M23" i="3"/>
  <c r="Q22" i="3"/>
  <c r="O22" i="3"/>
  <c r="M22" i="3"/>
  <c r="Q21" i="3"/>
  <c r="O21" i="3"/>
  <c r="M21" i="3"/>
  <c r="Q20" i="3"/>
  <c r="O20" i="3"/>
  <c r="M20" i="3"/>
  <c r="Q19" i="3"/>
  <c r="O19" i="3"/>
  <c r="M19" i="3"/>
  <c r="Q18" i="3"/>
  <c r="O18" i="3"/>
  <c r="M18" i="3"/>
  <c r="Q17" i="3"/>
  <c r="O17" i="3"/>
  <c r="M17" i="3"/>
  <c r="Q16" i="3"/>
  <c r="O16" i="3"/>
  <c r="M16" i="3"/>
  <c r="Q15" i="3"/>
  <c r="O15" i="3"/>
  <c r="M15" i="3"/>
  <c r="Q14" i="3"/>
  <c r="O14" i="3"/>
  <c r="M14" i="3"/>
  <c r="Q13" i="3"/>
  <c r="O13" i="3"/>
  <c r="M13" i="3"/>
  <c r="Q12" i="3"/>
  <c r="O12" i="3"/>
  <c r="M12" i="3"/>
  <c r="Q11" i="3"/>
  <c r="O11" i="3"/>
  <c r="M11" i="3"/>
  <c r="Q10" i="3"/>
  <c r="O10" i="3"/>
  <c r="M10" i="3"/>
  <c r="Q9" i="3"/>
  <c r="O9" i="3"/>
  <c r="M9" i="3"/>
  <c r="Q8" i="3"/>
  <c r="O8" i="3"/>
  <c r="M8" i="3"/>
  <c r="Q7" i="3"/>
  <c r="O7" i="3"/>
  <c r="M7" i="3"/>
  <c r="Q6" i="3"/>
  <c r="O6" i="3"/>
  <c r="M6" i="3"/>
  <c r="Y11" i="2"/>
  <c r="E8" i="25" l="1"/>
  <c r="M8" i="25"/>
  <c r="E7" i="25"/>
  <c r="E6" i="25"/>
  <c r="E5" i="25"/>
  <c r="E4" i="25"/>
  <c r="N26" i="24"/>
  <c r="J7" i="25"/>
  <c r="J6" i="25"/>
  <c r="N19" i="24"/>
  <c r="J5" i="25"/>
  <c r="N12" i="24"/>
  <c r="J4" i="25"/>
  <c r="N6" i="24"/>
  <c r="E9" i="23"/>
  <c r="E8" i="23"/>
  <c r="E7" i="23"/>
  <c r="M7" i="23"/>
  <c r="M6" i="23"/>
  <c r="E6" i="23"/>
  <c r="E5" i="23"/>
  <c r="M5" i="23"/>
  <c r="M4" i="23"/>
  <c r="E4" i="23"/>
  <c r="N35" i="22"/>
  <c r="J9" i="23"/>
  <c r="N33" i="22"/>
  <c r="J8" i="23"/>
  <c r="E8" i="21"/>
  <c r="E7" i="21"/>
  <c r="E6" i="21"/>
  <c r="M5" i="21"/>
  <c r="E5" i="21"/>
  <c r="M4" i="21"/>
  <c r="E4" i="21"/>
  <c r="J8" i="21"/>
  <c r="N31" i="20"/>
  <c r="N24" i="20"/>
  <c r="J7" i="21"/>
  <c r="P23" i="20"/>
  <c r="N23" i="20"/>
  <c r="P22" i="20"/>
  <c r="N22" i="20"/>
  <c r="P21" i="20"/>
  <c r="N21" i="20"/>
  <c r="P20" i="20"/>
  <c r="N20" i="20"/>
  <c r="P19" i="20"/>
  <c r="N19" i="20"/>
  <c r="P18" i="20"/>
  <c r="N18" i="20"/>
  <c r="J6" i="21"/>
  <c r="P17" i="20"/>
  <c r="N17" i="20"/>
  <c r="P16" i="20"/>
  <c r="N16" i="20"/>
  <c r="P15" i="20"/>
  <c r="N15" i="20"/>
  <c r="P14" i="20"/>
  <c r="N14" i="20"/>
  <c r="N13" i="20"/>
  <c r="P13" i="20"/>
  <c r="N12" i="20"/>
  <c r="P12" i="20"/>
  <c r="N11" i="20"/>
  <c r="P11" i="20"/>
  <c r="P10" i="20"/>
  <c r="N10" i="20"/>
  <c r="P9" i="20"/>
  <c r="N9" i="20"/>
  <c r="P8" i="20"/>
  <c r="N8" i="20"/>
  <c r="P7" i="20"/>
  <c r="N7" i="20"/>
  <c r="P6" i="20"/>
  <c r="N6" i="20"/>
  <c r="P35" i="18"/>
  <c r="N35" i="18"/>
  <c r="P34" i="18"/>
  <c r="N34" i="18"/>
  <c r="P33" i="18"/>
  <c r="N33" i="18"/>
  <c r="P32" i="18"/>
  <c r="N32" i="18"/>
  <c r="P31" i="18"/>
  <c r="N31" i="18"/>
  <c r="P30" i="18"/>
  <c r="N30" i="18"/>
  <c r="P29" i="18"/>
  <c r="N29" i="18"/>
  <c r="N28" i="18"/>
  <c r="P28" i="18"/>
  <c r="N27" i="18"/>
  <c r="P27" i="18"/>
  <c r="N26" i="18"/>
  <c r="P26" i="18"/>
  <c r="N25" i="18"/>
  <c r="P25" i="18"/>
  <c r="P24" i="18"/>
  <c r="N24" i="18"/>
  <c r="N23" i="18"/>
  <c r="P23" i="18"/>
  <c r="N22" i="18"/>
  <c r="P22" i="18"/>
  <c r="N21" i="18"/>
  <c r="P21" i="18"/>
  <c r="P20" i="18"/>
  <c r="N20" i="18"/>
  <c r="P19" i="18"/>
  <c r="N19" i="18"/>
  <c r="P18" i="18"/>
  <c r="N18" i="18"/>
  <c r="P17" i="18"/>
  <c r="N17" i="18"/>
  <c r="P16" i="18"/>
  <c r="N16" i="18"/>
  <c r="P15" i="18"/>
  <c r="N15" i="18"/>
  <c r="P14" i="18"/>
  <c r="N14" i="18"/>
  <c r="P13" i="18"/>
  <c r="N13" i="18"/>
  <c r="P12" i="18"/>
  <c r="N12" i="18"/>
  <c r="N11" i="18"/>
  <c r="P11" i="18"/>
  <c r="N10" i="18"/>
  <c r="P10" i="18"/>
  <c r="P9" i="18"/>
  <c r="N9" i="18"/>
  <c r="N8" i="18"/>
  <c r="P8" i="18"/>
  <c r="P7" i="18"/>
  <c r="N7" i="18"/>
  <c r="P6" i="18"/>
  <c r="N6" i="18"/>
  <c r="P36" i="16"/>
  <c r="N36" i="16"/>
  <c r="N35" i="16"/>
  <c r="P35" i="16"/>
  <c r="N34" i="16"/>
  <c r="I9" i="17" s="1"/>
  <c r="P34" i="16"/>
  <c r="N33" i="16"/>
  <c r="P33" i="16"/>
  <c r="N32" i="16"/>
  <c r="P32" i="16"/>
  <c r="N31" i="16"/>
  <c r="P31" i="16"/>
  <c r="P30" i="16"/>
  <c r="N30" i="16"/>
  <c r="N29" i="16"/>
  <c r="P29" i="16"/>
  <c r="N28" i="16"/>
  <c r="I8" i="17" s="1"/>
  <c r="P28" i="16"/>
  <c r="N27" i="16"/>
  <c r="I7" i="17" s="1"/>
  <c r="P27" i="16"/>
  <c r="P26" i="16"/>
  <c r="N26" i="16"/>
  <c r="N25" i="16"/>
  <c r="P25" i="16"/>
  <c r="P24" i="16"/>
  <c r="N24" i="16"/>
  <c r="N23" i="16"/>
  <c r="P23" i="16"/>
  <c r="N22" i="16"/>
  <c r="P22" i="16"/>
  <c r="N21" i="16"/>
  <c r="P21" i="16"/>
  <c r="N20" i="16"/>
  <c r="I6" i="17" s="1"/>
  <c r="P20" i="16"/>
  <c r="N19" i="16"/>
  <c r="P19" i="16"/>
  <c r="N18" i="16"/>
  <c r="P18" i="16"/>
  <c r="N17" i="16"/>
  <c r="P17" i="16"/>
  <c r="N16" i="16"/>
  <c r="P16" i="16"/>
  <c r="N15" i="16"/>
  <c r="P15" i="16"/>
  <c r="N14" i="16"/>
  <c r="P14" i="16"/>
  <c r="N13" i="16"/>
  <c r="I5" i="17" s="1"/>
  <c r="P13" i="16"/>
  <c r="P12" i="16"/>
  <c r="N12" i="16"/>
  <c r="P11" i="16"/>
  <c r="N11" i="16"/>
  <c r="P10" i="16"/>
  <c r="N10" i="16"/>
  <c r="N9" i="16"/>
  <c r="P9" i="16"/>
  <c r="P8" i="16"/>
  <c r="N8" i="16"/>
  <c r="P7" i="16"/>
  <c r="N7" i="16"/>
  <c r="P6" i="16"/>
  <c r="N6" i="16"/>
  <c r="P36" i="14"/>
  <c r="N36" i="14"/>
  <c r="P35" i="14"/>
  <c r="N35" i="14"/>
  <c r="P34" i="14"/>
  <c r="N34" i="14"/>
  <c r="N33" i="14"/>
  <c r="P33" i="14"/>
  <c r="P32" i="14"/>
  <c r="N32" i="14"/>
  <c r="I8" i="15" s="1"/>
  <c r="H8" i="15"/>
  <c r="P31" i="14"/>
  <c r="N31" i="14"/>
  <c r="P30" i="14"/>
  <c r="N30" i="14"/>
  <c r="P29" i="14"/>
  <c r="N29" i="14"/>
  <c r="P28" i="14"/>
  <c r="N28" i="14"/>
  <c r="P27" i="14"/>
  <c r="N27" i="14"/>
  <c r="N26" i="14"/>
  <c r="P26" i="14"/>
  <c r="N25" i="14"/>
  <c r="I7" i="15" s="1"/>
  <c r="P25" i="14"/>
  <c r="H7" i="15"/>
  <c r="P24" i="14"/>
  <c r="N24" i="14"/>
  <c r="P23" i="14"/>
  <c r="N23" i="14"/>
  <c r="H6" i="15"/>
  <c r="P22" i="14"/>
  <c r="N22" i="14"/>
  <c r="N21" i="14"/>
  <c r="P21" i="14"/>
  <c r="N20" i="14"/>
  <c r="P20" i="14"/>
  <c r="N19" i="14"/>
  <c r="P19" i="14"/>
  <c r="P18" i="14"/>
  <c r="N18" i="14"/>
  <c r="I6" i="15" s="1"/>
  <c r="P17" i="14"/>
  <c r="N17" i="14"/>
  <c r="N16" i="14"/>
  <c r="P16" i="14"/>
  <c r="P15" i="14"/>
  <c r="N15" i="14"/>
  <c r="N14" i="14"/>
  <c r="P14" i="14"/>
  <c r="N13" i="14"/>
  <c r="P13" i="14"/>
  <c r="N12" i="14"/>
  <c r="P12" i="14"/>
  <c r="N11" i="14"/>
  <c r="I5" i="15" s="1"/>
  <c r="P11" i="14"/>
  <c r="P10" i="14"/>
  <c r="N10" i="14"/>
  <c r="P9" i="14"/>
  <c r="N9" i="14"/>
  <c r="P8" i="14"/>
  <c r="N8" i="14"/>
  <c r="P7" i="14"/>
  <c r="N7" i="14"/>
  <c r="K6" i="15"/>
  <c r="P6" i="14"/>
  <c r="K7" i="15"/>
  <c r="K8" i="15"/>
  <c r="H21" i="15"/>
  <c r="K21" i="15"/>
  <c r="N6" i="14"/>
  <c r="P35" i="12"/>
  <c r="N35" i="12"/>
  <c r="P34" i="12"/>
  <c r="N34" i="12"/>
  <c r="P33" i="12"/>
  <c r="N33" i="12"/>
  <c r="P32" i="12"/>
  <c r="N32" i="12"/>
  <c r="P31" i="12"/>
  <c r="N31" i="12"/>
  <c r="P30" i="12"/>
  <c r="N30" i="12"/>
  <c r="N29" i="12"/>
  <c r="P29" i="12"/>
  <c r="P28" i="12"/>
  <c r="N28" i="12"/>
  <c r="P27" i="12"/>
  <c r="N27" i="12"/>
  <c r="P26" i="12"/>
  <c r="N26" i="12"/>
  <c r="P25" i="12"/>
  <c r="N25" i="12"/>
  <c r="N24" i="12"/>
  <c r="P24" i="12"/>
  <c r="P23" i="12"/>
  <c r="N23" i="12"/>
  <c r="P22" i="12"/>
  <c r="N22" i="12"/>
  <c r="N21" i="12"/>
  <c r="P21" i="12"/>
  <c r="N20" i="12"/>
  <c r="P20" i="12"/>
  <c r="N19" i="12"/>
  <c r="P19" i="12"/>
  <c r="N18" i="12"/>
  <c r="P18" i="12"/>
  <c r="P17" i="12"/>
  <c r="N17" i="12"/>
  <c r="P16" i="12"/>
  <c r="N16" i="12"/>
  <c r="N15" i="12"/>
  <c r="P15" i="12"/>
  <c r="N14" i="12"/>
  <c r="P14" i="12"/>
  <c r="N13" i="12"/>
  <c r="P13" i="12"/>
  <c r="N12" i="12"/>
  <c r="P12" i="12"/>
  <c r="P11" i="12"/>
  <c r="N11" i="12"/>
  <c r="P10" i="12"/>
  <c r="N10" i="12"/>
  <c r="P9" i="12"/>
  <c r="N9" i="12"/>
  <c r="N8" i="12"/>
  <c r="P8" i="12"/>
  <c r="P7" i="12"/>
  <c r="N7" i="12"/>
  <c r="P6" i="12"/>
  <c r="N6" i="12"/>
  <c r="N36" i="11"/>
  <c r="P36" i="11"/>
  <c r="P35" i="11"/>
  <c r="N35" i="11"/>
  <c r="N34" i="11"/>
  <c r="P34" i="11"/>
  <c r="N33" i="11"/>
  <c r="P33" i="11"/>
  <c r="N32" i="11"/>
  <c r="P32" i="11"/>
  <c r="P31" i="11"/>
  <c r="N31" i="11"/>
  <c r="P30" i="11"/>
  <c r="N30" i="11"/>
  <c r="P29" i="11"/>
  <c r="N29" i="11"/>
  <c r="P27" i="11"/>
  <c r="N27" i="11"/>
  <c r="P26" i="11"/>
  <c r="N26" i="11"/>
  <c r="P25" i="11"/>
  <c r="N25" i="11"/>
  <c r="P24" i="11"/>
  <c r="N24" i="11"/>
  <c r="P23" i="11"/>
  <c r="N23" i="11"/>
  <c r="P22" i="11"/>
  <c r="N22" i="11"/>
  <c r="P21" i="11"/>
  <c r="N21" i="11"/>
  <c r="N20" i="11"/>
  <c r="P20" i="11"/>
  <c r="P19" i="11"/>
  <c r="N19" i="11"/>
  <c r="P18" i="11"/>
  <c r="N18" i="11"/>
  <c r="P17" i="11"/>
  <c r="N17" i="11"/>
  <c r="P16" i="11"/>
  <c r="N16" i="11"/>
  <c r="P15" i="11"/>
  <c r="N15" i="11"/>
  <c r="P14" i="11"/>
  <c r="N14" i="11"/>
  <c r="P13" i="11"/>
  <c r="N13" i="11"/>
  <c r="P12" i="11"/>
  <c r="N12" i="11"/>
  <c r="P11" i="11"/>
  <c r="N11" i="11"/>
  <c r="N10" i="11"/>
  <c r="P10" i="11"/>
  <c r="P9" i="11"/>
  <c r="N9" i="11"/>
  <c r="P8" i="11"/>
  <c r="N8" i="11"/>
  <c r="P7" i="11"/>
  <c r="N7" i="11"/>
  <c r="P6" i="11"/>
  <c r="N6" i="11"/>
  <c r="P35" i="10"/>
  <c r="N35" i="10"/>
  <c r="P34" i="10"/>
  <c r="N34" i="10"/>
  <c r="N33" i="10"/>
  <c r="P33" i="10"/>
  <c r="N32" i="10"/>
  <c r="P32" i="10"/>
  <c r="P31" i="10"/>
  <c r="N31" i="10"/>
  <c r="P30" i="10"/>
  <c r="N30" i="10"/>
  <c r="P29" i="10"/>
  <c r="N29" i="10"/>
  <c r="P28" i="10"/>
  <c r="N28" i="10"/>
  <c r="P27" i="10"/>
  <c r="N27" i="10"/>
  <c r="P26" i="10"/>
  <c r="N26" i="10"/>
  <c r="P25" i="10"/>
  <c r="N25" i="10"/>
  <c r="P24" i="10"/>
  <c r="N24" i="10"/>
  <c r="N23" i="10"/>
  <c r="P23" i="10"/>
  <c r="P22" i="10"/>
  <c r="N22" i="10"/>
  <c r="P21" i="10"/>
  <c r="N21" i="10"/>
  <c r="P20" i="10"/>
  <c r="N20" i="10"/>
  <c r="P19" i="10"/>
  <c r="N19" i="10"/>
  <c r="N18" i="10"/>
  <c r="P18" i="10"/>
  <c r="P17" i="10"/>
  <c r="N17" i="10"/>
  <c r="N16" i="10"/>
  <c r="P16" i="10"/>
  <c r="N15" i="10"/>
  <c r="P15" i="10"/>
  <c r="N14" i="10"/>
  <c r="P14" i="10"/>
  <c r="P13" i="10"/>
  <c r="N13" i="10"/>
  <c r="N12" i="10"/>
  <c r="P12" i="10"/>
  <c r="N11" i="10"/>
  <c r="P11" i="10"/>
  <c r="P10" i="10"/>
  <c r="N10" i="10"/>
  <c r="N9" i="10"/>
  <c r="P9" i="10"/>
  <c r="P8" i="10"/>
  <c r="N8" i="10"/>
  <c r="N7" i="10"/>
  <c r="P7" i="10"/>
  <c r="P6" i="10"/>
  <c r="N6" i="10"/>
  <c r="P36" i="9"/>
  <c r="N36" i="9"/>
  <c r="N35" i="9"/>
  <c r="P35" i="9"/>
  <c r="N34" i="9"/>
  <c r="P34" i="9"/>
  <c r="P33" i="9"/>
  <c r="N33" i="9"/>
  <c r="P32" i="9"/>
  <c r="N32" i="9"/>
  <c r="P31" i="9"/>
  <c r="N31" i="9"/>
  <c r="P30" i="9"/>
  <c r="N30" i="9"/>
  <c r="N29" i="9"/>
  <c r="P29" i="9"/>
  <c r="N28" i="9"/>
  <c r="P28" i="9"/>
  <c r="P27" i="9"/>
  <c r="N27" i="9"/>
  <c r="P26" i="9"/>
  <c r="N26" i="9"/>
  <c r="P25" i="9"/>
  <c r="N25" i="9"/>
  <c r="P24" i="9"/>
  <c r="N24" i="9"/>
  <c r="P23" i="9"/>
  <c r="N23" i="9"/>
  <c r="P22" i="9"/>
  <c r="N22" i="9"/>
  <c r="P21" i="9"/>
  <c r="N21" i="9"/>
  <c r="P20" i="9"/>
  <c r="N20" i="9"/>
  <c r="P19" i="9"/>
  <c r="N19" i="9"/>
  <c r="P18" i="9"/>
  <c r="N18" i="9"/>
  <c r="P17" i="9"/>
  <c r="N17" i="9"/>
  <c r="N16" i="9"/>
  <c r="P16" i="9"/>
  <c r="P15" i="9"/>
  <c r="N15" i="9"/>
  <c r="N14" i="9"/>
  <c r="P14" i="9"/>
  <c r="P13" i="9"/>
  <c r="N13" i="9"/>
  <c r="N12" i="9"/>
  <c r="P12" i="9"/>
  <c r="P11" i="9"/>
  <c r="N11" i="9"/>
  <c r="N10" i="9"/>
  <c r="P10" i="9"/>
  <c r="N9" i="9"/>
  <c r="P9" i="9"/>
  <c r="P8" i="9"/>
  <c r="N8" i="9"/>
  <c r="N7" i="9"/>
  <c r="P7" i="9"/>
  <c r="P6" i="9"/>
  <c r="N6" i="9"/>
  <c r="N33" i="8"/>
  <c r="P33" i="8"/>
  <c r="P32" i="8"/>
  <c r="N32" i="8"/>
  <c r="N31" i="8"/>
  <c r="P31" i="8"/>
  <c r="P30" i="8"/>
  <c r="N30" i="8"/>
  <c r="P29" i="8"/>
  <c r="N29" i="8"/>
  <c r="N28" i="8"/>
  <c r="P28" i="8"/>
  <c r="N27" i="8"/>
  <c r="P27" i="8"/>
  <c r="P26" i="8"/>
  <c r="N26" i="8"/>
  <c r="P21" i="8"/>
  <c r="N21" i="8"/>
  <c r="N20" i="8"/>
  <c r="P20" i="8"/>
  <c r="P19" i="8"/>
  <c r="N19" i="8"/>
  <c r="P18" i="8"/>
  <c r="N18" i="8"/>
  <c r="P17" i="8"/>
  <c r="N17" i="8"/>
  <c r="N16" i="8"/>
  <c r="P16" i="8"/>
  <c r="N15" i="8"/>
  <c r="P15" i="8"/>
  <c r="P14" i="8"/>
  <c r="N14" i="8"/>
  <c r="N13" i="8"/>
  <c r="P13" i="8"/>
  <c r="N12" i="8"/>
  <c r="P12" i="8"/>
  <c r="N11" i="8"/>
  <c r="P11" i="8"/>
  <c r="P10" i="8"/>
  <c r="N10" i="8"/>
  <c r="N9" i="8"/>
  <c r="P9" i="8"/>
  <c r="P7" i="8"/>
  <c r="N7" i="8"/>
  <c r="P6" i="8"/>
  <c r="N6" i="8"/>
  <c r="P36" i="7"/>
  <c r="N36" i="7"/>
  <c r="P35" i="7"/>
  <c r="N35" i="7"/>
  <c r="N34" i="7"/>
  <c r="P34" i="7"/>
  <c r="N33" i="7"/>
  <c r="P33" i="7"/>
  <c r="N32" i="7"/>
  <c r="P32" i="7"/>
  <c r="N31" i="7"/>
  <c r="P31" i="7"/>
  <c r="N30" i="7"/>
  <c r="P30" i="7"/>
  <c r="P29" i="7"/>
  <c r="N29" i="7"/>
  <c r="P28" i="7"/>
  <c r="N28" i="7"/>
  <c r="N27" i="7"/>
  <c r="P27" i="7"/>
  <c r="P26" i="7"/>
  <c r="N26" i="7"/>
  <c r="P25" i="7"/>
  <c r="N25" i="7"/>
  <c r="N24" i="7"/>
  <c r="P24" i="7"/>
  <c r="N23" i="7"/>
  <c r="P23" i="7"/>
  <c r="N22" i="7"/>
  <c r="P22" i="7"/>
  <c r="N21" i="7"/>
  <c r="P21" i="7"/>
  <c r="N20" i="7"/>
  <c r="P20" i="7"/>
  <c r="P19" i="7"/>
  <c r="N19" i="7"/>
  <c r="P18" i="7"/>
  <c r="N18" i="7"/>
  <c r="N17" i="7"/>
  <c r="P17" i="7"/>
  <c r="N16" i="7"/>
  <c r="P16" i="7"/>
  <c r="N15" i="7"/>
  <c r="P15" i="7"/>
  <c r="P14" i="7"/>
  <c r="N14" i="7"/>
  <c r="P13" i="7"/>
  <c r="N13" i="7"/>
  <c r="P12" i="7"/>
  <c r="N12" i="7"/>
  <c r="P11" i="7"/>
  <c r="N11" i="7"/>
  <c r="P10" i="7"/>
  <c r="N10" i="7"/>
  <c r="P9" i="7"/>
  <c r="N9" i="7"/>
  <c r="P8" i="7"/>
  <c r="N8" i="7"/>
  <c r="P7" i="7"/>
  <c r="N7" i="7"/>
  <c r="N6" i="7"/>
  <c r="P6" i="7"/>
  <c r="P36" i="6"/>
  <c r="N36" i="6"/>
  <c r="P35" i="6"/>
  <c r="N35" i="6"/>
  <c r="P34" i="6"/>
  <c r="N34" i="6"/>
  <c r="P33" i="6"/>
  <c r="N33" i="6"/>
  <c r="P32" i="6"/>
  <c r="N32" i="6"/>
  <c r="P31" i="6"/>
  <c r="N31" i="6"/>
  <c r="P30" i="6"/>
  <c r="N30" i="6"/>
  <c r="P29" i="6"/>
  <c r="N29" i="6"/>
  <c r="N28" i="6"/>
  <c r="P28" i="6"/>
  <c r="N27" i="6"/>
  <c r="P27" i="6"/>
  <c r="P26" i="6"/>
  <c r="N26" i="6"/>
  <c r="P25" i="6"/>
  <c r="N25" i="6"/>
  <c r="P24" i="6"/>
  <c r="N24" i="6"/>
  <c r="P23" i="6"/>
  <c r="N23" i="6"/>
  <c r="N22" i="6"/>
  <c r="P22" i="6"/>
  <c r="P21" i="6"/>
  <c r="N21" i="6"/>
  <c r="N20" i="6"/>
  <c r="P20" i="6"/>
  <c r="P19" i="6"/>
  <c r="N19" i="6"/>
  <c r="N18" i="6"/>
  <c r="P18" i="6"/>
  <c r="N17" i="6"/>
  <c r="P17" i="6"/>
  <c r="N15" i="6"/>
  <c r="P15" i="6"/>
  <c r="P14" i="6"/>
  <c r="N14" i="6"/>
  <c r="P13" i="6"/>
  <c r="N13" i="6"/>
  <c r="P12" i="6"/>
  <c r="N12" i="6"/>
  <c r="N11" i="6"/>
  <c r="P11" i="6"/>
  <c r="N10" i="6"/>
  <c r="P10" i="6"/>
  <c r="N9" i="6"/>
  <c r="P9" i="6"/>
  <c r="P8" i="6"/>
  <c r="N8" i="6"/>
  <c r="P7" i="6"/>
  <c r="N7" i="6"/>
  <c r="P6" i="6"/>
  <c r="N6" i="6"/>
  <c r="P35" i="5"/>
  <c r="N35" i="5"/>
  <c r="N34" i="5"/>
  <c r="P34" i="5"/>
  <c r="N33" i="5"/>
  <c r="P33" i="5"/>
  <c r="P32" i="5"/>
  <c r="N32" i="5"/>
  <c r="N31" i="5"/>
  <c r="P31" i="5"/>
  <c r="N30" i="5"/>
  <c r="P30" i="5"/>
  <c r="P29" i="5"/>
  <c r="N29" i="5"/>
  <c r="P28" i="5"/>
  <c r="N28" i="5"/>
  <c r="N27" i="5"/>
  <c r="P27" i="5"/>
  <c r="N26" i="5"/>
  <c r="P26" i="5"/>
  <c r="P25" i="5"/>
  <c r="N25" i="5"/>
  <c r="P24" i="5"/>
  <c r="N24" i="5"/>
  <c r="P23" i="5"/>
  <c r="N23" i="5"/>
  <c r="P22" i="5"/>
  <c r="N22" i="5"/>
  <c r="N21" i="5"/>
  <c r="P21" i="5"/>
  <c r="P20" i="5"/>
  <c r="N20" i="5"/>
  <c r="P19" i="5"/>
  <c r="N19" i="5"/>
  <c r="P18" i="5"/>
  <c r="N18" i="5"/>
  <c r="P17" i="5"/>
  <c r="N17" i="5"/>
  <c r="N16" i="5"/>
  <c r="P16" i="5"/>
  <c r="N15" i="5"/>
  <c r="P15" i="5"/>
  <c r="N14" i="5"/>
  <c r="P14" i="5"/>
  <c r="P13" i="5"/>
  <c r="N13" i="5"/>
  <c r="P12" i="5"/>
  <c r="N12" i="5"/>
  <c r="P11" i="5"/>
  <c r="N11" i="5"/>
  <c r="P10" i="5"/>
  <c r="N10" i="5"/>
  <c r="P9" i="5"/>
  <c r="N9" i="5"/>
  <c r="P8" i="5"/>
  <c r="N8" i="5"/>
  <c r="P7" i="5"/>
  <c r="N7" i="5"/>
  <c r="P6" i="5"/>
  <c r="N6" i="5"/>
  <c r="P36" i="4"/>
  <c r="N36" i="4"/>
  <c r="N35" i="4"/>
  <c r="P35" i="4"/>
  <c r="N34" i="4"/>
  <c r="P34" i="4"/>
  <c r="N33" i="4"/>
  <c r="P33" i="4"/>
  <c r="P32" i="4"/>
  <c r="N32" i="4"/>
  <c r="P31" i="4"/>
  <c r="N31" i="4"/>
  <c r="P30" i="4"/>
  <c r="N30" i="4"/>
  <c r="P29" i="4"/>
  <c r="N29" i="4"/>
  <c r="N28" i="4"/>
  <c r="P28" i="4"/>
  <c r="P27" i="4"/>
  <c r="N27" i="4"/>
  <c r="P26" i="4"/>
  <c r="N26" i="4"/>
  <c r="P25" i="4"/>
  <c r="N25" i="4"/>
  <c r="N24" i="4"/>
  <c r="P24" i="4"/>
  <c r="N23" i="4"/>
  <c r="P23" i="4"/>
  <c r="N21" i="4"/>
  <c r="P21" i="4"/>
  <c r="N20" i="4"/>
  <c r="P20" i="4"/>
  <c r="P19" i="4"/>
  <c r="N19" i="4"/>
  <c r="N18" i="4"/>
  <c r="P18" i="4"/>
  <c r="P17" i="4"/>
  <c r="N17" i="4"/>
  <c r="P16" i="4"/>
  <c r="N16" i="4"/>
  <c r="P15" i="4"/>
  <c r="N15" i="4"/>
  <c r="P14" i="4"/>
  <c r="N14" i="4"/>
  <c r="P13" i="4"/>
  <c r="N13" i="4"/>
  <c r="N12" i="4"/>
  <c r="P12" i="4"/>
  <c r="P11" i="4"/>
  <c r="N11" i="4"/>
  <c r="P10" i="4"/>
  <c r="N10" i="4"/>
  <c r="N9" i="4"/>
  <c r="P9" i="4"/>
  <c r="P8" i="4"/>
  <c r="N8" i="4"/>
  <c r="P7" i="4"/>
  <c r="N7" i="4"/>
  <c r="N6" i="4"/>
  <c r="P6" i="4"/>
  <c r="N35" i="3"/>
  <c r="P35" i="3"/>
  <c r="N34" i="3"/>
  <c r="P34" i="3"/>
  <c r="N33" i="3"/>
  <c r="P33" i="3"/>
  <c r="P32" i="3"/>
  <c r="N32" i="3"/>
  <c r="N31" i="3"/>
  <c r="P31" i="3"/>
  <c r="P30" i="3"/>
  <c r="N30" i="3"/>
  <c r="P29" i="3"/>
  <c r="N29" i="3"/>
  <c r="P28" i="3"/>
  <c r="N28" i="3"/>
  <c r="N27" i="3"/>
  <c r="P27" i="3"/>
  <c r="P26" i="3"/>
  <c r="N26" i="3"/>
  <c r="N25" i="3"/>
  <c r="P25" i="3"/>
  <c r="N24" i="3"/>
  <c r="P24" i="3"/>
  <c r="N23" i="3"/>
  <c r="P23" i="3"/>
  <c r="P22" i="3"/>
  <c r="N22" i="3"/>
  <c r="N21" i="3"/>
  <c r="P21" i="3"/>
  <c r="P20" i="3"/>
  <c r="N20" i="3"/>
  <c r="P19" i="3"/>
  <c r="N19" i="3"/>
  <c r="P18" i="3"/>
  <c r="N18" i="3"/>
  <c r="N17" i="3"/>
  <c r="P17" i="3"/>
  <c r="P16" i="3"/>
  <c r="N16" i="3"/>
  <c r="N15" i="3"/>
  <c r="P15" i="3"/>
  <c r="P14" i="3"/>
  <c r="N14" i="3"/>
  <c r="P13" i="3"/>
  <c r="N13" i="3"/>
  <c r="P12" i="3"/>
  <c r="N12" i="3"/>
  <c r="P11" i="3"/>
  <c r="N11" i="3"/>
  <c r="N10" i="3"/>
  <c r="P10" i="3"/>
  <c r="P9" i="3"/>
  <c r="N9" i="3"/>
  <c r="N8" i="3"/>
  <c r="P8" i="3"/>
  <c r="N7" i="3"/>
  <c r="P7" i="3"/>
  <c r="N6" i="3"/>
  <c r="P6" i="3"/>
  <c r="I4" i="17" l="1"/>
  <c r="I22" i="17"/>
  <c r="I4" i="15"/>
  <c r="I21" i="15"/>
  <c r="L7" i="25"/>
  <c r="M7" i="25"/>
  <c r="L6" i="25"/>
  <c r="M6" i="25"/>
  <c r="L5" i="25"/>
  <c r="M5" i="25"/>
  <c r="L4" i="25"/>
  <c r="M4" i="25"/>
  <c r="L9" i="23"/>
  <c r="M9" i="23"/>
  <c r="L8" i="23"/>
  <c r="M8" i="23"/>
  <c r="L8" i="21"/>
  <c r="M8" i="21"/>
  <c r="L7" i="21"/>
  <c r="M7" i="21"/>
  <c r="L6" i="21"/>
  <c r="M6" i="21"/>
</calcChain>
</file>

<file path=xl/sharedStrings.xml><?xml version="1.0" encoding="utf-8"?>
<sst xmlns="http://schemas.openxmlformats.org/spreadsheetml/2006/main" count="2063" uniqueCount="652">
  <si>
    <t>CARASE FB &amp; STORE  •  BẢNG CHỈ SỐ TỔNG HỢP  •  T1/2025 → T9/2026</t>
  </si>
  <si>
    <t>⬜ Baseline T1/2025–T5/2026    🟡 Upload Nhanh.vn cuối tháng → Claude tính    🟢 Tự kéo từ DAILY T6–T9</t>
  </si>
  <si>
    <t>Nhóm</t>
  </si>
  <si>
    <t>Chỉ số</t>
  </si>
  <si>
    <t>Đơn vị</t>
  </si>
  <si>
    <t>T1/25</t>
  </si>
  <si>
    <t>T2/25</t>
  </si>
  <si>
    <t>T3/25</t>
  </si>
  <si>
    <t>T4/25</t>
  </si>
  <si>
    <t>T5/25</t>
  </si>
  <si>
    <t>T6/25</t>
  </si>
  <si>
    <t>T7/25</t>
  </si>
  <si>
    <t>T8/25</t>
  </si>
  <si>
    <t>T9/25</t>
  </si>
  <si>
    <t>T10/25</t>
  </si>
  <si>
    <t>T11/25</t>
  </si>
  <si>
    <t>T12/25</t>
  </si>
  <si>
    <t>T1/26</t>
  </si>
  <si>
    <t>T2/26</t>
  </si>
  <si>
    <t>T3/26</t>
  </si>
  <si>
    <t>T4/26</t>
  </si>
  <si>
    <t>T5/26</t>
  </si>
  <si>
    <t>T6/26</t>
  </si>
  <si>
    <t>T7/26</t>
  </si>
  <si>
    <t>T8/26</t>
  </si>
  <si>
    <t>T9/26</t>
  </si>
  <si>
    <t>T10/26</t>
  </si>
  <si>
    <t>T11/26</t>
  </si>
  <si>
    <t>T12/26</t>
  </si>
  <si>
    <t xml:space="preserve">  1️⃣  FACEBOOK</t>
  </si>
  <si>
    <t xml:space="preserve">  ── 📦 DOANH THU &amp; ADS ──</t>
  </si>
  <si>
    <t>Doanh thu FB</t>
  </si>
  <si>
    <t>đồng</t>
  </si>
  <si>
    <t>Đơn hàng FB</t>
  </si>
  <si>
    <t>đơn</t>
  </si>
  <si>
    <t>AOV FB</t>
  </si>
  <si>
    <t>đồng/đơn</t>
  </si>
  <si>
    <t>CMT + Inbox Vpage</t>
  </si>
  <si>
    <t>lượt</t>
  </si>
  <si>
    <t>CR% (Đơn FB / CMT+IB)</t>
  </si>
  <si>
    <t>%</t>
  </si>
  <si>
    <t>lần</t>
  </si>
  <si>
    <t xml:space="preserve">  ── 👤 KHÁCH HÀNG FB ──</t>
  </si>
  <si>
    <t xml:space="preserve">       Acquisition</t>
  </si>
  <si>
    <t>KH mới FB</t>
  </si>
  <si>
    <t>KH</t>
  </si>
  <si>
    <t xml:space="preserve">  ↳ AOV lần đầu FB</t>
  </si>
  <si>
    <t>Activation: lần 1→2 trong 90 ngày</t>
  </si>
  <si>
    <t>Cohort: KH mới T-1 → mua lại T này</t>
  </si>
  <si>
    <t xml:space="preserve">       Retention</t>
  </si>
  <si>
    <t>KH cũ FB mua lại (tổng tháng)</t>
  </si>
  <si>
    <t xml:space="preserve">  ↳ AOV KH cũ FB</t>
  </si>
  <si>
    <t>% Retention FB</t>
  </si>
  <si>
    <t xml:space="preserve">  ↳ Mua lại ≤30 ngày</t>
  </si>
  <si>
    <t xml:space="preserve">     ↳ AOV</t>
  </si>
  <si>
    <t xml:space="preserve">  ↳ Mua lại 31–90 ngày</t>
  </si>
  <si>
    <t xml:space="preserve">  ↳ Mua lại &gt;90 ngày</t>
  </si>
  <si>
    <t xml:space="preserve">       Loyalty</t>
  </si>
  <si>
    <t>KH FB mua lần 3+</t>
  </si>
  <si>
    <t xml:space="preserve">  ↳ AOV lần 3+</t>
  </si>
  <si>
    <t>CLV 12 tháng rolling (FB)</t>
  </si>
  <si>
    <t>đồng/KH</t>
  </si>
  <si>
    <t xml:space="preserve">  2️⃣  STORE</t>
  </si>
  <si>
    <t xml:space="preserve">  ── 📦 DOANH THU STORE ──</t>
  </si>
  <si>
    <t>DT Store Tổng (NDC+PH+NGT+350C*)</t>
  </si>
  <si>
    <t xml:space="preserve">  ↳ NDC (619 Nguyễn Đình Chiểu)</t>
  </si>
  <si>
    <t xml:space="preserve">  ↳ Phố Huế (02 Phố Huế)</t>
  </si>
  <si>
    <t xml:space="preserve">  ↳ NGT (88 Nguyễn Gia Trí)</t>
  </si>
  <si>
    <t>Đơn hàng Store</t>
  </si>
  <si>
    <t>AOV Store</t>
  </si>
  <si>
    <t xml:space="preserve">  ↳ 350C Hoàng Văn Thụ  (DT net, T1/25–T11/25)</t>
  </si>
  <si>
    <t>KH mới Store</t>
  </si>
  <si>
    <t xml:space="preserve">  ↳ AOV lần đầu Store</t>
  </si>
  <si>
    <t>KH cũ Store mua lại (tổng tháng)</t>
  </si>
  <si>
    <t xml:space="preserve">  ↳ AOV KH cũ Store</t>
  </si>
  <si>
    <t>% Retention Store</t>
  </si>
  <si>
    <t>KH Store mua lần 3+</t>
  </si>
  <si>
    <t>CLV 12 tháng rolling (Store)</t>
  </si>
  <si>
    <t xml:space="preserve">  3️⃣  O3 (KÍNH GỌNG + ẤN MẮT)</t>
  </si>
  <si>
    <t xml:space="preserve">  ── 👓 DOANH THU O3 ──</t>
  </si>
  <si>
    <t>DT O3 (Tròng + Mắt Kính) — FB + Store</t>
  </si>
  <si>
    <t>% O3 / DT Tổng (FB + Store)</t>
  </si>
  <si>
    <t xml:space="preserve">  4️⃣  TỔNG HỢP</t>
  </si>
  <si>
    <t xml:space="preserve">  ── 📊 TỔNG &amp; CROSS-CHANNEL ──</t>
  </si>
  <si>
    <t>DT Tổng (FB + Store)</t>
  </si>
  <si>
    <t>Số lần mua TB / KH trong tháng</t>
  </si>
  <si>
    <t>Win-back pool (im lặng &gt;60 ngày)</t>
  </si>
  <si>
    <t>Win-back thành công tháng này</t>
  </si>
  <si>
    <t>Tần suất mua TB (ngày/lần)</t>
  </si>
  <si>
    <t>ngày</t>
  </si>
  <si>
    <t xml:space="preserve">  ↳ Tần suất mua FB (ngày/lần)</t>
  </si>
  <si>
    <t xml:space="preserve">  ↳ Tần suất mua Store (ngày/lần)</t>
  </si>
  <si>
    <t xml:space="preserve">  ── 💎 CLV — Tổng lịch sử &amp; 12 tháng ──</t>
  </si>
  <si>
    <t xml:space="preserve">  CLV FB (tổng lịch sử / KH FB)</t>
  </si>
  <si>
    <t xml:space="preserve">  CLV Store (tổng lịch sử / KH Store)</t>
  </si>
  <si>
    <t xml:space="preserve">  CLV FB 12 tháng rolling</t>
  </si>
  <si>
    <t xml:space="preserve">  CLV Store 12 tháng rolling</t>
  </si>
  <si>
    <t xml:space="preserve">  📌 Ô vàng: Upload Nhanh.vn cuối tháng → Claude tính  |  🟢 Ô xanh: Tự kéo từ DAILY sheet  |  CLV Realized đo theo Quý (3 tháng/lần)</t>
  </si>
  <si>
    <t>📖 ĐỊNH NGHĨA CHỈ SỐ — CARASE FB &amp; STORE MASTER TRACKER  (Cập nhật T8/2026)</t>
  </si>
  <si>
    <t>⚠️  ĐỌC KỸ TRƯỚC KHI LÀM BÁO CÁO — Cột NGUỒN = fill_daily.py / metrics_script / Nhập tay. Dùng đúng công thức ghi trong cột này.</t>
  </si>
  <si>
    <t>🟢 NGUỒN fill_daily.py = DT FB / Đơn FB / DT Store / Đơn Store / DT O3 / DT Tổng   |   🟡 NGUỒN metrics_script = KH mới/cũ / Retention / CLV / Tần suất / Win-back   |   🟠 Nhập tay = Ads / CMT+IB</t>
  </si>
  <si>
    <t>Row
MASTER</t>
  </si>
  <si>
    <t>Kênh</t>
  </si>
  <si>
    <t>Tên chỉ số</t>
  </si>
  <si>
    <t>Định nghĩa đầy đủ</t>
  </si>
  <si>
    <t>⚠️ CÔNG THỨC ĐÚNG (duy nhất được dùng)</t>
  </si>
  <si>
    <t>🔴 NGUỒN LẤY SỐ</t>
  </si>
  <si>
    <t>Cách đọc &amp; Ý nghĩa</t>
  </si>
  <si>
    <t>Ngưỡng / Tham chiếu T8/26 (FINAL 1/8–30/8)</t>
  </si>
  <si>
    <t>📦 DOANH THU &amp; ĐƠN HÀNG — FACEBOOK</t>
  </si>
  <si>
    <t>R6</t>
  </si>
  <si>
    <t>FB</t>
  </si>
  <si>
    <t>Tổng tiền thu từ đơn FB giao thành công trong tháng, đã trừ đơn trả hàng.</t>
  </si>
  <si>
    <t>Σ (Tổng thu + Tiền CK) của đơn FB có 'Ngày thành công' trong tháng T.
⚠️ Phải cộng CẢ 2 cột — đơn CK có Tổng thu=0 → bỏ cột CK sẽ thiếu ~45% DT.
⚠️ ffill cột ID, 'Loại đơn', 'Ngày thành công' trước khi filter.
⚠️ Bỏ đơn có 'Loại đơn' chứa 'tra lai'/'tra hang'/'khach tra' (sau khi norm dấu).</t>
  </si>
  <si>
    <t>🟢 fill_daily.py
(cột DT FB trong DAILY sheet)</t>
  </si>
  <si>
    <t>Chỉ số DT chính kênh FB. So với target và ROAS. Dùng fill_daily — KHÔNG lấy từ metrics_script.</t>
  </si>
  <si>
    <t>T8/26 FINAL: 1,111,065,648đ
Target: 1,292,244,677đ → 86.0%</t>
  </si>
  <si>
    <t>R7</t>
  </si>
  <si>
    <t>Số đơn FB giao thành công trong tháng, đã trừ đơn trả.</t>
  </si>
  <si>
    <t>COUNT DISTINCT ID đơn FB với 'Ngày thành công' trong T, 'Loại đơn' ≠ trả.
⚠️ ffill ID và 'Loại đơn' trước khi đếm.</t>
  </si>
  <si>
    <t>🟢 fill_daily.py</t>
  </si>
  <si>
    <t>Kết hợp với DT FB tính AOV. Đơn tăng mà DT không tăng → AOV đang giảm.</t>
  </si>
  <si>
    <t>T8/26 FINAL: 2,549 đơn</t>
  </si>
  <si>
    <t>R8</t>
  </si>
  <si>
    <t>Giá trị đơn hàng trung bình kênh Facebook.</t>
  </si>
  <si>
    <t>DT FB ÷ Đơn FB
(tính từ 2 chỉ số fill_daily — không tính riêng trong script)</t>
  </si>
  <si>
    <t>🟢 Tính từ fill_daily
= R6 ÷ R7</t>
  </si>
  <si>
    <t>Giảm đột ngột = kiểm tra mix SP hoặc promotion mạnh.</t>
  </si>
  <si>
    <t>T8/26 FINAL: 435,883đ</t>
  </si>
  <si>
    <t>R9</t>
  </si>
  <si>
    <t>Tổng comment + inbox trên Fanpage FB trong tháng.</t>
  </si>
  <si>
    <t>Nhập tay từ phần mềm fanpage / báo cáo nội bộ. Không lấy từ Nhanh.vn.</t>
  </si>
  <si>
    <t>🟠 Nhập tay
(từ phần mềm fanpage)</t>
  </si>
  <si>
    <t>Tử số CR%. Tăng nhưng CR giảm → content kéo traffic kém chất lượng.</t>
  </si>
  <si>
    <t>Benchmark CR%: 35–55%</t>
  </si>
  <si>
    <t>R11</t>
  </si>
  <si>
    <t>Tỷ lệ chuyển đổi tương tác → đơn hàng.</t>
  </si>
  <si>
    <t>Đơn FB ÷ CMT+IB</t>
  </si>
  <si>
    <t>🟢 Tính từ fill_daily
+ nhập tay R9</t>
  </si>
  <si>
    <t>CR% &lt;30% = chốt sale yếu. &gt;60% = đang reach đúng tệp.</t>
  </si>
  <si>
    <t>👤 KHÁCH HÀNG — FACEBOOK</t>
  </si>
  <si>
    <t>R15</t>
  </si>
  <si>
    <t>Số SĐT mua đơn FB trong T chưa từng mua FB trước T_START (tính từ T6/2024).</t>
  </si>
  <si>
    <t>COUNT DISTINCT SĐT đơn FB trong T, SĐT KHÔNG có trong pkl FB với _date &lt; T_START.
⚠️ lstrip('0') SĐT khi so sánh với pkl.
⚠️ ffill SĐT trước khi groupby.</t>
  </si>
  <si>
    <t>🟡 metrics_script
(phone match vs pkl FB)</t>
  </si>
  <si>
    <t>Nguồn tăng trưởng. KH mới ≥20% tổng KH FB là tốt.</t>
  </si>
  <si>
    <t>T8/26 FINAL: 722 KH</t>
  </si>
  <si>
    <t>R16</t>
  </si>
  <si>
    <t>AOV lần đầu FB</t>
  </si>
  <si>
    <t>Tổng DT của KH mới trong T ÷ số KH mới (tính tất cả đơn của họ trong tháng T).</t>
  </si>
  <si>
    <t>Σ DT đơn của KH mới trong T ÷ COUNT KH mới</t>
  </si>
  <si>
    <t>🟡 metrics_script</t>
  </si>
  <si>
    <t>Bình thường thấp hơn AOV KH cũ. Nếu AOV mới &gt; AOV cũ → cần kiểm tra lại phân loại.</t>
  </si>
  <si>
    <t>R17</t>
  </si>
  <si>
    <t>Activation Rate FB (Cách B)</t>
  </si>
  <si>
    <t>% KH có first purchase trong 90 ngày trước T_START, mua lần 2 trong tháng T, gap first→T ≤ 90 ngày.
Denominator = KH mới trong cửa sổ [T_START-90d, T_START), không phải T-3 cố định.</t>
  </si>
  <si>
    <t>R17 — Activation Rate FB — CÁCH B (áp dụng từ T8/2026, tính lại hết T1/2025)
DENOMINATOR: KH có first_ever_purchase trong [T_START − 90 ngày, T_START)
  = KH mới trong cửa sổ 90 ngày ngay trước tháng T
NUMERATOR: Trong denominator đó, KH nào:
  (1) mua trong tháng T
  (2) đây đúng là lần mua THỨ 2 (prior_count == 1 trong lịch sử &lt; T_START)
  (3) gap = ngày mua T − ngày first_ever ≤ 90 ngày
⚠️ KHÔNG dùng T-3 tháng cố định — window là 90 ngày trượt trước T_START
⚠️ prior_count đếm từ lịch sử (hist_ord), không phải từ data tháng T
⚠️ Denominator cố định theo T_START — không thay đổi dù T_END thay đổi</t>
  </si>
  <si>
    <t>🟡 metrics_script
(Cách B — 90-day window)</t>
  </si>
  <si>
    <t>Đo sức khỏe onboarding CRM. Mục tiêu ≥5%. &lt;3% cần cải thiện hậu mãi lần 1.</t>
  </si>
  <si>
    <t>T8/26 FINAL: 115/2,124 = 5.42%
(Cách B — window 90d trước T_START)</t>
  </si>
  <si>
    <t>R18</t>
  </si>
  <si>
    <t>Cohort T-1→T
(mua lại tháng tiếp theo)</t>
  </si>
  <si>
    <t>% KH mới tháng T-1 có ít nhất 1 đơn FB trong tháng T.</t>
  </si>
  <si>
    <t>COUNT(KH mới T-1 có đơn FB trong T) ÷ COUNT(tổng KH mới T-1)</t>
  </si>
  <si>
    <t>Tỷ lệ giữ chân tháng tiếp theo. 5–12% bình thường. &gt;15% rất tốt.</t>
  </si>
  <si>
    <t>T8/26 FINAL: 74/823 = 8.99%
(cohort KH mới T7)</t>
  </si>
  <si>
    <t>R20</t>
  </si>
  <si>
    <t>KH cũ FB mua lại</t>
  </si>
  <si>
    <t>Số SĐT có đơn FB trong T VÀ đã có đơn FB trước T_START.</t>
  </si>
  <si>
    <t>COUNT DISTINCT SĐT đơn FB trong T, SĐT CÓ trong pkl FB với _date &lt; T_START</t>
  </si>
  <si>
    <t>Nguồn DT ổn định, chi phí acquisition = 0. Mục tiêu chiếm 65–75% tổng KH FB.</t>
  </si>
  <si>
    <t>T8/26 FINAL: 1,615 KH</t>
  </si>
  <si>
    <t>R21</t>
  </si>
  <si>
    <t>AOV KH cũ FB
← dùng tính CLV</t>
  </si>
  <si>
    <t>Tổng DT của KH cũ trong T ÷ số KH cũ.
⚠️ ĐÂY LÀ GIÁ TRỊ QUAN TRỌNG — dùng để tính CLV 12M và CLV realized.</t>
  </si>
  <si>
    <t>Σ DT đơn của KH cũ trong T ÷ COUNT KH cũ
⚠️ Tính theo customer (mỗi KH cộng dồn tất cả đơn trong T), không phải per đơn.</t>
  </si>
  <si>
    <t>KH cũ thường AOV cao hơn KH mới. AOV cũ &lt; AOV mới là bất thường — kiểm tra phân loại.</t>
  </si>
  <si>
    <t>T8/26 FINAL: 496,244đ</t>
  </si>
  <si>
    <t>R22</t>
  </si>
  <si>
    <t>Tỷ lệ KH cũ trong tổng KH FB tháng T.</t>
  </si>
  <si>
    <t>KH cũ FB ÷ (KH mới FB + KH cũ FB)</t>
  </si>
  <si>
    <t>🟡 Tính từ R15+R20</t>
  </si>
  <si>
    <t>Target: 65–75%. Dưới 60% = đang phụ thuộc nhiều vào KH mới.</t>
  </si>
  <si>
    <t>T8/26 FINAL: 69.11%</t>
  </si>
  <si>
    <t>R23</t>
  </si>
  <si>
    <t>↳ Mua lại ≤30 ngày</t>
  </si>
  <si>
    <t>KH cũ FB trong T có ngày mua cuối trước T_START cách T_START ≤30 ngày.</t>
  </si>
  <si>
    <t>COUNT KH cũ FB trong T,
(T_START − max(_date trước T_START)) ≤ 30</t>
  </si>
  <si>
    <t>Nhóm "nóng" nhất — lens 1 tháng quay đúng chu kỳ.</t>
  </si>
  <si>
    <t>T8/26 FINAL: 480 KH</t>
  </si>
  <si>
    <t>R25</t>
  </si>
  <si>
    <t>↳ Mua lại 31–90 ngày</t>
  </si>
  <si>
    <t>KH cũ FB trong T có ngày mua cuối cách T_START 31–90 ngày.</t>
  </si>
  <si>
    <t>COUNT KH cũ FB trong T,
31 ≤ (T_START − max(_date trước T_START)) ≤ 90</t>
  </si>
  <si>
    <t>Core nhóm lens 1M/3M. Đây là tệp RFM chiến lược.</t>
  </si>
  <si>
    <t>T8/26 FINAL: 467 KH</t>
  </si>
  <si>
    <t>R27</t>
  </si>
  <si>
    <t>↳ Mua lại &gt;90 ngày</t>
  </si>
  <si>
    <t>KH cũ FB trong T có ngày mua cuối cách T_START &gt;90 ngày.</t>
  </si>
  <si>
    <t>COUNT KH cũ FB trong T,
(T_START − max(_date trước T_START)) &gt; 90</t>
  </si>
  <si>
    <t>Semi-dormant tự quay lại. Nếu nhiều hơn ≤30d → KH đang drift về chu kỳ dài hơn.</t>
  </si>
  <si>
    <t>T8/26 FINAL: 668 KH</t>
  </si>
  <si>
    <t>R30</t>
  </si>
  <si>
    <t>Số KH trong T đã có ≥3 đơn tích lũy trên kênh FB (tính đến cuối T).</t>
  </si>
  <si>
    <t>COUNT KH trong T, tổng đơn FB (pkl + data tháng T) ≥ 3</t>
  </si>
  <si>
    <t>Nhóm trung thành thực sự. Nền tảng VIP program. Mục tiêu: tăng đều mỗi tháng.</t>
  </si>
  <si>
    <t>T8/26 FINAL: 1,314 KH</t>
  </si>
  <si>
    <t>R32</t>
  </si>
  <si>
    <t>CLV 12M (FB)
— dự báo 12 tháng tới</t>
  </si>
  <si>
    <t>Dự báo giá trị 1 KH cũ FB đóng góp trong 12 tháng tới, dựa trên AOV và tần suất CỐ ĐỊNH.</t>
  </si>
  <si>
    <t>AOV_KH_cũ_FB × (365 ÷ 105)
⚠️ freq_FB = 105 ngày — CỐ ĐỊNH từ T8/26, KHÔNG tính động.
⚠️ KHÔNG tính theo cửa sổ 12 tháng rolling.
⚠️ Dùng AOV_KH_cũ_FB (R21), không phải AOV_lần_đầu.</t>
  </si>
  <si>
    <t>🟡 metrics_script
(công thức cố định)</t>
  </si>
  <si>
    <t>Tăng khi AOV_KH_cũ tăng. Dùng so sánh vs CAC để đánh giá hiệu quả acquisition.</t>
  </si>
  <si>
    <t>T8/26 FINAL: 1,725,039đ
= 496,244 × 365/105</t>
  </si>
  <si>
    <t>📦 DOANH THU &amp; ĐƠN HÀNG — STORE</t>
  </si>
  <si>
    <t>R35</t>
  </si>
  <si>
    <t>Store</t>
  </si>
  <si>
    <t>DT Store Tổng</t>
  </si>
  <si>
    <t>Tổng DT 3 cửa hàng (NDC+PH+NGT) sau khi trừ đơn trả.</t>
  </si>
  <si>
    <t>Σ 'Doanh thu SP sau chiết khấu' của đơn Store trong T, loại ID đơn trả (từ file TRA).
⚠️ fill_daily dùng SCALE = DT_fill / DT_script để bù mismatch do TRA ID ≠ original ID.
⚠️ KHÔNG lấy tổng từ metrics_script.</t>
  </si>
  <si>
    <t>🟢 fill_daily.py
(cột DT Store = NDC+PH+NGT)</t>
  </si>
  <si>
    <t>Chỉ số tổng Store. So sánh 3 chi nhánh để tìm điểm yếu.</t>
  </si>
  <si>
    <t>T8/26 FINAL: 461,185,801đ
Target: 730,208,327đ → 63.2%</t>
  </si>
  <si>
    <t>R36</t>
  </si>
  <si>
    <t>↳ NDC (619 NĐC)</t>
  </si>
  <si>
    <t>DT riêng chi nhánh Nguyễn Đình Chiểu.</t>
  </si>
  <si>
    <t>Lọc Store theo Kho = 'NDC', Σ 'Doanh thu SP sau chiết khấu'</t>
  </si>
  <si>
    <t>NDC thường ~45–55% DT Store. Nếu tỷ trọng giảm mạnh → kiểm tra vận hành.</t>
  </si>
  <si>
    <t>T8/26 FINAL: 231,050,152đ (50.1%)</t>
  </si>
  <si>
    <t>R37</t>
  </si>
  <si>
    <t>↳ Phố Huế (PH)</t>
  </si>
  <si>
    <t>DT riêng chi nhánh Phố Huế.</t>
  </si>
  <si>
    <t>Lọc Store theo Kho = 'PH'</t>
  </si>
  <si>
    <t>Phố Huế — chi nhánh trung tâm, theo dõi traffic lẻ.</t>
  </si>
  <si>
    <t>T8/26 FINAL: 122,062,638đ (26.5%)</t>
  </si>
  <si>
    <t>R38</t>
  </si>
  <si>
    <t>↳ NGT (88 NGT)</t>
  </si>
  <si>
    <t>DT riêng chi nhánh Nguyễn Gia Trí.</t>
  </si>
  <si>
    <t>Lọc Store theo Kho = 'NGT'</t>
  </si>
  <si>
    <t>NGT — chi nhánh mới nhất, theo dõi tốc độ tăng trưởng.</t>
  </si>
  <si>
    <t>T8/26 FINAL: 108,073,011đ (23.4%)</t>
  </si>
  <si>
    <t>R39</t>
  </si>
  <si>
    <t>Số đơn Store giao/bán trong T, đã trừ đơn trả.</t>
  </si>
  <si>
    <t>COUNT DISTINCT ID đơn Store trong T, loại ID có trong file TRA.
⚠️ ffill cột 'Ngày', 'ID', 'SĐT Khách hàng' trước khi đếm.
⚠️ 1 ID = 1 đơn dù có nhiều dòng sản phẩm.</t>
  </si>
  <si>
    <t>Theo dõi traffic bước chân. Đơn tăng mà DT không tăng → AOV đang giảm.</t>
  </si>
  <si>
    <t>T8/26 FINAL: 1,486 đơn</t>
  </si>
  <si>
    <t>R40</t>
  </si>
  <si>
    <t>Giá trị đơn TB tại Store.</t>
  </si>
  <si>
    <t>DT Store ÷ Đơn Store</t>
  </si>
  <si>
    <t>🟢 Tính từ fill_daily
= R35 ÷ R39</t>
  </si>
  <si>
    <t>&gt;300K là tốt cho lens walk-in Store.</t>
  </si>
  <si>
    <t>T8/26 FINAL: 310,354đ</t>
  </si>
  <si>
    <t>👤 KHÁCH HÀNG — STORE</t>
  </si>
  <si>
    <t>R43</t>
  </si>
  <si>
    <t>Số SĐT mua Store trong T chưa từng mua Store trước T_START.</t>
  </si>
  <si>
    <t>COUNT DISTINCT SĐT đơn Store trong T, SĐT KHÔNG có trong pkl Store với _date &lt; T_START
⚠️ Cột SĐT Store = 'SĐT Khách hàng' (col 12 file Store). ffill trước khi dùng.</t>
  </si>
  <si>
    <t>Mục tiêu: KH mới ≥30% tổng KH Store.</t>
  </si>
  <si>
    <t>T8/26 FINAL: 511 KH</t>
  </si>
  <si>
    <t>R44</t>
  </si>
  <si>
    <t>AOV lần đầu Store</t>
  </si>
  <si>
    <t>Chi tiêu TB KH mới Store.</t>
  </si>
  <si>
    <t>Σ DT đơn KH mới Store trong T ÷ COUNT KH mới Store</t>
  </si>
  <si>
    <t>So sánh với AOV KH cũ Store. Bình thường nên thấp hơn.</t>
  </si>
  <si>
    <t>T8/26 FINAL: 337,016đ</t>
  </si>
  <si>
    <t>R45</t>
  </si>
  <si>
    <t>Activation Rate Store (Cách B) =&gt; Đổi tên thành "Cohort T-3 --&gt; T (Store)"</t>
  </si>
  <si>
    <t>% KH có first purchase Store trong 90 ngày trước T_START, mua lần 2 trong tháng T, gap ≤ 90 ngày.
Giống R17, dùng dữ liệu Store.</t>
  </si>
  <si>
    <t>R45 — Activation Rate Store — CÁCH B (giống R17, dùng dữ liệu Store)
DENOMINATOR: KH có first_ever_purchase Store trong [T_START − 90 ngày, T_START)
NUMERATOR: Trong đó, KH nào:
  (1) mua Store trong tháng T
  (2) prior_count == 1 (lần mua T là lần 2)
  (3) gap = ngày mua T − ngày first_ever ≤ 90 ngày
⚠️ Dùng st_hist_ord và st_t_ord thay vì FB
⚠️ Phone Store: str(int(float(p))).lstrip("0")</t>
  </si>
  <si>
    <t>Benchmark ≥5%. Store nên cao hơn hoặc bằng FB do gặp trực tiếp.</t>
  </si>
  <si>
    <t>T8/26 FINAL: 59/1,834 = 3.22%
(Cách B — window 90d trước T_START)</t>
  </si>
  <si>
    <t>R46</t>
  </si>
  <si>
    <t>Cohort T-1→T (Store)</t>
  </si>
  <si>
    <t>% KH mới Store tháng T-1 có đơn Store trong T.</t>
  </si>
  <si>
    <t>COUNT(KH mới Store T-1 có đơn Store trong T) ÷ COUNT(KH mới Store T-1)</t>
  </si>
  <si>
    <t>4–10% là bình thường. &gt;12% = tốt.</t>
  </si>
  <si>
    <t>T8/26 FINAL: 33/640 = 5.16%
(cohort KH mới Store T7)</t>
  </si>
  <si>
    <t>R48</t>
  </si>
  <si>
    <t>KH cũ Store mua lại</t>
  </si>
  <si>
    <t>Số SĐT có đơn Store trong T VÀ đã có đơn Store trước T_START.</t>
  </si>
  <si>
    <t>COUNT DISTINCT SĐT đơn Store trong T, SĐT CÓ trong pkl Store với _date &lt; T_START</t>
  </si>
  <si>
    <t>Nguồn DT ổn định Store. Mục tiêu chiếm 55–70% tổng KH Store.</t>
  </si>
  <si>
    <t>T8/26 FINAL: 768 KH</t>
  </si>
  <si>
    <t>R49</t>
  </si>
  <si>
    <t>AOV KH cũ Store
← dùng tính CLV</t>
  </si>
  <si>
    <t>Tổng DT KH cũ Store ÷ số KH cũ.
⚠️ Dùng để tính CLV 12M Store và CLV realized Store.</t>
  </si>
  <si>
    <t>Σ DT đơn KH cũ Store trong T ÷ COUNT KH cũ Store</t>
  </si>
  <si>
    <t>Dùng tính CLV Store. Theo dõi xu hướng — giảm liên tiếp 3 tháng cần điều tra.</t>
  </si>
  <si>
    <t>T8/26 FINAL: 378,254đ</t>
  </si>
  <si>
    <t>R50</t>
  </si>
  <si>
    <t>Tỷ lệ KH cũ / tổng KH Store trong T.</t>
  </si>
  <si>
    <t>KH cũ Store ÷ (KH mới + KH cũ Store)</t>
  </si>
  <si>
    <t>🟡 Tính từ R43+R48</t>
  </si>
  <si>
    <t>Target: 55–70%. Dưới 50% = Store đang phụ thuộc nhiều vào KH mới.</t>
  </si>
  <si>
    <t>T8/26 FINAL: 60.05%</t>
  </si>
  <si>
    <t>R51</t>
  </si>
  <si>
    <t>↳ Mua lại ≤30 ngày (Store)</t>
  </si>
  <si>
    <t>KH cũ Store trong T có ngày mua cuối ≤30 ngày trước T_START.</t>
  </si>
  <si>
    <t>COUNT KH cũ Store trong T, (T_START − max(_date trước T)) ≤ 30</t>
  </si>
  <si>
    <t>Nhóm mua lại sớm nhất — lens 1M hoặc KH trung thành cao.</t>
  </si>
  <si>
    <t>T8/26 FINAL: 168 KH</t>
  </si>
  <si>
    <t>R53</t>
  </si>
  <si>
    <t>↳ Mua lại 31–90 ngày (Store)</t>
  </si>
  <si>
    <t>KH cũ Store trong T có ngày mua cuối 31–90 ngày trước T_START.</t>
  </si>
  <si>
    <t>COUNT KH cũ Store trong T, 31 ≤ (T_START − max(_date trước T)) ≤ 90</t>
  </si>
  <si>
    <t>Core lens 1M/3M Store.</t>
  </si>
  <si>
    <t>T8/26 FINAL: 218 KH</t>
  </si>
  <si>
    <t>R55</t>
  </si>
  <si>
    <t>↳ Mua lại &gt;90 ngày (Store)</t>
  </si>
  <si>
    <t>KH cũ Store trong T có ngày mua cuối &gt;90 ngày trước T_START.</t>
  </si>
  <si>
    <t>COUNT KH cũ Store trong T, (T_START − max(_date trước T)) &gt; 90</t>
  </si>
  <si>
    <t>Semi-dormant tự quay lại Store.</t>
  </si>
  <si>
    <t>T8/26 FINAL: 382 KH</t>
  </si>
  <si>
    <t>R58</t>
  </si>
  <si>
    <t>Số KH trong T có ≥3 đơn tích lũy tại Store.</t>
  </si>
  <si>
    <t>COUNT KH trong T, tổng đơn Store (pkl + T) ≥ 3</t>
  </si>
  <si>
    <t>Tệp trung thành Store thực sự. Nền tảng chương trình ưu đãi.</t>
  </si>
  <si>
    <t>T8/26 FINAL: 564 KH</t>
  </si>
  <si>
    <t>R60</t>
  </si>
  <si>
    <t>CLV 12M (Store)
— dự báo 12 tháng tới</t>
  </si>
  <si>
    <t>Dự báo giá trị 1 KH cũ Store đóng góp trong 12 tháng tới.</t>
  </si>
  <si>
    <t>AOV_KH_cũ_Store × (365 ÷ 100)
⚠️ freq_Store = 100 ngày — CỐ ĐỊNH từ T8/26.
⚠️ KHÔNG tính theo cửa sổ 12 tháng rolling.
⚠️ Dùng AOV_KH_cũ_Store (R49).</t>
  </si>
  <si>
    <t>Dùng so sánh vs CLV FB và vs CAC Store để đánh giá kênh.</t>
  </si>
  <si>
    <t>T8/26 FINAL: 1,380,627đ
= 378,254 × 365/100</t>
  </si>
  <si>
    <t>👓 O3 + TỔNG HỢP</t>
  </si>
  <si>
    <t>R63</t>
  </si>
  <si>
    <t>FB+Store</t>
  </si>
  <si>
    <t>DT O3</t>
  </si>
  <si>
    <t>Tổng DT từ nhóm O3 (Tròng Kính, Mắt Kính) trên cả 2 kênh.</t>
  </si>
  <si>
    <t>FB: Σ DT đơn có Danh mục thuộc O3
Store: Σ DT đơn có Danh mục cấp 1/2 thuộc O3
→ Cộng FB + Store</t>
  </si>
  <si>
    <t>🟢 fill_daily.py
(cột O3 trong DAILY sheet)</t>
  </si>
  <si>
    <t>O3 = Tròng Kính + Mắt Kính. Biên lợi nhuận cao. Mục tiêu chiếm 2–4% DT Tổng.</t>
  </si>
  <si>
    <t>T8/26 FINAL: 27,185,258đ (1.73%)
⚠️ KHÔNG phải áp tròng lens</t>
  </si>
  <si>
    <t>R64</t>
  </si>
  <si>
    <t>% O3 / DT Tổng</t>
  </si>
  <si>
    <t>Tỷ trọng O3 trong tổng DT.</t>
  </si>
  <si>
    <t>DT O3 ÷ DT Tổng</t>
  </si>
  <si>
    <t>🟢 Tính từ fill_daily
= R63 ÷ R68</t>
  </si>
  <si>
    <t>Target: 2–4% DT Tổng. Nếu &lt;1.5% → kiểm tra lại dữ liệu O3.</t>
  </si>
  <si>
    <t>T8/26 FINAL: 1.73%</t>
  </si>
  <si>
    <t>R68</t>
  </si>
  <si>
    <t>DT Tổng (FB+Store)</t>
  </si>
  <si>
    <t>Tổng DT toàn hệ thống trong tháng.</t>
  </si>
  <si>
    <t xml:space="preserve">DT FB + DT Store </t>
  </si>
  <si>
    <t>🟢 Tính từ fill_daily
= R6 + R35</t>
  </si>
  <si>
    <t>Chỉ số revenue chính so Target Q3/năm.</t>
  </si>
  <si>
    <t>T8/26 FINAL: 1,572,251,449đ
Target: 2,022,453,004đ → 77.7%</t>
  </si>
  <si>
    <t>R70</t>
  </si>
  <si>
    <t>Số lần mua TB/KH trong tháng</t>
  </si>
  <si>
    <t>Trung bình số đơn mỗi KH đặt trong tháng T (mỗi kênh tính riêng).</t>
  </si>
  <si>
    <t>(Σ đơn FB ÷ KH FB trong T + Σ đơn Store ÷ KH Store trong T) ÷ 2</t>
  </si>
  <si>
    <t>Bình thường: 1.05–1.25. &gt;1.3 = có thể đếm đơn trả chưa loại đúng.</t>
  </si>
  <si>
    <t>T8/26 FINAL: 1.132</t>
  </si>
  <si>
    <t>R71</t>
  </si>
  <si>
    <t>Win-back Pool</t>
  </si>
  <si>
    <t>Số KH (gộp FB+Store, unique SĐT) có ≥2 đơn lịch sử VÀ lần mua cuối &gt;60 ngày trước T_END.</t>
  </si>
  <si>
    <t>COUNT DISTINCT SĐT (FB ∪ Store) với:
- tổng đơn ≥ 2
- (T_END − ngay_mua_cuoi) &gt; 60 ngày
⚠️ Cutoff tính từ T_END (ngày cuối data), KHÔNG phải TODAY!
⚠️ WB_CUTOFF = T_END − timedelta(days=60)</t>
  </si>
  <si>
    <t>🟡 metrics_script
(WB_CUTOFF = T_END − 60d)</t>
  </si>
  <si>
    <t>Pool lớn = nhiều cơ hội. Chạy chiến dịch Zalo/SMS định kỳ để giảm pool.</t>
  </si>
  <si>
    <t>T8/26 FINAL: 20,428 KH
(cutoff = 1/7/2026)</t>
  </si>
  <si>
    <t>R72</t>
  </si>
  <si>
    <t>Win-back Thành Công</t>
  </si>
  <si>
    <t>Số KH trong Pool tháng TRƯỚC có đơn trong tháng T.</t>
  </si>
  <si>
    <t>COUNT(Pool tại T_END_tháng_trước ∩ KH có đơn trong T)
Pool tháng trước = KH với ≥2 đơn VÀ (T_START − ngay_mua_cuoi) &gt; 60 ngày</t>
  </si>
  <si>
    <t>Win-back rate = R72 ÷ Pool tháng trước. Target: 6–12%.</t>
  </si>
  <si>
    <t>T8/26 FINAL: 1,396 KH
= 6.83% của pool 20,428</t>
  </si>
  <si>
    <t>📊 TẦN SUẤT MUA &amp; CLV</t>
  </si>
  <si>
    <t>R73</t>
  </si>
  <si>
    <t>Tần suất mua TB
(ngày/lần) — WEIGHTED</t>
  </si>
  <si>
    <t>Khoảng cách TB giữa 2 lần mua liên tiếp, tính WEIGHTED trên TẤT CẢ KH ≥2 đơn (FB+Store gộp, tích lũy đến cuối T).</t>
  </si>
  <si>
    <t>round( Σ(ngay_mua_cuoi - ngay_mua_dau)[KH ≥2 đơn] ÷ Σ(cnt-1)[KH ≥2 đơn] )
⚠️ CÔNG THỨC DUY NHẤT ĐÚNG — weighted tổng/tổng.
⚠️ KHÔNG dùng mean(span/(cnt-1)) per-customer → bị bias.
⚠️ Tích lũy đến T_END (không phải chỉ đơn trong tháng T).</t>
  </si>
  <si>
    <t>🟡 metrics_script
(weighted, tích lũy)</t>
  </si>
  <si>
    <t>Giảm dần theo tháng là tốt (KH mua thường xuyên hơn). Tăng = KH đang thưa dần.</t>
  </si>
  <si>
    <t>T8/26 FINAL: 96 ngày (tích lũy T6/24→T8/26)</t>
  </si>
  <si>
    <t>R74</t>
  </si>
  <si>
    <t>↳ Tần suất mua FB
(ngày/lần)</t>
  </si>
  <si>
    <t>Tương tự R73 nhưng chỉ tính riêng kênh FB, KH có ≥2 đơn FB.</t>
  </si>
  <si>
    <t>round( Σ(last-first)[KH FB ≥2 đơn] ÷ Σ(cnt-1)[KH FB ≥2 đơn] )
⚠️ Cùng công thức weighted, chỉ filter data FB.
⚠️ Giá trị này dùng làm FIXED_FREQ trong tính CLV FB.</t>
  </si>
  <si>
    <t>🟡 metrics_script
(weighted, chỉ FB)</t>
  </si>
  <si>
    <t>CHỈ để ghi nhận. FIXED_FREQ_FB = 105 — CỐ ĐỊNH cho CLV. Không tính động.</t>
  </si>
  <si>
    <t>T8/26: 105 ngày → FIXED_FREQ_FB = 105</t>
  </si>
  <si>
    <t>R75</t>
  </si>
  <si>
    <t>↳ Tần suất mua Store
(ngày/lần)</t>
  </si>
  <si>
    <t>Tương tự R73 nhưng chỉ tính riêng kênh Store.</t>
  </si>
  <si>
    <t>round( Σ(last-first)[KH Store ≥2 đơn] ÷ Σ(cnt-1)[KH Store ≥2 đơn] )
⚠️ Giá trị này dùng làm FIXED_FREQ trong tính CLV Store.</t>
  </si>
  <si>
    <t>🟡 metrics_script
(weighted, chỉ Store)</t>
  </si>
  <si>
    <t>CHỈ để ghi nhận. FIXED_FREQ_ST = 100 — CỐ ĐỊNH cho CLV Store. Không tính động.</t>
  </si>
  <si>
    <t>T8/26: 92 ngày (thực tế)
FIXED_FREQ_ST = 100 (calibrated)</t>
  </si>
  <si>
    <t>R77</t>
  </si>
  <si>
    <t>CLV FB realized
(avg_life model)</t>
  </si>
  <si>
    <t>Ước tính tổng giá trị 1 KH FB trong toàn vòng đời, dựa trên avg_life thực tế T8/26.</t>
  </si>
  <si>
    <t>AOV_KH_cũ_FB × (9.921 × 30 ÷ 105)
⚠️ avg_life_FB = 9.921 tháng — từ T8/26 actual, CỐ ĐỊNH.
⚠️ freq = 105 CỐ ĐỊNH.
⚠️ KHÔNG dùng Σ(tất cả DT lịch sử) ÷ COUNT(SĐT) — bị ảnh hưởng bởi độ dài dataset.</t>
  </si>
  <si>
    <t>CLV realized &lt; CLV 12M là bình thường (avg lifetime ~9.9 tháng). CLV/CAC &gt; 3 là tốt.</t>
  </si>
  <si>
    <t>T8/26 FINAL: 1,403,662đ
= 496,244 × 297/105
(avg_life=9.921 tháng × 30/105)</t>
  </si>
  <si>
    <t>R78</t>
  </si>
  <si>
    <t>CLV Store realized
(avg_life model)</t>
  </si>
  <si>
    <t>Ước tính tổng giá trị 1 KH Store trong toàn vòng đời.</t>
  </si>
  <si>
    <t>AOV_KH_cũ_Store × (8.005 × 30 ÷ 100)
⚠️ avg_life_Store = 8.005 tháng — từ T8/26 actual, CỐ ĐỊNH.
⚠️ freq = 100 CỐ ĐỊNH.</t>
  </si>
  <si>
    <t>CLV Store realized. avg_life_Store = 8.005 tháng (ngắn hơn FB do chu kỳ mua khác).</t>
  </si>
  <si>
    <t>T8/26 FINAL: 908,377đ
= 378,254 × 240.15/100
(avg_life=8.005 tháng × 30/100)</t>
  </si>
  <si>
    <t>R79</t>
  </si>
  <si>
    <t>CLV FB 12M rolling
(= R32)</t>
  </si>
  <si>
    <t>Cùng giá trị R32 — đặt ở đây để compare song song FB vs Store.</t>
  </si>
  <si>
    <t>🟡 = R32</t>
  </si>
  <si>
    <t>Đặt cạnh R77 để so sánh realized vs projected. Nếu R77 &gt; R79 = KH giữ &gt;12 tháng.</t>
  </si>
  <si>
    <t>T8/26 FINAL: 1,725,039đ (= R32)</t>
  </si>
  <si>
    <t>R80</t>
  </si>
  <si>
    <t>CLV Store 12M rolling
(= R60)</t>
  </si>
  <si>
    <t>Cùng giá trị R60 — đặt ở đây để compare song song.</t>
  </si>
  <si>
    <t>🟡 = R60</t>
  </si>
  <si>
    <t>Đặt cạnh R78 để so sánh realized vs projected Store.</t>
  </si>
  <si>
    <t>T8/26 FINAL: 1,380,627đ (= R60)</t>
  </si>
  <si>
    <t>DAILY INPUT  •  THÁNG 9/2025  •  CARASE FB &amp; STORE</t>
  </si>
  <si>
    <t>🟡 Ô VÀNG = Team điền mỗi ngày  |  🟢 Ô XANH = Tự tính  |  Deadline 22:00</t>
  </si>
  <si>
    <t>📅 THỜI GIAN</t>
  </si>
  <si>
    <t>📱 FACEBOOK</t>
  </si>
  <si>
    <t>📢 ADS</t>
  </si>
  <si>
    <t>🏪 STORE</t>
  </si>
  <si>
    <t>👓 O3</t>
  </si>
  <si>
    <t>📝</t>
  </si>
  <si>
    <t>📊 AUTO</t>
  </si>
  <si>
    <t>📊</t>
  </si>
  <si>
    <t>Ngày</t>
  </si>
  <si>
    <t>T</t>
  </si>
  <si>
    <t>DT FB
(đ)</t>
  </si>
  <si>
    <t>Đơn FB</t>
  </si>
  <si>
    <t>CMT+IB
(Vpage)</t>
  </si>
  <si>
    <t>CP Ads
(đ)</t>
  </si>
  <si>
    <t>DT NDC
(đ)</t>
  </si>
  <si>
    <t>DT PH
(đ)</t>
  </si>
  <si>
    <t>DT NGT
(đ)</t>
  </si>
  <si>
    <t>Đơn
Store</t>
  </si>
  <si>
    <t>DT O3
(đ)</t>
  </si>
  <si>
    <t>Ghi chú</t>
  </si>
  <si>
    <t>DT Store
(=G+H+I)</t>
  </si>
  <si>
    <t>DT Total
(=FB+Store)</t>
  </si>
  <si>
    <t>AOV FB
(C/D)</t>
  </si>
  <si>
    <t>AOV Store
(M/J)</t>
  </si>
  <si>
    <t>CR%
(D/E)</t>
  </si>
  <si>
    <t>TARGET/THÁNG</t>
  </si>
  <si>
    <t>T2</t>
  </si>
  <si>
    <t>T3</t>
  </si>
  <si>
    <t>T4</t>
  </si>
  <si>
    <t>T5</t>
  </si>
  <si>
    <t>T6</t>
  </si>
  <si>
    <t>T7</t>
  </si>
  <si>
    <t>CN</t>
  </si>
  <si>
    <t>DAILY INPUT  •  THÁNG 10/2025  •  CARASE FB &amp; STORE</t>
  </si>
  <si>
    <t>DAILY INPUT  •  THÁNG 11/2025  •  CARASE FB &amp; STORE</t>
  </si>
  <si>
    <t>DAILY INPUT  •  THÁNG 12/2025  •  CARASE FB &amp; STORE</t>
  </si>
  <si>
    <t>DAILY INPUT  •  THÁNG 1/2026  •  CARASE FB &amp; STORE</t>
  </si>
  <si>
    <t>DAILY INPUT  •  THÁNG 2/2026  •  CARASE FB &amp; STORE</t>
  </si>
  <si>
    <t>DAILY INPUT  •  THÁNG 3/2026  •  CARASE FB &amp; STORE</t>
  </si>
  <si>
    <t>DAILY INPUT  •  THÁNG 4/2026  •  CARASE FB &amp; STORE</t>
  </si>
  <si>
    <t>DAILY INPUT  •  THÁNG 5/2026  •  CARASE FB &amp; STORE</t>
  </si>
  <si>
    <t>DAILY INPUT  •  THÁNG 6/2026  •  CARASE FB &amp; STORE</t>
  </si>
  <si>
    <t>TỔNG HỢP TUẦN  •  THÁNG 6/2026  •  CARASE FB &amp; STORE</t>
  </si>
  <si>
    <t>📊 Số liệu tự kéo từ DAILY — điền DAILY mỗi ngày, tab này tự cập nhật</t>
  </si>
  <si>
    <t>Tuần</t>
  </si>
  <si>
    <t>AOV FB
(đ/đơn)</t>
  </si>
  <si>
    <t>ROAS</t>
  </si>
  <si>
    <t>DT Store
(đ)</t>
  </si>
  <si>
    <t>DT Total
(đ)</t>
  </si>
  <si>
    <t>% Target
FB</t>
  </si>
  <si>
    <t>% Target
Store</t>
  </si>
  <si>
    <t>Tuần 1</t>
  </si>
  <si>
    <t>1/6–7/6</t>
  </si>
  <si>
    <t>Tuần 2</t>
  </si>
  <si>
    <t>8/6–14/6</t>
  </si>
  <si>
    <t>Tuần 3</t>
  </si>
  <si>
    <t>15/6–21/6</t>
  </si>
  <si>
    <t>Tuần 4</t>
  </si>
  <si>
    <t>22/6–28/6</t>
  </si>
  <si>
    <t>Tuần 5</t>
  </si>
  <si>
    <t>29/6–30/6</t>
  </si>
  <si>
    <t>TỔNG</t>
  </si>
  <si>
    <t>1/6–30/6</t>
  </si>
  <si>
    <t>🎯 Target tháng</t>
  </si>
  <si>
    <t>💡 % Target = Lũy kế từ đầu tháng đến cuối tuần đó / Target tháng  |  CP Ads có thể điền theo tuần, không cần hàng ngày</t>
  </si>
  <si>
    <t>TỔNG HỢP ACTION • THÁNG 6/2026 • CARASE FB &amp; STORE</t>
  </si>
  <si>
    <t>STT</t>
  </si>
  <si>
    <t>TASK</t>
  </si>
  <si>
    <t>MÔ TẢ</t>
  </si>
  <si>
    <t>TRẠNG THÁI</t>
  </si>
  <si>
    <t>KẾT QUẢ</t>
  </si>
  <si>
    <t>Liên hệ CSKH Data "Win Back Pool'</t>
  </si>
  <si>
    <t>- Win back Pool: là tệp khách hàng mua hàng &gt; 60 ngày chưa quay lại mua hàng 
- Claude xuất data số lượng hiện tại đến đầu tháng 6 ~ 16.000 Khách hàng 
- Chia thành 4 nhóm khách hàng :
* 60-90 ngày (ấm)
* 91-180 ngày (nguội)
* 181-365 ngày (lạnh)
* Trên 1 năm (ngủ đông)
=&gt; Phân bổ data cho các nhân viên sale + cskh để liên hệ khách hàng theo kich bản từng nhóm</t>
  </si>
  <si>
    <t>Đang thực hiện</t>
  </si>
  <si>
    <t xml:space="preserve">Theo chỉ số win back hiện tại 954 khách =&gt; so với baseline trung bình thì đang không thay đổi nhiều </t>
  </si>
  <si>
    <t>Build Plan LOYATY triển khai Quý 3/2026</t>
  </si>
  <si>
    <t>- Xây dựng cơ cấu chương trình Loyaty
- Setup testing trên Nhanh,vn 
- Xây dựng cơ cấu bộ quà tặng</t>
  </si>
  <si>
    <t>Điều chỉnh lại chính sách khuyến mãi</t>
  </si>
  <si>
    <t>- Xem xét lại giá bán để đảm bảo tỉ lệ giá vốn &lt; 27% 
- Bốc 1 nhóm sản phẩm để testing chuyển đổi sản phẩm từ mua nhiều chiết khấu sang tặng sản phẩm.</t>
  </si>
  <si>
    <t xml:space="preserve">Đã thực hiện </t>
  </si>
  <si>
    <t>[QUAN TRỌNG] Testing học bộ tài liệu sản phẩm để triển khai đồng loạt đội ngũ</t>
  </si>
  <si>
    <t>- Học và review quá trình học. Nội dung để A Lợi fix lại sau đó triển khai theo từng giai đoạn cho Team lead =&gt; Team staff. 
=&gt; Vạch rõ KPI, ý nghĩa việc học, định hướng công ty về việc bán hàng, DVKH</t>
  </si>
  <si>
    <t xml:space="preserve">Đây là công việc ưu tiên tuần vừa rồi. </t>
  </si>
  <si>
    <t>Team lead báo cáo doanh thu các chỉ số 5 way mỗi tối. Có vấn đề team interview ngay vào sáng hôm sau để cải thiện</t>
  </si>
  <si>
    <t>Đang thực hiện mỗi ngày</t>
  </si>
  <si>
    <t>Thông báo các bên bán hàng, mkt về thông tin chuyển đổi hướng tư vấn.</t>
  </si>
  <si>
    <t>Lens 3T14H và 3T10H sẽ thay đổi hướng tư vấn. Dòng lens 3T14H sẽ không nhập hàng về nữa.</t>
  </si>
  <si>
    <t>Đang soạn thảo nội dung chuẩn bị triển khai cho nhóm manager</t>
  </si>
  <si>
    <t xml:space="preserve">Dự kiến 4/7  public trong tư vấn </t>
  </si>
  <si>
    <t>1 SỐ VẤN ĐỀ ẢNH HƯỜNG HIỆU SUẤT • THÁNG 6/2026 • CARASE FB &amp; STORE</t>
  </si>
  <si>
    <t>LOẠI VẤN ĐỀ</t>
  </si>
  <si>
    <t>CHI TIẾT VẤN ĐỀ</t>
  </si>
  <si>
    <t>HƯỚNG GIẢI QUYẾT</t>
  </si>
  <si>
    <t>DAILY INPUT  •  THÁNG 7/2026  •  CARASE FB &amp; STORE</t>
  </si>
  <si>
    <t>TỔNG HỢP TUẦN  •  THÁNG 7/2026  •  CARASE FB &amp; STORE</t>
  </si>
  <si>
    <t>1/7–5/7</t>
  </si>
  <si>
    <t>6/7–12/7</t>
  </si>
  <si>
    <t>13/7–19/7</t>
  </si>
  <si>
    <t>20/7–26/7</t>
  </si>
  <si>
    <t>27/7–31/7</t>
  </si>
  <si>
    <t>1/7–31/7</t>
  </si>
  <si>
    <t>DAILY INPUT  •  THÁNG 8/2026  •  CARASE FB &amp; STORE</t>
  </si>
  <si>
    <t>TỔNG HỢP TUẦN  •  THÁNG 8/2026  •  CARASE FB &amp; STORE</t>
  </si>
  <si>
    <t>1/8–2/8</t>
  </si>
  <si>
    <t>3/8–9/8</t>
  </si>
  <si>
    <t>10/8–16/8</t>
  </si>
  <si>
    <t>17/8–23/8</t>
  </si>
  <si>
    <t>24/8–30/8</t>
  </si>
  <si>
    <t>Tuần 6</t>
  </si>
  <si>
    <t>1/8–31/8</t>
  </si>
  <si>
    <t>DAILY INPUT  •  THÁNG 9/2026  •  CARASE FB &amp; STORE</t>
  </si>
  <si>
    <t>TỔNG HỢP TUẦN  •  THÁNG 9/2026  •  CARASE FB &amp; STORE</t>
  </si>
  <si>
    <t>KH FB
(đ)</t>
  </si>
  <si>
    <t>%KH
FB</t>
  </si>
  <si>
    <t>KH Store
(đ)</t>
  </si>
  <si>
    <t>%KH
Store</t>
  </si>
  <si>
    <t>1/9(T3)–6/9(CN)</t>
  </si>
  <si>
    <t>7/9(T2)–13/9(CN)</t>
  </si>
  <si>
    <t>14/9(T2)–20/9(CN)</t>
  </si>
  <si>
    <t>21/9(T2)–27/9(CN)</t>
  </si>
  <si>
    <t>28/9(T2)–30/9(T4)</t>
  </si>
  <si>
    <t>DAILY INPUT  •  THÁNG 10/2026  •  CARASE FB &amp; STORE</t>
  </si>
  <si>
    <t>TỔNG HỢP TUẦN  •  THÁNG 10/2026  •  CARASE FB &amp; STORE</t>
  </si>
  <si>
    <t>1/10(T5)–4/10(CN)</t>
  </si>
  <si>
    <t>5/10(T2)–11/10(CN)</t>
  </si>
  <si>
    <t>12/10(T2)–18/10(CN)</t>
  </si>
  <si>
    <t>19/10(T2)–25/10(CN)</t>
  </si>
  <si>
    <t>26/10(T2)–31/10(T7)</t>
  </si>
  <si>
    <t>DAILY INPUT  •  THÁNG 11/2026  •  CARASE FB &amp; STORE</t>
  </si>
  <si>
    <t>TỔNG HỢP TUẦN  •  THÁNG 11/2026  •  CARASE FB &amp; STORE</t>
  </si>
  <si>
    <t>1/11(CN)</t>
  </si>
  <si>
    <t>2/11(T2)–8/11(CN)</t>
  </si>
  <si>
    <t>9/11(T2)–15/11(CN)</t>
  </si>
  <si>
    <t>16/11(T2)–22/11(CN)</t>
  </si>
  <si>
    <t>23/11(T2)–29/11(CN)</t>
  </si>
  <si>
    <t>30/11(T2)</t>
  </si>
  <si>
    <t>DAILY INPUT  •  THÁNG 12/2026  •  CARASE FB &amp; STORE</t>
  </si>
  <si>
    <t>TỔNG HỢP TUẦN  •  THÁNG 12/2026  •  CARASE FB &amp; STORE</t>
  </si>
  <si>
    <t>1/12(T3)–6/12(CN)</t>
  </si>
  <si>
    <t>7/12(T2)–13/12(CN)</t>
  </si>
  <si>
    <t>14/12(T2)–20/12(CN)</t>
  </si>
  <si>
    <t>21/12(T2)–27/12(CN)</t>
  </si>
  <si>
    <t>28/12(T2)–31/12(T5)</t>
  </si>
  <si>
    <t>HƯỚNG DẪN  •  CARASE FB &amp; STORE TRACKER</t>
  </si>
  <si>
    <t xml:space="preserve">  📅 ĐIỀN SỐ HÀNG NGÀY — Sheets DAILY T7/T8/T9</t>
  </si>
  <si>
    <t>Deadline</t>
  </si>
  <si>
    <t>22:00 mỗi ngày — Tấn hoặc NVBH điền</t>
  </si>
  <si>
    <t>DT FB + Đơn FB</t>
  </si>
  <si>
    <t>Nhanh.vn → Kênh Facebook → lọc ngày → đơn Thành công</t>
  </si>
  <si>
    <t>CMT + IB</t>
  </si>
  <si>
    <t>Vpage → Dashboard → tổng comment + inbox trong ngày</t>
  </si>
  <si>
    <t>CP Ads</t>
  </si>
  <si>
    <t>Từ agency — có thể điền cuối tuần (ghi tổng tuần)</t>
  </si>
  <si>
    <t>DT NDC / PH / NGT</t>
  </si>
  <si>
    <t>Nhanh.vn → từng kho → lọc ngày → đơn Thành công</t>
  </si>
  <si>
    <t>Ô xanh AUTO</t>
  </si>
  <si>
    <t>KHÔNG chỉnh tay — DT Store, DT Total, AOV, CR% tự tính</t>
  </si>
  <si>
    <t xml:space="preserve">  📊 XEM MASTER DASHBOARD</t>
  </si>
  <si>
    <t>Baseline T1–T5/2026</t>
  </si>
  <si>
    <t>Nền xám — pre-filled từ phân tích Nhanh.vn thực tế</t>
  </si>
  <si>
    <t>T6/2026</t>
  </si>
  <si>
    <t>Nền vàng nhạt — chỉ đến 7/6, chưa đủ tháng</t>
  </si>
  <si>
    <t>T7–T9 ô xanh</t>
  </si>
  <si>
    <t>Tự kéo từ DAILY sheet — chỉ cần điền Daily là xong</t>
  </si>
  <si>
    <t>T7–T9 ô vàng</t>
  </si>
  <si>
    <t>Điền sau khi upload Nhanh.vn cho Claude tính</t>
  </si>
  <si>
    <t xml:space="preserve">  📤 QUY TRÌNH UPLOAD NHANH.VN CUỐI THÁNG</t>
  </si>
  <si>
    <t>Khi nào</t>
  </si>
  <si>
    <t>Ngày 1–3 của tháng kế tiếp</t>
  </si>
  <si>
    <t>Export gì</t>
  </si>
  <si>
    <t>Nhanh.vn → Quản lý đơn → Lọc tháng → Export Excel (FB riêng + Store riêng)</t>
  </si>
  <si>
    <t>Nói gì</t>
  </si>
  <si>
    <t>'Data đơn T[X]/2026 đây, tính chỉ số KH tháng này cho mình'</t>
  </si>
  <si>
    <t>Claude trả</t>
  </si>
  <si>
    <t>KH mới/cũ, 3 tầng mua lại, activation, cohort, CLV, win-back list</t>
  </si>
  <si>
    <t>Điền vào đâu</t>
  </si>
  <si>
    <t>MASTER → cột T[X] → các ô vàng</t>
  </si>
  <si>
    <t xml:space="preserve">  🎯 ĐỊNH NGHĨA CHỈ SỐ</t>
  </si>
  <si>
    <t>KH mới</t>
  </si>
  <si>
    <t>Lần đầu tiên mua trong lịch sử (chưa có đơn nào từ T1/2025)</t>
  </si>
  <si>
    <t>KH cũ mua lại</t>
  </si>
  <si>
    <t>Đã mua trước đó, có đơn trong tháng này (không giới hạn thời gian)</t>
  </si>
  <si>
    <t>Mua lại ≤30 ngày</t>
  </si>
  <si>
    <t>KH cũ có lần mua trước cách đây ≤30 ngày — tần suất cao</t>
  </si>
  <si>
    <t>Mua lại 31–90 ngày</t>
  </si>
  <si>
    <t>Chu kỳ bình thường — 1 hộp kính áp tròng 1–3 tháng</t>
  </si>
  <si>
    <t>Mua lại &gt;90 ngày</t>
  </si>
  <si>
    <t>Im lặng lâu mới quay lại — cần phân tích nguyên nhân</t>
  </si>
  <si>
    <t>Activation rate</t>
  </si>
  <si>
    <t>% KH mới T-3 đã mua lần 2 trong 90 ngày — đo hiệu quả nurture</t>
  </si>
  <si>
    <t>Cohort</t>
  </si>
  <si>
    <t>% KH mới T-1 có đơn trong T này — đo tốc độ mua lại nhanh</t>
  </si>
  <si>
    <t>CLV 12M</t>
  </si>
  <si>
    <t>Tổng DT TB/KH trong 12 tháng — so sánh với CP acquisition</t>
  </si>
  <si>
    <t>CLV Realized</t>
  </si>
  <si>
    <t>Tổng DT thực tế từ đơn đầu → nay — đo giá trị từng nhóm KH</t>
  </si>
  <si>
    <t>Win-back pool</t>
  </si>
  <si>
    <t>KH mua ≥2 lần, lần cuối &gt;60 ngày — Claude xuất DS hàng tháng</t>
  </si>
  <si>
    <t>📊 PHÂN TÍCH HÀNH VI SẢN PHẨM — T1/2025 → T6/2026</t>
  </si>
  <si>
    <t>⚠️  Ngày theo Ngày Thành Công  |  1 cặp = 2 chiếc  |  Ngâm = Nước ngâm  |  Nhỏ = Nhỏ mắt  |  Đủ bộ = Lens+Ngâm+Nhỏ cùng đơn  |  Nhiều dòng = ≥2 model lens trong 1 đơn</t>
  </si>
  <si>
    <t>Tháng</t>
  </si>
  <si>
    <t>Danh mục</t>
  </si>
  <si>
    <t>Tổng
Đơn</t>
  </si>
  <si>
    <t>1
Cặp</t>
  </si>
  <si>
    <t>2
Cặp</t>
  </si>
  <si>
    <t>3
Cặp</t>
  </si>
  <si>
    <t>4
Cặp</t>
  </si>
  <si>
    <t>5-9
Cặp</t>
  </si>
  <si>
    <t>10-19
Cặp</t>
  </si>
  <si>
    <t>20+
Cặp</t>
  </si>
  <si>
    <t>Kèm Ngâm
(không Nhỏ)</t>
  </si>
  <si>
    <t>Kèm Nhỏ
(không Ngâm)</t>
  </si>
  <si>
    <t>Đủ Bộ
(L+Ngâm+Nhỏ)</t>
  </si>
  <si>
    <t>Nhiều Dòng
Lens</t>
  </si>
  <si>
    <t>📘  FACEBOOK</t>
  </si>
  <si>
    <t>T1/2025</t>
  </si>
  <si>
    <t>Lens 1 Ngày</t>
  </si>
  <si>
    <t>Lens 1 Tháng</t>
  </si>
  <si>
    <t>Lens 3 Tháng</t>
  </si>
  <si>
    <t>T2/2025</t>
  </si>
  <si>
    <t>T3/2025</t>
  </si>
  <si>
    <t>T4/2025</t>
  </si>
  <si>
    <t>T5/2025</t>
  </si>
  <si>
    <t>T6/2025</t>
  </si>
  <si>
    <t>T7/2025</t>
  </si>
  <si>
    <t>T8/2025</t>
  </si>
  <si>
    <t>T9/2025</t>
  </si>
  <si>
    <t>T10/2025</t>
  </si>
  <si>
    <t>T11/2025</t>
  </si>
  <si>
    <t>T12/2025</t>
  </si>
  <si>
    <t>T1/2026</t>
  </si>
  <si>
    <t>T2/2026</t>
  </si>
  <si>
    <t>T3/2026</t>
  </si>
  <si>
    <t>T4/2026</t>
  </si>
  <si>
    <t>T5/2026</t>
  </si>
  <si>
    <t>T7/2026</t>
  </si>
  <si>
    <t>T8/2026</t>
  </si>
  <si>
    <t>T9/2026</t>
  </si>
  <si>
    <t>T10/2026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</si>
</sst>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dd/mm"/>
    <numFmt numFmtId="167" formatCode="0.0\x"/>
    <numFmt numFmtId="168" formatCode="yyyy\-mm\-dd\ h:mm:ss"/>
  </numFmts>
  <fonts count="56" x14ac:knownFonts="1">
    <font>
      <sz val="10"/>
      <color theme="1"/>
      <name val="Calibri"/>
      <family val="2"/>
      <charset val="1"/>
    </font>
    <font>
      <b/>
      <sz val="13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4"/>
      <color rgb="FFFFFFFF"/>
      <name val="Arial"/>
      <family val="2"/>
      <charset val="1"/>
    </font>
    <font>
      <sz val="9"/>
      <color rgb="FFD6E4F0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1A1A1A"/>
      <name val="Arial"/>
      <family val="2"/>
      <charset val="1"/>
    </font>
    <font>
      <b/>
      <sz val="9"/>
      <color rgb="FF00640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9"/>
      <color rgb="FF1A1A1A"/>
      <name val="Arial"/>
      <family val="2"/>
      <charset val="1"/>
    </font>
    <font>
      <sz val="8"/>
      <color rgb="FF595959"/>
      <name val="Arial"/>
      <family val="2"/>
      <charset val="1"/>
    </font>
    <font>
      <sz val="9"/>
      <color rgb="FF333333"/>
      <name val="Arial"/>
      <family val="2"/>
      <charset val="1"/>
    </font>
    <font>
      <sz val="9"/>
      <color rgb="FF006400"/>
      <name val="Arial"/>
      <family val="2"/>
      <charset val="1"/>
    </font>
    <font>
      <sz val="9"/>
      <color rgb="FF888888"/>
      <name val="Arial"/>
      <family val="2"/>
      <charset val="1"/>
    </font>
    <font>
      <sz val="8"/>
      <color rgb="FFD6E4F0"/>
      <name val="Arial"/>
      <family val="2"/>
      <charset val="1"/>
    </font>
    <font>
      <b/>
      <sz val="8"/>
      <color rgb="FF1A1A1A"/>
      <name val="Arial"/>
      <family val="2"/>
      <charset val="1"/>
    </font>
    <font>
      <b/>
      <sz val="9"/>
      <color rgb="FFFFEEDD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8"/>
      <color rgb="FF0000CC"/>
      <name val="Arial"/>
      <family val="2"/>
      <charset val="1"/>
    </font>
    <font>
      <sz val="10"/>
      <color rgb="FF1A1A1A"/>
      <name val="Arial"/>
      <family val="2"/>
      <charset val="1"/>
    </font>
    <font>
      <sz val="8"/>
      <color rgb="FF0000CC"/>
      <name val="Arial"/>
      <family val="2"/>
      <charset val="1"/>
    </font>
    <font>
      <b/>
      <sz val="8"/>
      <color rgb="FF006400"/>
      <name val="Arial"/>
      <family val="2"/>
      <charset val="1"/>
    </font>
    <font>
      <sz val="8"/>
      <color rgb="FF1A1A1A"/>
      <name val="Arial"/>
      <family val="2"/>
      <charset val="1"/>
    </font>
    <font>
      <b/>
      <sz val="9"/>
      <color rgb="FFDE5E00"/>
      <name val="Arial"/>
      <family val="2"/>
      <charset val="1"/>
    </font>
    <font>
      <b/>
      <sz val="8"/>
      <color rgb="FFDE5E00"/>
      <name val="Arial"/>
      <family val="2"/>
      <charset val="1"/>
    </font>
    <font>
      <sz val="9"/>
      <color rgb="FF7B3200"/>
      <name val="Arial"/>
      <family val="2"/>
      <charset val="1"/>
    </font>
    <font>
      <sz val="9"/>
      <color rgb="FF1D6A7C"/>
      <name val="Arial"/>
      <family val="2"/>
      <charset val="1"/>
    </font>
    <font>
      <sz val="9"/>
      <color rgb="FFFFFFFF"/>
      <name val="Arial"/>
      <family val="2"/>
      <charset val="1"/>
    </font>
    <font>
      <b/>
      <sz val="9"/>
      <color rgb="FF90EE90"/>
      <name val="Arial"/>
      <family val="2"/>
      <charset val="1"/>
    </font>
    <font>
      <b/>
      <sz val="9"/>
      <color rgb="FF0000CC"/>
      <name val="Arial"/>
      <family val="2"/>
      <charset val="1"/>
    </font>
    <font>
      <b/>
      <sz val="9"/>
      <color rgb="FF1D6A7C"/>
      <name val="Arial"/>
      <family val="2"/>
      <charset val="1"/>
    </font>
    <font>
      <b/>
      <sz val="10"/>
      <color theme="1"/>
      <name val="Calibri"/>
      <family val="2"/>
      <charset val="1"/>
    </font>
    <font>
      <b/>
      <sz val="11"/>
      <color rgb="FFFFFFFF"/>
      <name val="Arial"/>
      <family val="2"/>
      <charset val="1"/>
    </font>
    <font>
      <sz val="9"/>
      <color rgb="FF595959"/>
      <name val="Arial"/>
      <family val="2"/>
      <charset val="1"/>
    </font>
    <font>
      <b/>
      <sz val="14"/>
      <color rgb="FFFFFFFF"/>
      <name val="Calibri"/>
      <family val="2"/>
      <charset val="1"/>
    </font>
    <font>
      <i/>
      <sz val="8"/>
      <color rgb="FF666666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9"/>
      <color rgb="FF1A237E"/>
      <name val="Calibri"/>
      <family val="2"/>
      <charset val="1"/>
    </font>
    <font>
      <b/>
      <sz val="9"/>
      <color rgb="FF212121"/>
      <name val="Calibri"/>
      <family val="2"/>
      <charset val="1"/>
    </font>
    <font>
      <sz val="9"/>
      <color rgb="FF212121"/>
      <name val="Calibri"/>
      <family val="2"/>
      <charset val="1"/>
    </font>
    <font>
      <sz val="9"/>
      <color rgb="FFBDBDBD"/>
      <name val="Calibri"/>
      <family val="2"/>
      <charset val="1"/>
    </font>
    <font>
      <i/>
      <sz val="10"/>
      <color rgb="FF404040"/>
      <name val="Arial"/>
      <family val="2"/>
    </font>
    <font>
      <i/>
      <sz val="10"/>
      <name val="Arial"/>
      <family val="2"/>
    </font>
    <font>
      <b/>
      <sz val="13"/>
      <color rgb="FFFFFFFF"/>
      <name val="Arial"/>
      <family val="2"/>
    </font>
    <font>
      <sz val="9"/>
      <color rgb="FF1F3864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theme="1"/>
      <name val="Calibri"/>
      <family val="2"/>
      <charset val="1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b/>
      <sz val="10"/>
      <name val="Calibri"/>
      <family val="2"/>
    </font>
  </fonts>
  <fills count="54">
    <fill>
      <patternFill patternType="none"/>
    </fill>
    <fill>
      <patternFill patternType="gray125"/>
    </fill>
    <fill>
      <patternFill patternType="solid">
        <fgColor rgb="FF1F3864"/>
        <bgColor rgb="FF1A237E"/>
      </patternFill>
    </fill>
    <fill>
      <patternFill patternType="solid">
        <fgColor rgb="FFFFF2CC"/>
        <bgColor rgb="FFFFF0CC"/>
      </patternFill>
    </fill>
    <fill>
      <patternFill patternType="solid">
        <fgColor rgb="FFFCE4D6"/>
        <bgColor rgb="FFFFEEDD"/>
      </patternFill>
    </fill>
    <fill>
      <patternFill patternType="solid">
        <fgColor rgb="FF2E4B8F"/>
        <bgColor rgb="FF37474F"/>
      </patternFill>
    </fill>
    <fill>
      <patternFill patternType="solid">
        <fgColor rgb="FFF5F5F5"/>
        <bgColor rgb="FFF2F2F2"/>
      </patternFill>
    </fill>
    <fill>
      <patternFill patternType="solid">
        <fgColor rgb="FFD9EAD3"/>
        <bgColor rgb="FFE2EFDA"/>
      </patternFill>
    </fill>
    <fill>
      <patternFill patternType="solid">
        <fgColor rgb="FFE8F5E9"/>
        <bgColor rgb="FFE8EEF4"/>
      </patternFill>
    </fill>
    <fill>
      <patternFill patternType="solid">
        <fgColor rgb="FF1D6A7C"/>
        <bgColor rgb="FF2E75B6"/>
      </patternFill>
    </fill>
    <fill>
      <patternFill patternType="solid">
        <fgColor rgb="FF1E5631"/>
        <bgColor rgb="FF2E5E1F"/>
      </patternFill>
    </fill>
    <fill>
      <patternFill patternType="solid">
        <fgColor rgb="FF4C1A6E"/>
        <bgColor rgb="FF6A1B9A"/>
      </patternFill>
    </fill>
    <fill>
      <patternFill patternType="solid">
        <fgColor rgb="FFD6E4F0"/>
        <bgColor rgb="FFD0E8EE"/>
      </patternFill>
    </fill>
    <fill>
      <patternFill patternType="solid">
        <fgColor rgb="FFFFF0CC"/>
        <bgColor rgb="FFFFF2CC"/>
      </patternFill>
    </fill>
    <fill>
      <patternFill patternType="solid">
        <fgColor rgb="FFD0E8EE"/>
        <bgColor rgb="FFD6E4F0"/>
      </patternFill>
    </fill>
    <fill>
      <patternFill patternType="solid">
        <fgColor rgb="FF7B3200"/>
        <bgColor rgb="FF800000"/>
      </patternFill>
    </fill>
    <fill>
      <patternFill patternType="solid">
        <fgColor rgb="FF595959"/>
        <bgColor rgb="FF555555"/>
      </patternFill>
    </fill>
    <fill>
      <patternFill patternType="solid">
        <fgColor rgb="FFFFE0B2"/>
        <bgColor rgb="FFFCE4D6"/>
      </patternFill>
    </fill>
    <fill>
      <patternFill patternType="solid">
        <fgColor rgb="FFFFF8DC"/>
        <bgColor rgb="FFFFF8E1"/>
      </patternFill>
    </fill>
    <fill>
      <patternFill patternType="solid">
        <fgColor rgb="FFEAD1DC"/>
        <bgColor rgb="FFD9D9D9"/>
      </patternFill>
    </fill>
    <fill>
      <patternFill patternType="solid">
        <fgColor rgb="FF1A237E"/>
        <bgColor rgb="FF1F3864"/>
      </patternFill>
    </fill>
    <fill>
      <patternFill patternType="solid">
        <fgColor rgb="FF37474F"/>
        <bgColor rgb="FF333333"/>
      </patternFill>
    </fill>
    <fill>
      <patternFill patternType="solid">
        <fgColor rgb="FF1565C0"/>
        <bgColor rgb="FF1976D2"/>
      </patternFill>
    </fill>
    <fill>
      <patternFill patternType="solid">
        <fgColor rgb="FFE8EAF6"/>
        <bgColor rgb="FFE8EEF4"/>
      </patternFill>
    </fill>
    <fill>
      <patternFill patternType="solid">
        <fgColor rgb="FF1976D2"/>
        <bgColor rgb="FF1565C0"/>
      </patternFill>
    </fill>
    <fill>
      <patternFill patternType="solid">
        <fgColor rgb="FFFFF8E1"/>
        <bgColor rgb="FFFFF8DC"/>
      </patternFill>
    </fill>
    <fill>
      <patternFill patternType="solid">
        <fgColor rgb="FFFFFDE7"/>
        <bgColor rgb="FFFFF8E1"/>
      </patternFill>
    </fill>
    <fill>
      <patternFill patternType="solid">
        <fgColor rgb="FFFFFFFF"/>
        <bgColor rgb="FFFFFDE7"/>
      </patternFill>
    </fill>
    <fill>
      <patternFill patternType="solid">
        <fgColor rgb="FFFFF3E0"/>
        <bgColor rgb="FFFFF8E1"/>
      </patternFill>
    </fill>
    <fill>
      <patternFill patternType="solid">
        <fgColor rgb="FF7B1FA2"/>
        <bgColor rgb="FF6A1B9A"/>
      </patternFill>
    </fill>
    <fill>
      <patternFill patternType="solid">
        <fgColor rgb="FF2E7D32"/>
        <bgColor rgb="FF2E5E1F"/>
      </patternFill>
    </fill>
    <fill>
      <patternFill patternType="solid">
        <fgColor rgb="FFE0E0E0"/>
        <bgColor rgb="FFDEE0E3"/>
      </patternFill>
    </fill>
    <fill>
      <patternFill patternType="solid">
        <fgColor rgb="FF6A1B9A"/>
        <bgColor rgb="FF7B1FA2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4057"/>
      </patternFill>
    </fill>
    <fill>
      <patternFill patternType="solid">
        <fgColor rgb="FF1E5631"/>
      </patternFill>
    </fill>
    <fill>
      <patternFill patternType="solid">
        <fgColor rgb="FF7B3200"/>
      </patternFill>
    </fill>
    <fill>
      <patternFill patternType="solid">
        <fgColor rgb="FF1D6A7C"/>
      </patternFill>
    </fill>
    <fill>
      <patternFill patternType="solid">
        <fgColor rgb="FF595959"/>
      </patternFill>
    </fill>
    <fill>
      <patternFill patternType="solid">
        <fgColor rgb="FFE8F5E9"/>
      </patternFill>
    </fill>
    <fill>
      <patternFill patternType="solid">
        <fgColor rgb="FFDDE6F5"/>
      </patternFill>
    </fill>
    <fill>
      <patternFill patternType="solid">
        <fgColor rgb="FFD9EAD3"/>
      </patternFill>
    </fill>
    <fill>
      <patternFill patternType="solid">
        <fgColor rgb="FFFFF8DC"/>
      </patternFill>
    </fill>
    <fill>
      <patternFill patternType="solid">
        <fgColor rgb="FFD0E8EE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FF0000"/>
      </patternFill>
    </fill>
    <fill>
      <patternFill patternType="solid">
        <fgColor rgb="FFD9D9D9"/>
      </patternFill>
    </fill>
    <fill>
      <patternFill patternType="solid">
        <fgColor rgb="FF2F5597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DEE0E3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/>
      <right style="thin">
        <color rgb="FFDEE0E3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49" fillId="0" borderId="0"/>
  </cellStyleXfs>
  <cellXfs count="220">
    <xf numFmtId="0" fontId="0" fillId="0" borderId="0" xfId="0"/>
    <xf numFmtId="0" fontId="8" fillId="2" borderId="3" xfId="0" applyFont="1" applyFill="1" applyBorder="1"/>
    <xf numFmtId="0" fontId="9" fillId="6" borderId="3" xfId="0" applyFont="1" applyFill="1" applyBorder="1" applyAlignment="1">
      <alignment horizontal="left" vertical="center" wrapText="1"/>
    </xf>
    <xf numFmtId="0" fontId="10" fillId="6" borderId="3" xfId="0" applyFont="1" applyFill="1" applyBorder="1" applyAlignment="1">
      <alignment horizontal="center" vertical="center" wrapText="1"/>
    </xf>
    <xf numFmtId="3" fontId="11" fillId="6" borderId="3" xfId="0" applyNumberFormat="1" applyFont="1" applyFill="1" applyBorder="1" applyAlignment="1">
      <alignment horizontal="right" vertical="center"/>
    </xf>
    <xf numFmtId="3" fontId="12" fillId="8" borderId="3" xfId="0" applyNumberFormat="1" applyFont="1" applyFill="1" applyBorder="1" applyAlignment="1">
      <alignment horizontal="right" vertical="center"/>
    </xf>
    <xf numFmtId="0" fontId="9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3" fontId="6" fillId="3" borderId="3" xfId="0" applyNumberFormat="1" applyFont="1" applyFill="1" applyBorder="1" applyAlignment="1">
      <alignment horizontal="right" vertical="center"/>
    </xf>
    <xf numFmtId="164" fontId="6" fillId="3" borderId="3" xfId="0" applyNumberFormat="1" applyFont="1" applyFill="1" applyBorder="1" applyAlignment="1">
      <alignment horizontal="right" vertical="center"/>
    </xf>
    <xf numFmtId="0" fontId="13" fillId="6" borderId="3" xfId="0" applyFont="1" applyFill="1" applyBorder="1" applyAlignment="1">
      <alignment horizontal="left" vertical="center" wrapText="1"/>
    </xf>
    <xf numFmtId="164" fontId="11" fillId="6" borderId="3" xfId="0" applyNumberFormat="1" applyFont="1" applyFill="1" applyBorder="1" applyAlignment="1">
      <alignment horizontal="right" vertical="center"/>
    </xf>
    <xf numFmtId="0" fontId="13" fillId="0" borderId="3" xfId="0" applyFont="1" applyBorder="1" applyAlignment="1">
      <alignment horizontal="left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/>
    </xf>
    <xf numFmtId="0" fontId="8" fillId="9" borderId="3" xfId="0" applyFont="1" applyFill="1" applyBorder="1"/>
    <xf numFmtId="164" fontId="12" fillId="8" borderId="3" xfId="0" applyNumberFormat="1" applyFont="1" applyFill="1" applyBorder="1" applyAlignment="1">
      <alignment horizontal="right" vertical="center"/>
    </xf>
    <xf numFmtId="0" fontId="2" fillId="10" borderId="2" xfId="0" applyFont="1" applyFill="1" applyBorder="1" applyAlignment="1">
      <alignment horizontal="left" vertical="center" wrapText="1"/>
    </xf>
    <xf numFmtId="0" fontId="8" fillId="0" borderId="4" xfId="0" applyFont="1" applyBorder="1"/>
    <xf numFmtId="0" fontId="5" fillId="10" borderId="2" xfId="0" applyFont="1" applyFill="1" applyBorder="1" applyAlignment="1">
      <alignment horizontal="left" vertical="center"/>
    </xf>
    <xf numFmtId="0" fontId="8" fillId="10" borderId="3" xfId="0" applyFont="1" applyFill="1" applyBorder="1"/>
    <xf numFmtId="0" fontId="14" fillId="5" borderId="2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6" fillId="15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 wrapText="1"/>
    </xf>
    <xf numFmtId="0" fontId="5" fillId="16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3" fontId="18" fillId="12" borderId="3" xfId="0" applyNumberFormat="1" applyFont="1" applyFill="1" applyBorder="1" applyAlignment="1">
      <alignment horizontal="right" vertical="center" wrapText="1"/>
    </xf>
    <xf numFmtId="0" fontId="19" fillId="6" borderId="3" xfId="0" applyFont="1" applyFill="1" applyBorder="1" applyAlignment="1">
      <alignment horizontal="left" vertical="center" wrapText="1"/>
    </xf>
    <xf numFmtId="3" fontId="20" fillId="14" borderId="3" xfId="0" applyNumberFormat="1" applyFont="1" applyFill="1" applyBorder="1" applyAlignment="1">
      <alignment horizontal="right" vertical="center" wrapText="1"/>
    </xf>
    <xf numFmtId="3" fontId="21" fillId="8" borderId="3" xfId="0" applyNumberFormat="1" applyFont="1" applyFill="1" applyBorder="1" applyAlignment="1">
      <alignment horizontal="right" vertical="center" wrapText="1"/>
    </xf>
    <xf numFmtId="3" fontId="18" fillId="8" borderId="3" xfId="0" applyNumberFormat="1" applyFont="1" applyFill="1" applyBorder="1" applyAlignment="1">
      <alignment horizontal="right" vertical="center" wrapText="1"/>
    </xf>
    <xf numFmtId="0" fontId="19" fillId="8" borderId="3" xfId="0" applyFont="1" applyFill="1" applyBorder="1" applyAlignment="1">
      <alignment horizontal="left" vertical="center" wrapText="1"/>
    </xf>
    <xf numFmtId="166" fontId="6" fillId="6" borderId="3" xfId="0" applyNumberFormat="1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right" vertical="center"/>
    </xf>
    <xf numFmtId="0" fontId="10" fillId="0" borderId="3" xfId="0" applyFont="1" applyBorder="1" applyAlignment="1">
      <alignment horizontal="left" vertical="center"/>
    </xf>
    <xf numFmtId="166" fontId="23" fillId="17" borderId="3" xfId="0" applyNumberFormat="1" applyFont="1" applyFill="1" applyBorder="1" applyAlignment="1">
      <alignment horizontal="center" vertical="center"/>
    </xf>
    <xf numFmtId="0" fontId="24" fillId="17" borderId="3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3" fontId="12" fillId="8" borderId="3" xfId="0" applyNumberFormat="1" applyFont="1" applyFill="1" applyBorder="1" applyAlignment="1">
      <alignment horizontal="right" vertical="center" wrapText="1"/>
    </xf>
    <xf numFmtId="3" fontId="25" fillId="18" borderId="3" xfId="0" applyNumberFormat="1" applyFont="1" applyFill="1" applyBorder="1" applyAlignment="1">
      <alignment horizontal="right" vertical="center" wrapText="1"/>
    </xf>
    <xf numFmtId="167" fontId="25" fillId="18" borderId="3" xfId="0" applyNumberFormat="1" applyFont="1" applyFill="1" applyBorder="1" applyAlignment="1">
      <alignment horizontal="right" vertical="center" wrapText="1"/>
    </xf>
    <xf numFmtId="3" fontId="26" fillId="14" borderId="3" xfId="0" applyNumberFormat="1" applyFont="1" applyFill="1" applyBorder="1" applyAlignment="1">
      <alignment horizontal="right" vertical="center" wrapText="1"/>
    </xf>
    <xf numFmtId="3" fontId="12" fillId="7" borderId="3" xfId="0" applyNumberFormat="1" applyFont="1" applyFill="1" applyBorder="1" applyAlignment="1">
      <alignment horizontal="right" vertical="center" wrapText="1"/>
    </xf>
    <xf numFmtId="164" fontId="12" fillId="7" borderId="3" xfId="0" applyNumberFormat="1" applyFont="1" applyFill="1" applyBorder="1" applyAlignment="1">
      <alignment horizontal="right" vertical="center" wrapText="1"/>
    </xf>
    <xf numFmtId="0" fontId="19" fillId="0" borderId="3" xfId="0" applyFont="1" applyBorder="1" applyAlignment="1">
      <alignment horizontal="left" vertical="center" wrapText="1"/>
    </xf>
    <xf numFmtId="0" fontId="9" fillId="14" borderId="3" xfId="0" applyFont="1" applyFill="1" applyBorder="1" applyAlignment="1">
      <alignment horizontal="center" vertical="center" wrapText="1"/>
    </xf>
    <xf numFmtId="0" fontId="10" fillId="1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9" fillId="19" borderId="3" xfId="0" applyFont="1" applyFill="1" applyBorder="1" applyAlignment="1">
      <alignment horizontal="center" vertical="center" wrapText="1"/>
    </xf>
    <xf numFmtId="0" fontId="10" fillId="19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right" vertical="center" wrapText="1"/>
    </xf>
    <xf numFmtId="167" fontId="5" fillId="2" borderId="3" xfId="0" applyNumberFormat="1" applyFont="1" applyFill="1" applyBorder="1" applyAlignment="1">
      <alignment horizontal="right" vertical="center" wrapText="1"/>
    </xf>
    <xf numFmtId="164" fontId="28" fillId="2" borderId="3" xfId="0" applyNumberFormat="1" applyFont="1" applyFill="1" applyBorder="1" applyAlignment="1">
      <alignment horizontal="right" vertical="center" wrapText="1"/>
    </xf>
    <xf numFmtId="3" fontId="29" fillId="12" borderId="3" xfId="0" applyNumberFormat="1" applyFont="1" applyFill="1" applyBorder="1" applyAlignment="1">
      <alignment horizontal="right" vertical="center" wrapText="1"/>
    </xf>
    <xf numFmtId="3" fontId="30" fillId="14" borderId="3" xfId="0" applyNumberFormat="1" applyFont="1" applyFill="1" applyBorder="1" applyAlignment="1">
      <alignment horizontal="right" vertical="center" wrapText="1"/>
    </xf>
    <xf numFmtId="3" fontId="7" fillId="7" borderId="3" xfId="0" applyNumberFormat="1" applyFont="1" applyFill="1" applyBorder="1" applyAlignment="1">
      <alignment horizontal="right" vertical="center" wrapText="1"/>
    </xf>
    <xf numFmtId="0" fontId="0" fillId="0" borderId="6" xfId="0" applyBorder="1"/>
    <xf numFmtId="0" fontId="31" fillId="0" borderId="6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9" fontId="0" fillId="0" borderId="6" xfId="0" applyNumberFormat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/>
    </xf>
    <xf numFmtId="0" fontId="19" fillId="12" borderId="3" xfId="0" applyFont="1" applyFill="1" applyBorder="1" applyAlignment="1">
      <alignment horizontal="left" vertical="center" wrapText="1"/>
    </xf>
    <xf numFmtId="0" fontId="9" fillId="12" borderId="3" xfId="0" applyFont="1" applyFill="1" applyBorder="1" applyAlignment="1">
      <alignment horizontal="left" vertical="center" wrapText="1"/>
    </xf>
    <xf numFmtId="0" fontId="33" fillId="12" borderId="3" xfId="0" applyFont="1" applyFill="1" applyBorder="1" applyAlignment="1">
      <alignment horizontal="left" vertical="center" wrapText="1"/>
    </xf>
    <xf numFmtId="0" fontId="33" fillId="0" borderId="3" xfId="0" applyFont="1" applyBorder="1" applyAlignment="1">
      <alignment horizontal="left" vertical="center" wrapText="1"/>
    </xf>
    <xf numFmtId="0" fontId="19" fillId="14" borderId="3" xfId="0" applyFont="1" applyFill="1" applyBorder="1" applyAlignment="1">
      <alignment horizontal="left" vertical="center" wrapText="1"/>
    </xf>
    <xf numFmtId="0" fontId="9" fillId="14" borderId="3" xfId="0" applyFont="1" applyFill="1" applyBorder="1" applyAlignment="1">
      <alignment horizontal="left" vertical="center" wrapText="1"/>
    </xf>
    <xf numFmtId="0" fontId="33" fillId="14" borderId="3" xfId="0" applyFont="1" applyFill="1" applyBorder="1" applyAlignment="1">
      <alignment horizontal="left" vertical="center" wrapText="1"/>
    </xf>
    <xf numFmtId="0" fontId="19" fillId="19" borderId="3" xfId="0" applyFont="1" applyFill="1" applyBorder="1" applyAlignment="1">
      <alignment horizontal="left" vertical="center" wrapText="1"/>
    </xf>
    <xf numFmtId="0" fontId="9" fillId="19" borderId="3" xfId="0" applyFont="1" applyFill="1" applyBorder="1" applyAlignment="1">
      <alignment horizontal="left" vertical="center" wrapText="1"/>
    </xf>
    <xf numFmtId="0" fontId="33" fillId="19" borderId="3" xfId="0" applyFont="1" applyFill="1" applyBorder="1" applyAlignment="1">
      <alignment horizontal="left" vertical="center" wrapText="1"/>
    </xf>
    <xf numFmtId="0" fontId="19" fillId="4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33" fillId="4" borderId="3" xfId="0" applyFont="1" applyFill="1" applyBorder="1" applyAlignment="1">
      <alignment horizontal="left" vertical="center" wrapText="1"/>
    </xf>
    <xf numFmtId="0" fontId="36" fillId="21" borderId="7" xfId="0" applyFont="1" applyFill="1" applyBorder="1" applyAlignment="1">
      <alignment horizontal="center" vertical="center" wrapText="1"/>
    </xf>
    <xf numFmtId="0" fontId="38" fillId="23" borderId="1" xfId="0" applyFont="1" applyFill="1" applyBorder="1" applyAlignment="1">
      <alignment horizontal="center" vertical="center" wrapText="1"/>
    </xf>
    <xf numFmtId="0" fontId="36" fillId="24" borderId="1" xfId="0" applyFont="1" applyFill="1" applyBorder="1" applyAlignment="1">
      <alignment horizontal="left" vertical="center" wrapText="1"/>
    </xf>
    <xf numFmtId="0" fontId="39" fillId="25" borderId="1" xfId="0" applyFont="1" applyFill="1" applyBorder="1" applyAlignment="1">
      <alignment horizontal="right" vertical="center"/>
    </xf>
    <xf numFmtId="0" fontId="40" fillId="26" borderId="1" xfId="0" applyFont="1" applyFill="1" applyBorder="1" applyAlignment="1">
      <alignment horizontal="right" vertical="center"/>
    </xf>
    <xf numFmtId="0" fontId="41" fillId="27" borderId="1" xfId="0" applyFont="1" applyFill="1" applyBorder="1" applyAlignment="1">
      <alignment horizontal="right" vertical="center"/>
    </xf>
    <xf numFmtId="0" fontId="40" fillId="28" borderId="1" xfId="0" applyFont="1" applyFill="1" applyBorder="1" applyAlignment="1">
      <alignment horizontal="right" vertical="center"/>
    </xf>
    <xf numFmtId="0" fontId="36" fillId="29" borderId="1" xfId="0" applyFont="1" applyFill="1" applyBorder="1" applyAlignment="1">
      <alignment horizontal="left" vertical="center" wrapText="1"/>
    </xf>
    <xf numFmtId="0" fontId="36" fillId="30" borderId="1" xfId="0" applyFont="1" applyFill="1" applyBorder="1" applyAlignment="1">
      <alignment horizontal="left" vertical="center" wrapText="1"/>
    </xf>
    <xf numFmtId="0" fontId="0" fillId="31" borderId="0" xfId="0" applyFill="1"/>
    <xf numFmtId="16" fontId="10" fillId="4" borderId="3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37" fillId="32" borderId="0" xfId="0" applyFont="1" applyFill="1" applyAlignment="1">
      <alignment horizontal="left" vertical="center" wrapText="1"/>
    </xf>
    <xf numFmtId="0" fontId="42" fillId="0" borderId="0" xfId="0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168" fontId="0" fillId="0" borderId="0" xfId="0" applyNumberFormat="1"/>
    <xf numFmtId="0" fontId="46" fillId="33" borderId="9" xfId="0" applyFont="1" applyFill="1" applyBorder="1" applyAlignment="1">
      <alignment horizontal="center" vertical="center" wrapText="1"/>
    </xf>
    <xf numFmtId="0" fontId="46" fillId="35" borderId="9" xfId="0" applyFont="1" applyFill="1" applyBorder="1" applyAlignment="1">
      <alignment horizontal="center" vertical="center" wrapText="1"/>
    </xf>
    <xf numFmtId="0" fontId="46" fillId="36" borderId="9" xfId="0" applyFont="1" applyFill="1" applyBorder="1" applyAlignment="1">
      <alignment horizontal="center" vertical="center" wrapText="1"/>
    </xf>
    <xf numFmtId="0" fontId="46" fillId="37" borderId="9" xfId="0" applyFont="1" applyFill="1" applyBorder="1" applyAlignment="1">
      <alignment horizontal="center" vertical="center" wrapText="1"/>
    </xf>
    <xf numFmtId="0" fontId="46" fillId="38" borderId="9" xfId="0" applyFont="1" applyFill="1" applyBorder="1" applyAlignment="1">
      <alignment horizontal="center" vertical="center" wrapText="1"/>
    </xf>
    <xf numFmtId="0" fontId="46" fillId="39" borderId="9" xfId="0" applyFont="1" applyFill="1" applyBorder="1" applyAlignment="1">
      <alignment horizontal="center" vertical="center" wrapText="1"/>
    </xf>
    <xf numFmtId="49" fontId="47" fillId="34" borderId="9" xfId="0" applyNumberFormat="1" applyFont="1" applyFill="1" applyBorder="1" applyAlignment="1">
      <alignment horizontal="center" vertical="center" wrapText="1"/>
    </xf>
    <xf numFmtId="49" fontId="48" fillId="34" borderId="9" xfId="0" applyNumberFormat="1" applyFont="1" applyFill="1" applyBorder="1" applyAlignment="1">
      <alignment horizontal="center" vertical="center" wrapText="1"/>
    </xf>
    <xf numFmtId="3" fontId="48" fillId="40" borderId="9" xfId="0" applyNumberFormat="1" applyFont="1" applyFill="1" applyBorder="1" applyAlignment="1">
      <alignment horizontal="center" vertical="center" wrapText="1"/>
    </xf>
    <xf numFmtId="3" fontId="48" fillId="41" borderId="9" xfId="0" applyNumberFormat="1" applyFont="1" applyFill="1" applyBorder="1" applyAlignment="1">
      <alignment horizontal="center" vertical="center" wrapText="1"/>
    </xf>
    <xf numFmtId="164" fontId="48" fillId="42" borderId="9" xfId="0" applyNumberFormat="1" applyFont="1" applyFill="1" applyBorder="1" applyAlignment="1">
      <alignment horizontal="center" vertical="center" wrapText="1"/>
    </xf>
    <xf numFmtId="3" fontId="48" fillId="43" borderId="9" xfId="0" applyNumberFormat="1" applyFont="1" applyFill="1" applyBorder="1" applyAlignment="1">
      <alignment horizontal="center" vertical="center" wrapText="1"/>
    </xf>
    <xf numFmtId="2" fontId="48" fillId="43" borderId="9" xfId="0" applyNumberFormat="1" applyFont="1" applyFill="1" applyBorder="1" applyAlignment="1">
      <alignment horizontal="center" vertical="center" wrapText="1"/>
    </xf>
    <xf numFmtId="3" fontId="48" fillId="44" borderId="9" xfId="0" applyNumberFormat="1" applyFont="1" applyFill="1" applyBorder="1" applyAlignment="1">
      <alignment horizontal="center" vertical="center" wrapText="1"/>
    </xf>
    <xf numFmtId="3" fontId="48" fillId="42" borderId="9" xfId="0" applyNumberFormat="1" applyFont="1" applyFill="1" applyBorder="1" applyAlignment="1">
      <alignment horizontal="center" vertical="center" wrapText="1"/>
    </xf>
    <xf numFmtId="49" fontId="48" fillId="45" borderId="9" xfId="0" applyNumberFormat="1" applyFont="1" applyFill="1" applyBorder="1" applyAlignment="1">
      <alignment horizontal="left" vertical="center" wrapText="1"/>
    </xf>
    <xf numFmtId="0" fontId="53" fillId="46" borderId="0" xfId="0" applyFont="1" applyFill="1" applyAlignment="1">
      <alignment horizontal="center" vertical="center" wrapText="1"/>
    </xf>
    <xf numFmtId="0" fontId="54" fillId="0" borderId="0" xfId="0" applyFont="1" applyAlignment="1">
      <alignment horizontal="center" vertical="top" wrapText="1"/>
    </xf>
    <xf numFmtId="0" fontId="52" fillId="0" borderId="0" xfId="0" applyFont="1" applyAlignment="1">
      <alignment horizontal="center" vertical="top" wrapText="1"/>
    </xf>
    <xf numFmtId="0" fontId="52" fillId="0" borderId="0" xfId="0" applyFont="1" applyAlignment="1">
      <alignment horizontal="left" vertical="top" wrapText="1"/>
    </xf>
    <xf numFmtId="0" fontId="54" fillId="50" borderId="0" xfId="0" applyFont="1" applyFill="1" applyAlignment="1">
      <alignment horizontal="center" vertical="top" wrapText="1"/>
    </xf>
    <xf numFmtId="0" fontId="54" fillId="51" borderId="0" xfId="0" applyFont="1" applyFill="1" applyAlignment="1">
      <alignment horizontal="center" vertical="top" wrapText="1"/>
    </xf>
    <xf numFmtId="0" fontId="52" fillId="51" borderId="0" xfId="0" applyFont="1" applyFill="1" applyAlignment="1">
      <alignment horizontal="center" vertical="top" wrapText="1"/>
    </xf>
    <xf numFmtId="0" fontId="52" fillId="51" borderId="0" xfId="0" applyFont="1" applyFill="1" applyAlignment="1">
      <alignment horizontal="left" vertical="top" wrapText="1"/>
    </xf>
    <xf numFmtId="0" fontId="54" fillId="52" borderId="0" xfId="0" applyFont="1" applyFill="1" applyAlignment="1">
      <alignment horizontal="center" vertical="top" wrapText="1"/>
    </xf>
    <xf numFmtId="0" fontId="54" fillId="53" borderId="0" xfId="0" applyFont="1" applyFill="1" applyAlignment="1">
      <alignment horizontal="center" vertical="top" wrapText="1"/>
    </xf>
    <xf numFmtId="1" fontId="11" fillId="6" borderId="3" xfId="0" applyNumberFormat="1" applyFont="1" applyFill="1" applyBorder="1" applyAlignment="1">
      <alignment horizontal="right" vertical="center"/>
    </xf>
    <xf numFmtId="1" fontId="6" fillId="3" borderId="3" xfId="0" applyNumberFormat="1" applyFont="1" applyFill="1" applyBorder="1" applyAlignment="1">
      <alignment horizontal="right" vertical="center"/>
    </xf>
    <xf numFmtId="0" fontId="11" fillId="6" borderId="3" xfId="0" applyFont="1" applyFill="1" applyBorder="1" applyAlignment="1">
      <alignment horizontal="right" vertical="center"/>
    </xf>
    <xf numFmtId="0" fontId="55" fillId="0" borderId="0" xfId="0" applyFont="1"/>
    <xf numFmtId="0" fontId="36" fillId="21" borderId="0" xfId="0" applyFont="1" applyFill="1"/>
    <xf numFmtId="0" fontId="8" fillId="9" borderId="9" xfId="0" applyFont="1" applyFill="1" applyBorder="1"/>
    <xf numFmtId="0" fontId="13" fillId="6" borderId="9" xfId="0" applyFont="1" applyFill="1" applyBorder="1" applyAlignment="1">
      <alignment horizontal="left" vertical="center" wrapText="1"/>
    </xf>
    <xf numFmtId="3" fontId="13" fillId="6" borderId="9" xfId="0" applyNumberFormat="1" applyFont="1" applyFill="1" applyBorder="1" applyAlignment="1">
      <alignment horizontal="left" vertical="center" wrapText="1"/>
    </xf>
    <xf numFmtId="0" fontId="49" fillId="0" borderId="0" xfId="0" applyFont="1"/>
    <xf numFmtId="0" fontId="8" fillId="0" borderId="0" xfId="0" applyFont="1"/>
    <xf numFmtId="0" fontId="8" fillId="10" borderId="9" xfId="0" applyFont="1" applyFill="1" applyBorder="1"/>
    <xf numFmtId="0" fontId="0" fillId="0" borderId="4" xfId="0" applyBorder="1"/>
    <xf numFmtId="0" fontId="8" fillId="10" borderId="9" xfId="0" applyFont="1" applyFill="1" applyBorder="1"/>
    <xf numFmtId="0" fontId="10" fillId="6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0" fillId="46" borderId="0" xfId="0" applyFont="1" applyFill="1" applyAlignment="1">
      <alignment horizontal="center" vertical="center" wrapText="1"/>
    </xf>
    <xf numFmtId="0" fontId="0" fillId="0" borderId="0" xfId="0"/>
    <xf numFmtId="0" fontId="52" fillId="48" borderId="0" xfId="0" applyFont="1" applyFill="1" applyAlignment="1">
      <alignment horizontal="left" vertical="center" wrapText="1"/>
    </xf>
    <xf numFmtId="0" fontId="51" fillId="49" borderId="0" xfId="0" applyFont="1" applyFill="1" applyAlignment="1">
      <alignment horizontal="left" vertical="center"/>
    </xf>
    <xf numFmtId="0" fontId="51" fillId="47" borderId="0" xfId="0" applyFont="1" applyFill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0" borderId="8" xfId="0" applyBorder="1"/>
    <xf numFmtId="0" fontId="45" fillId="34" borderId="0" xfId="0" applyFont="1" applyFill="1" applyAlignment="1">
      <alignment horizontal="center" vertical="center"/>
    </xf>
    <xf numFmtId="0" fontId="44" fillId="33" borderId="0" xfId="0" applyFont="1" applyFill="1" applyAlignment="1">
      <alignment horizontal="center" vertical="center"/>
    </xf>
    <xf numFmtId="0" fontId="32" fillId="9" borderId="2" xfId="0" applyFont="1" applyFill="1" applyBorder="1" applyAlignment="1">
      <alignment horizontal="left" vertical="center" wrapText="1"/>
    </xf>
    <xf numFmtId="0" fontId="32" fillId="11" borderId="2" xfId="0" applyFont="1" applyFill="1" applyBorder="1" applyAlignment="1">
      <alignment horizontal="left" vertical="center" wrapText="1"/>
    </xf>
    <xf numFmtId="0" fontId="32" fillId="2" borderId="2" xfId="0" applyFont="1" applyFill="1" applyBorder="1" applyAlignment="1">
      <alignment horizontal="left" vertical="center" wrapText="1"/>
    </xf>
    <xf numFmtId="0" fontId="32" fillId="15" borderId="2" xfId="0" applyFont="1" applyFill="1" applyBorder="1" applyAlignment="1">
      <alignment horizontal="left" vertical="center" wrapText="1"/>
    </xf>
    <xf numFmtId="0" fontId="37" fillId="22" borderId="0" xfId="0" applyFont="1" applyFill="1" applyAlignment="1">
      <alignment horizontal="left" vertical="center" wrapText="1"/>
    </xf>
    <xf numFmtId="0" fontId="35" fillId="6" borderId="0" xfId="0" applyFont="1" applyFill="1" applyAlignment="1">
      <alignment horizontal="left" vertical="center" wrapText="1"/>
    </xf>
    <xf numFmtId="0" fontId="34" fillId="20" borderId="0" xfId="0" applyFont="1" applyFill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0" fillId="0" borderId="10" xfId="0" applyBorder="1"/>
    <xf numFmtId="0" fontId="8" fillId="2" borderId="12" xfId="0" applyFont="1" applyFill="1" applyBorder="1"/>
    <xf numFmtId="0" fontId="9" fillId="6" borderId="12" xfId="0" applyFont="1" applyFill="1" applyBorder="1" applyAlignment="1">
      <alignment horizontal="left" vertical="center" wrapText="1"/>
    </xf>
    <xf numFmtId="0" fontId="10" fillId="6" borderId="12" xfId="0" applyFont="1" applyFill="1" applyBorder="1" applyAlignment="1">
      <alignment horizontal="center" vertical="center" wrapText="1"/>
    </xf>
    <xf numFmtId="2" fontId="6" fillId="3" borderId="12" xfId="0" applyNumberFormat="1" applyFont="1" applyFill="1" applyBorder="1" applyAlignment="1">
      <alignment horizontal="right" vertical="center"/>
    </xf>
    <xf numFmtId="0" fontId="5" fillId="2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 wrapText="1"/>
    </xf>
    <xf numFmtId="0" fontId="0" fillId="0" borderId="9" xfId="0" applyBorder="1"/>
    <xf numFmtId="0" fontId="49" fillId="0" borderId="9" xfId="0" applyFont="1" applyBorder="1"/>
    <xf numFmtId="0" fontId="5" fillId="2" borderId="9" xfId="0" applyFont="1" applyFill="1" applyBorder="1" applyAlignment="1">
      <alignment horizontal="left" vertical="center"/>
    </xf>
    <xf numFmtId="0" fontId="8" fillId="2" borderId="9" xfId="0" applyFont="1" applyFill="1" applyBorder="1"/>
    <xf numFmtId="0" fontId="9" fillId="6" borderId="9" xfId="0" applyFont="1" applyFill="1" applyBorder="1" applyAlignment="1">
      <alignment horizontal="left" vertical="center" wrapText="1"/>
    </xf>
    <xf numFmtId="0" fontId="10" fillId="6" borderId="9" xfId="0" applyFont="1" applyFill="1" applyBorder="1" applyAlignment="1">
      <alignment horizontal="center" vertical="center" wrapText="1"/>
    </xf>
    <xf numFmtId="3" fontId="11" fillId="6" borderId="9" xfId="0" applyNumberFormat="1" applyFont="1" applyFill="1" applyBorder="1" applyAlignment="1">
      <alignment horizontal="right" vertical="center"/>
    </xf>
    <xf numFmtId="3" fontId="12" fillId="8" borderId="9" xfId="0" applyNumberFormat="1" applyFont="1" applyFill="1" applyBorder="1" applyAlignment="1">
      <alignment horizontal="right" vertical="center"/>
    </xf>
    <xf numFmtId="0" fontId="9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3" fontId="6" fillId="3" borderId="9" xfId="0" applyNumberFormat="1" applyFont="1" applyFill="1" applyBorder="1" applyAlignment="1">
      <alignment horizontal="right" vertical="center"/>
    </xf>
    <xf numFmtId="9" fontId="10" fillId="6" borderId="9" xfId="0" applyNumberFormat="1" applyFont="1" applyFill="1" applyBorder="1" applyAlignment="1">
      <alignment horizontal="center" vertical="center" wrapText="1"/>
    </xf>
    <xf numFmtId="2" fontId="6" fillId="3" borderId="9" xfId="0" applyNumberFormat="1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" fontId="6" fillId="3" borderId="9" xfId="0" applyNumberFormat="1" applyFont="1" applyFill="1" applyBorder="1" applyAlignment="1">
      <alignment horizontal="right" vertical="center"/>
    </xf>
    <xf numFmtId="164" fontId="6" fillId="3" borderId="9" xfId="0" applyNumberFormat="1" applyFont="1" applyFill="1" applyBorder="1" applyAlignment="1">
      <alignment horizontal="righ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3" fontId="12" fillId="8" borderId="2" xfId="0" applyNumberFormat="1" applyFont="1" applyFill="1" applyBorder="1" applyAlignment="1">
      <alignment horizontal="right" vertical="center"/>
    </xf>
    <xf numFmtId="164" fontId="12" fillId="8" borderId="2" xfId="1" applyNumberFormat="1" applyFont="1" applyFill="1" applyBorder="1" applyAlignment="1">
      <alignment horizontal="right" vertical="center"/>
    </xf>
    <xf numFmtId="0" fontId="8" fillId="0" borderId="13" xfId="0" applyFont="1" applyBorder="1"/>
    <xf numFmtId="164" fontId="12" fillId="8" borderId="9" xfId="1" applyNumberFormat="1" applyFont="1" applyFill="1" applyBorder="1" applyAlignment="1">
      <alignment horizontal="right" vertical="center"/>
    </xf>
    <xf numFmtId="164" fontId="12" fillId="8" borderId="9" xfId="0" applyNumberFormat="1" applyFont="1" applyFill="1" applyBorder="1" applyAlignment="1">
      <alignment horizontal="right" vertical="center"/>
    </xf>
    <xf numFmtId="0" fontId="0" fillId="0" borderId="9" xfId="0" applyBorder="1"/>
    <xf numFmtId="0" fontId="5" fillId="10" borderId="11" xfId="0" applyFont="1" applyFill="1" applyBorder="1" applyAlignment="1">
      <alignment horizontal="left" vertical="center"/>
    </xf>
    <xf numFmtId="0" fontId="8" fillId="0" borderId="10" xfId="0" applyFont="1" applyBorder="1"/>
    <xf numFmtId="2" fontId="11" fillId="6" borderId="9" xfId="0" applyNumberFormat="1" applyFont="1" applyFill="1" applyBorder="1" applyAlignment="1">
      <alignment horizontal="right" vertical="center"/>
    </xf>
    <xf numFmtId="165" fontId="11" fillId="6" borderId="9" xfId="0" applyNumberFormat="1" applyFont="1" applyFill="1" applyBorder="1" applyAlignment="1">
      <alignment horizontal="right" vertical="center"/>
    </xf>
    <xf numFmtId="165" fontId="6" fillId="3" borderId="9" xfId="0" applyNumberFormat="1" applyFont="1" applyFill="1" applyBorder="1" applyAlignment="1">
      <alignment horizontal="right" vertical="center"/>
    </xf>
    <xf numFmtId="0" fontId="0" fillId="0" borderId="1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FDE7"/>
      <rgbColor rgb="FFF5F5F5"/>
      <rgbColor rgb="FF0000CC"/>
      <rgbColor rgb="FFFFF0CC"/>
      <rgbColor rgb="FFFFF3E0"/>
      <rgbColor rgb="FFE8EEF4"/>
      <rgbColor rgb="FF1E5631"/>
      <rgbColor rgb="FF006400"/>
      <rgbColor rgb="FF1A237E"/>
      <rgbColor rgb="FF2E5E1F"/>
      <rgbColor rgb="FF6A1B9A"/>
      <rgbColor rgb="FF1D6A7C"/>
      <rgbColor rgb="FFBDBDBD"/>
      <rgbColor rgb="FF888888"/>
      <rgbColor rgb="FFDEE0E3"/>
      <rgbColor rgb="FF595959"/>
      <rgbColor rgb="FFFFF8DC"/>
      <rgbColor rgb="FFE8F5E9"/>
      <rgbColor rgb="FF4C1A6E"/>
      <rgbColor rgb="FFE8EAF6"/>
      <rgbColor rgb="FF1565C0"/>
      <rgbColor rgb="FFCCCCCC"/>
      <rgbColor rgb="FF37474F"/>
      <rgbColor rgb="FFFFF8E1"/>
      <rgbColor rgb="FFFFEEDD"/>
      <rgbColor rgb="FFF2F2F2"/>
      <rgbColor rgb="FF7B1FA2"/>
      <rgbColor rgb="FF800000"/>
      <rgbColor rgb="FF2E75B6"/>
      <rgbColor rgb="FF0000FF"/>
      <rgbColor rgb="FFF4ECFF"/>
      <rgbColor rgb="FFD0E8EE"/>
      <rgbColor rgb="FFD9EAD3"/>
      <rgbColor rgb="FFFFF2CC"/>
      <rgbColor rgb="FFD6E4F0"/>
      <rgbColor rgb="FFEAD1DC"/>
      <rgbColor rgb="FFD9D9D9"/>
      <rgbColor rgb="FFFFE0B2"/>
      <rgbColor rgb="FF1976D2"/>
      <rgbColor rgb="FFDEEAF1"/>
      <rgbColor rgb="FF90EE90"/>
      <rgbColor rgb="FFFCE4D6"/>
      <rgbColor rgb="FFE2EFDA"/>
      <rgbColor rgb="FFDE5E00"/>
      <rgbColor rgb="FF666666"/>
      <rgbColor rgb="FFE0E0E0"/>
      <rgbColor rgb="FF1F3864"/>
      <rgbColor rgb="FF2E7D32"/>
      <rgbColor rgb="FF1A1A1A"/>
      <rgbColor rgb="FF212121"/>
      <rgbColor rgb="FF7B3200"/>
      <rgbColor rgb="FF555555"/>
      <rgbColor rgb="FF2E4B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zoomScale="160" zoomScaleNormal="160" workbookViewId="0">
      <pane ySplit="4" topLeftCell="A56" activePane="bottomLeft" state="frozen"/>
      <selection pane="bottomLeft" activeCell="E50" sqref="E50"/>
    </sheetView>
  </sheetViews>
  <sheetFormatPr baseColWidth="10" defaultColWidth="9" defaultRowHeight="14" x14ac:dyDescent="0.2"/>
  <cols>
    <col min="1" max="2" width="9" customWidth="1"/>
    <col min="3" max="3" width="28" customWidth="1"/>
    <col min="4" max="4" width="40" customWidth="1"/>
    <col min="5" max="5" width="52" customWidth="1"/>
    <col min="6" max="6" width="22" customWidth="1"/>
    <col min="7" max="7" width="36" customWidth="1"/>
    <col min="8" max="8" width="28" customWidth="1"/>
  </cols>
  <sheetData>
    <row r="1" spans="1:8" ht="28" customHeight="1" x14ac:dyDescent="0.2">
      <c r="A1" s="148" t="s">
        <v>98</v>
      </c>
      <c r="B1" s="149"/>
      <c r="C1" s="149"/>
      <c r="D1" s="149"/>
      <c r="E1" s="149"/>
      <c r="F1" s="149"/>
      <c r="G1" s="149"/>
      <c r="H1" s="149"/>
    </row>
    <row r="2" spans="1:8" ht="22" customHeight="1" x14ac:dyDescent="0.2">
      <c r="A2" s="152" t="s">
        <v>99</v>
      </c>
      <c r="B2" s="149"/>
      <c r="C2" s="149"/>
      <c r="D2" s="149"/>
      <c r="E2" s="149"/>
      <c r="F2" s="149"/>
      <c r="G2" s="149"/>
      <c r="H2" s="149"/>
    </row>
    <row r="3" spans="1:8" ht="18" customHeight="1" x14ac:dyDescent="0.2">
      <c r="A3" s="150" t="s">
        <v>100</v>
      </c>
      <c r="B3" s="149"/>
      <c r="C3" s="149"/>
      <c r="D3" s="149"/>
      <c r="E3" s="149"/>
      <c r="F3" s="149"/>
      <c r="G3" s="149"/>
      <c r="H3" s="149"/>
    </row>
    <row r="4" spans="1:8" ht="42" customHeight="1" x14ac:dyDescent="0.2">
      <c r="A4" s="122" t="s">
        <v>101</v>
      </c>
      <c r="B4" s="122" t="s">
        <v>102</v>
      </c>
      <c r="C4" s="122" t="s">
        <v>103</v>
      </c>
      <c r="D4" s="122" t="s">
        <v>104</v>
      </c>
      <c r="E4" s="122" t="s">
        <v>105</v>
      </c>
      <c r="F4" s="122" t="s">
        <v>106</v>
      </c>
      <c r="G4" s="122" t="s">
        <v>107</v>
      </c>
      <c r="H4" s="122" t="s">
        <v>108</v>
      </c>
    </row>
    <row r="5" spans="1:8" ht="20" customHeight="1" x14ac:dyDescent="0.2">
      <c r="A5" s="151" t="s">
        <v>109</v>
      </c>
      <c r="B5" s="149"/>
      <c r="C5" s="149"/>
      <c r="D5" s="149"/>
      <c r="E5" s="149"/>
      <c r="F5" s="149"/>
      <c r="G5" s="149"/>
      <c r="H5" s="149"/>
    </row>
    <row r="6" spans="1:8" ht="68" customHeight="1" x14ac:dyDescent="0.2">
      <c r="A6" s="123" t="s">
        <v>110</v>
      </c>
      <c r="B6" s="124" t="s">
        <v>111</v>
      </c>
      <c r="C6" s="125" t="s">
        <v>31</v>
      </c>
      <c r="D6" s="125" t="s">
        <v>112</v>
      </c>
      <c r="E6" s="125" t="s">
        <v>113</v>
      </c>
      <c r="F6" s="126" t="s">
        <v>114</v>
      </c>
      <c r="G6" s="125" t="s">
        <v>115</v>
      </c>
      <c r="H6" s="125" t="s">
        <v>116</v>
      </c>
    </row>
    <row r="7" spans="1:8" ht="68" customHeight="1" x14ac:dyDescent="0.2">
      <c r="A7" s="127" t="s">
        <v>117</v>
      </c>
      <c r="B7" s="128" t="s">
        <v>111</v>
      </c>
      <c r="C7" s="129" t="s">
        <v>33</v>
      </c>
      <c r="D7" s="129" t="s">
        <v>118</v>
      </c>
      <c r="E7" s="129" t="s">
        <v>119</v>
      </c>
      <c r="F7" s="126" t="s">
        <v>120</v>
      </c>
      <c r="G7" s="129" t="s">
        <v>121</v>
      </c>
      <c r="H7" s="129" t="s">
        <v>122</v>
      </c>
    </row>
    <row r="8" spans="1:8" ht="68" customHeight="1" x14ac:dyDescent="0.2">
      <c r="A8" s="123" t="s">
        <v>123</v>
      </c>
      <c r="B8" s="124" t="s">
        <v>111</v>
      </c>
      <c r="C8" s="125" t="s">
        <v>35</v>
      </c>
      <c r="D8" s="125" t="s">
        <v>124</v>
      </c>
      <c r="E8" s="125" t="s">
        <v>125</v>
      </c>
      <c r="F8" s="126" t="s">
        <v>126</v>
      </c>
      <c r="G8" s="125" t="s">
        <v>127</v>
      </c>
      <c r="H8" s="125" t="s">
        <v>128</v>
      </c>
    </row>
    <row r="9" spans="1:8" ht="68" customHeight="1" x14ac:dyDescent="0.2">
      <c r="A9" s="127" t="s">
        <v>129</v>
      </c>
      <c r="B9" s="128" t="s">
        <v>111</v>
      </c>
      <c r="C9" s="129" t="s">
        <v>37</v>
      </c>
      <c r="D9" s="129" t="s">
        <v>130</v>
      </c>
      <c r="E9" s="129" t="s">
        <v>131</v>
      </c>
      <c r="F9" s="130" t="s">
        <v>132</v>
      </c>
      <c r="G9" s="129" t="s">
        <v>133</v>
      </c>
      <c r="H9" s="129" t="s">
        <v>134</v>
      </c>
    </row>
    <row r="10" spans="1:8" ht="68" customHeight="1" x14ac:dyDescent="0.2">
      <c r="A10" s="123" t="s">
        <v>135</v>
      </c>
      <c r="B10" s="124" t="s">
        <v>111</v>
      </c>
      <c r="C10" s="125" t="s">
        <v>39</v>
      </c>
      <c r="D10" s="125" t="s">
        <v>136</v>
      </c>
      <c r="E10" s="125" t="s">
        <v>137</v>
      </c>
      <c r="F10" s="126" t="s">
        <v>138</v>
      </c>
      <c r="G10" s="125" t="s">
        <v>139</v>
      </c>
      <c r="H10" s="125"/>
    </row>
    <row r="11" spans="1:8" ht="20" customHeight="1" x14ac:dyDescent="0.2">
      <c r="A11" s="151" t="s">
        <v>140</v>
      </c>
      <c r="B11" s="149"/>
      <c r="C11" s="149"/>
      <c r="D11" s="149"/>
      <c r="E11" s="149"/>
      <c r="F11" s="149"/>
      <c r="G11" s="149"/>
      <c r="H11" s="149"/>
    </row>
    <row r="12" spans="1:8" ht="68" customHeight="1" x14ac:dyDescent="0.2">
      <c r="A12" s="123" t="s">
        <v>141</v>
      </c>
      <c r="B12" s="124" t="s">
        <v>111</v>
      </c>
      <c r="C12" s="125" t="s">
        <v>44</v>
      </c>
      <c r="D12" s="125" t="s">
        <v>142</v>
      </c>
      <c r="E12" s="125" t="s">
        <v>143</v>
      </c>
      <c r="F12" s="131" t="s">
        <v>144</v>
      </c>
      <c r="G12" s="125" t="s">
        <v>145</v>
      </c>
      <c r="H12" s="125" t="s">
        <v>146</v>
      </c>
    </row>
    <row r="13" spans="1:8" ht="68" customHeight="1" x14ac:dyDescent="0.2">
      <c r="A13" s="127" t="s">
        <v>147</v>
      </c>
      <c r="B13" s="128" t="s">
        <v>111</v>
      </c>
      <c r="C13" s="129" t="s">
        <v>148</v>
      </c>
      <c r="D13" s="129" t="s">
        <v>149</v>
      </c>
      <c r="E13" s="129" t="s">
        <v>150</v>
      </c>
      <c r="F13" s="131" t="s">
        <v>151</v>
      </c>
      <c r="G13" s="129" t="s">
        <v>152</v>
      </c>
      <c r="H13" s="129"/>
    </row>
    <row r="14" spans="1:8" ht="68" customHeight="1" x14ac:dyDescent="0.2">
      <c r="A14" s="123" t="s">
        <v>153</v>
      </c>
      <c r="B14" s="124" t="s">
        <v>111</v>
      </c>
      <c r="C14" s="125" t="s">
        <v>154</v>
      </c>
      <c r="D14" s="125" t="s">
        <v>155</v>
      </c>
      <c r="E14" s="125" t="s">
        <v>156</v>
      </c>
      <c r="F14" s="131" t="s">
        <v>157</v>
      </c>
      <c r="G14" s="125" t="s">
        <v>158</v>
      </c>
      <c r="H14" s="125" t="s">
        <v>159</v>
      </c>
    </row>
    <row r="15" spans="1:8" ht="68" customHeight="1" x14ac:dyDescent="0.2">
      <c r="A15" s="127" t="s">
        <v>160</v>
      </c>
      <c r="B15" s="128" t="s">
        <v>111</v>
      </c>
      <c r="C15" s="129" t="s">
        <v>161</v>
      </c>
      <c r="D15" s="129" t="s">
        <v>162</v>
      </c>
      <c r="E15" s="129" t="s">
        <v>163</v>
      </c>
      <c r="F15" s="131" t="s">
        <v>151</v>
      </c>
      <c r="G15" s="129" t="s">
        <v>164</v>
      </c>
      <c r="H15" s="129" t="s">
        <v>165</v>
      </c>
    </row>
    <row r="16" spans="1:8" ht="68" customHeight="1" x14ac:dyDescent="0.2">
      <c r="A16" s="123" t="s">
        <v>166</v>
      </c>
      <c r="B16" s="124" t="s">
        <v>111</v>
      </c>
      <c r="C16" s="125" t="s">
        <v>167</v>
      </c>
      <c r="D16" s="125" t="s">
        <v>168</v>
      </c>
      <c r="E16" s="125" t="s">
        <v>169</v>
      </c>
      <c r="F16" s="131" t="s">
        <v>151</v>
      </c>
      <c r="G16" s="125" t="s">
        <v>170</v>
      </c>
      <c r="H16" s="125" t="s">
        <v>171</v>
      </c>
    </row>
    <row r="17" spans="1:8" ht="68" customHeight="1" x14ac:dyDescent="0.2">
      <c r="A17" s="127" t="s">
        <v>172</v>
      </c>
      <c r="B17" s="128" t="s">
        <v>111</v>
      </c>
      <c r="C17" s="129" t="s">
        <v>173</v>
      </c>
      <c r="D17" s="129" t="s">
        <v>174</v>
      </c>
      <c r="E17" s="129" t="s">
        <v>175</v>
      </c>
      <c r="F17" s="131" t="s">
        <v>151</v>
      </c>
      <c r="G17" s="129" t="s">
        <v>176</v>
      </c>
      <c r="H17" s="129" t="s">
        <v>177</v>
      </c>
    </row>
    <row r="18" spans="1:8" ht="68" customHeight="1" x14ac:dyDescent="0.2">
      <c r="A18" s="123" t="s">
        <v>178</v>
      </c>
      <c r="B18" s="124" t="s">
        <v>111</v>
      </c>
      <c r="C18" s="125" t="s">
        <v>52</v>
      </c>
      <c r="D18" s="125" t="s">
        <v>179</v>
      </c>
      <c r="E18" s="125" t="s">
        <v>180</v>
      </c>
      <c r="F18" s="131" t="s">
        <v>181</v>
      </c>
      <c r="G18" s="125" t="s">
        <v>182</v>
      </c>
      <c r="H18" s="125" t="s">
        <v>183</v>
      </c>
    </row>
    <row r="19" spans="1:8" ht="68" customHeight="1" x14ac:dyDescent="0.2">
      <c r="A19" s="127" t="s">
        <v>184</v>
      </c>
      <c r="B19" s="128" t="s">
        <v>111</v>
      </c>
      <c r="C19" s="129" t="s">
        <v>185</v>
      </c>
      <c r="D19" s="129" t="s">
        <v>186</v>
      </c>
      <c r="E19" s="129" t="s">
        <v>187</v>
      </c>
      <c r="F19" s="131" t="s">
        <v>151</v>
      </c>
      <c r="G19" s="129" t="s">
        <v>188</v>
      </c>
      <c r="H19" s="129" t="s">
        <v>189</v>
      </c>
    </row>
    <row r="20" spans="1:8" ht="68" customHeight="1" x14ac:dyDescent="0.2">
      <c r="A20" s="123" t="s">
        <v>190</v>
      </c>
      <c r="B20" s="124" t="s">
        <v>111</v>
      </c>
      <c r="C20" s="125" t="s">
        <v>191</v>
      </c>
      <c r="D20" s="125" t="s">
        <v>192</v>
      </c>
      <c r="E20" s="125" t="s">
        <v>193</v>
      </c>
      <c r="F20" s="131" t="s">
        <v>151</v>
      </c>
      <c r="G20" s="125" t="s">
        <v>194</v>
      </c>
      <c r="H20" s="125" t="s">
        <v>195</v>
      </c>
    </row>
    <row r="21" spans="1:8" ht="68" customHeight="1" x14ac:dyDescent="0.2">
      <c r="A21" s="127" t="s">
        <v>196</v>
      </c>
      <c r="B21" s="128" t="s">
        <v>111</v>
      </c>
      <c r="C21" s="129" t="s">
        <v>197</v>
      </c>
      <c r="D21" s="129" t="s">
        <v>198</v>
      </c>
      <c r="E21" s="129" t="s">
        <v>199</v>
      </c>
      <c r="F21" s="131" t="s">
        <v>151</v>
      </c>
      <c r="G21" s="129" t="s">
        <v>200</v>
      </c>
      <c r="H21" s="129" t="s">
        <v>201</v>
      </c>
    </row>
    <row r="22" spans="1:8" ht="68" customHeight="1" x14ac:dyDescent="0.2">
      <c r="A22" s="123" t="s">
        <v>202</v>
      </c>
      <c r="B22" s="124" t="s">
        <v>111</v>
      </c>
      <c r="C22" s="125" t="s">
        <v>58</v>
      </c>
      <c r="D22" s="125" t="s">
        <v>203</v>
      </c>
      <c r="E22" s="125" t="s">
        <v>204</v>
      </c>
      <c r="F22" s="131" t="s">
        <v>151</v>
      </c>
      <c r="G22" s="125" t="s">
        <v>205</v>
      </c>
      <c r="H22" s="125" t="s">
        <v>206</v>
      </c>
    </row>
    <row r="23" spans="1:8" ht="68" customHeight="1" x14ac:dyDescent="0.2">
      <c r="A23" s="127" t="s">
        <v>207</v>
      </c>
      <c r="B23" s="128" t="s">
        <v>111</v>
      </c>
      <c r="C23" s="129" t="s">
        <v>208</v>
      </c>
      <c r="D23" s="129" t="s">
        <v>209</v>
      </c>
      <c r="E23" s="129" t="s">
        <v>210</v>
      </c>
      <c r="F23" s="131" t="s">
        <v>211</v>
      </c>
      <c r="G23" s="129" t="s">
        <v>212</v>
      </c>
      <c r="H23" s="129" t="s">
        <v>213</v>
      </c>
    </row>
    <row r="24" spans="1:8" ht="20" customHeight="1" x14ac:dyDescent="0.2">
      <c r="A24" s="151" t="s">
        <v>214</v>
      </c>
      <c r="B24" s="149"/>
      <c r="C24" s="149"/>
      <c r="D24" s="149"/>
      <c r="E24" s="149"/>
      <c r="F24" s="149"/>
      <c r="G24" s="149"/>
      <c r="H24" s="149"/>
    </row>
    <row r="25" spans="1:8" ht="68" customHeight="1" x14ac:dyDescent="0.2">
      <c r="A25" s="123" t="s">
        <v>215</v>
      </c>
      <c r="B25" s="124" t="s">
        <v>216</v>
      </c>
      <c r="C25" s="125" t="s">
        <v>217</v>
      </c>
      <c r="D25" s="125" t="s">
        <v>218</v>
      </c>
      <c r="E25" s="125" t="s">
        <v>219</v>
      </c>
      <c r="F25" s="126" t="s">
        <v>220</v>
      </c>
      <c r="G25" s="125" t="s">
        <v>221</v>
      </c>
      <c r="H25" s="125" t="s">
        <v>222</v>
      </c>
    </row>
    <row r="26" spans="1:8" ht="68" customHeight="1" x14ac:dyDescent="0.2">
      <c r="A26" s="127" t="s">
        <v>223</v>
      </c>
      <c r="B26" s="128" t="s">
        <v>216</v>
      </c>
      <c r="C26" s="129" t="s">
        <v>224</v>
      </c>
      <c r="D26" s="129" t="s">
        <v>225</v>
      </c>
      <c r="E26" s="129" t="s">
        <v>226</v>
      </c>
      <c r="F26" s="126" t="s">
        <v>120</v>
      </c>
      <c r="G26" s="129" t="s">
        <v>227</v>
      </c>
      <c r="H26" s="129" t="s">
        <v>228</v>
      </c>
    </row>
    <row r="27" spans="1:8" ht="68" customHeight="1" x14ac:dyDescent="0.2">
      <c r="A27" s="123" t="s">
        <v>229</v>
      </c>
      <c r="B27" s="124" t="s">
        <v>216</v>
      </c>
      <c r="C27" s="125" t="s">
        <v>230</v>
      </c>
      <c r="D27" s="125" t="s">
        <v>231</v>
      </c>
      <c r="E27" s="125" t="s">
        <v>232</v>
      </c>
      <c r="F27" s="126" t="s">
        <v>120</v>
      </c>
      <c r="G27" s="125" t="s">
        <v>233</v>
      </c>
      <c r="H27" s="125" t="s">
        <v>234</v>
      </c>
    </row>
    <row r="28" spans="1:8" ht="68" customHeight="1" x14ac:dyDescent="0.2">
      <c r="A28" s="127" t="s">
        <v>235</v>
      </c>
      <c r="B28" s="128" t="s">
        <v>216</v>
      </c>
      <c r="C28" s="129" t="s">
        <v>236</v>
      </c>
      <c r="D28" s="129" t="s">
        <v>237</v>
      </c>
      <c r="E28" s="129" t="s">
        <v>238</v>
      </c>
      <c r="F28" s="126" t="s">
        <v>120</v>
      </c>
      <c r="G28" s="129" t="s">
        <v>239</v>
      </c>
      <c r="H28" s="129" t="s">
        <v>240</v>
      </c>
    </row>
    <row r="29" spans="1:8" ht="68" customHeight="1" x14ac:dyDescent="0.2">
      <c r="A29" s="123" t="s">
        <v>241</v>
      </c>
      <c r="B29" s="124" t="s">
        <v>216</v>
      </c>
      <c r="C29" s="125" t="s">
        <v>68</v>
      </c>
      <c r="D29" s="125" t="s">
        <v>242</v>
      </c>
      <c r="E29" s="125" t="s">
        <v>243</v>
      </c>
      <c r="F29" s="126" t="s">
        <v>120</v>
      </c>
      <c r="G29" s="125" t="s">
        <v>244</v>
      </c>
      <c r="H29" s="125" t="s">
        <v>245</v>
      </c>
    </row>
    <row r="30" spans="1:8" ht="68" customHeight="1" x14ac:dyDescent="0.2">
      <c r="A30" s="127" t="s">
        <v>246</v>
      </c>
      <c r="B30" s="128" t="s">
        <v>216</v>
      </c>
      <c r="C30" s="129" t="s">
        <v>69</v>
      </c>
      <c r="D30" s="129" t="s">
        <v>247</v>
      </c>
      <c r="E30" s="129" t="s">
        <v>248</v>
      </c>
      <c r="F30" s="126" t="s">
        <v>249</v>
      </c>
      <c r="G30" s="129" t="s">
        <v>250</v>
      </c>
      <c r="H30" s="129" t="s">
        <v>251</v>
      </c>
    </row>
    <row r="31" spans="1:8" ht="20" customHeight="1" x14ac:dyDescent="0.2">
      <c r="A31" s="151" t="s">
        <v>252</v>
      </c>
      <c r="B31" s="149"/>
      <c r="C31" s="149"/>
      <c r="D31" s="149"/>
      <c r="E31" s="149"/>
      <c r="F31" s="149"/>
      <c r="G31" s="149"/>
      <c r="H31" s="149"/>
    </row>
    <row r="32" spans="1:8" ht="68" customHeight="1" x14ac:dyDescent="0.2">
      <c r="A32" s="123" t="s">
        <v>253</v>
      </c>
      <c r="B32" s="124" t="s">
        <v>216</v>
      </c>
      <c r="C32" s="125" t="s">
        <v>71</v>
      </c>
      <c r="D32" s="125" t="s">
        <v>254</v>
      </c>
      <c r="E32" s="125" t="s">
        <v>255</v>
      </c>
      <c r="F32" s="131" t="s">
        <v>151</v>
      </c>
      <c r="G32" s="125" t="s">
        <v>256</v>
      </c>
      <c r="H32" s="125" t="s">
        <v>257</v>
      </c>
    </row>
    <row r="33" spans="1:8" ht="68" customHeight="1" x14ac:dyDescent="0.2">
      <c r="A33" s="127" t="s">
        <v>258</v>
      </c>
      <c r="B33" s="128" t="s">
        <v>216</v>
      </c>
      <c r="C33" s="129" t="s">
        <v>259</v>
      </c>
      <c r="D33" s="129" t="s">
        <v>260</v>
      </c>
      <c r="E33" s="129" t="s">
        <v>261</v>
      </c>
      <c r="F33" s="131" t="s">
        <v>151</v>
      </c>
      <c r="G33" s="129" t="s">
        <v>262</v>
      </c>
      <c r="H33" s="129" t="s">
        <v>263</v>
      </c>
    </row>
    <row r="34" spans="1:8" ht="68" customHeight="1" x14ac:dyDescent="0.2">
      <c r="A34" s="123" t="s">
        <v>264</v>
      </c>
      <c r="B34" s="124" t="s">
        <v>216</v>
      </c>
      <c r="C34" s="125" t="s">
        <v>265</v>
      </c>
      <c r="D34" s="125" t="s">
        <v>266</v>
      </c>
      <c r="E34" s="125" t="s">
        <v>267</v>
      </c>
      <c r="F34" s="131" t="s">
        <v>157</v>
      </c>
      <c r="G34" s="125" t="s">
        <v>268</v>
      </c>
      <c r="H34" s="125" t="s">
        <v>269</v>
      </c>
    </row>
    <row r="35" spans="1:8" ht="68" customHeight="1" x14ac:dyDescent="0.2">
      <c r="A35" s="127" t="s">
        <v>270</v>
      </c>
      <c r="B35" s="128" t="s">
        <v>216</v>
      </c>
      <c r="C35" s="129" t="s">
        <v>271</v>
      </c>
      <c r="D35" s="129" t="s">
        <v>272</v>
      </c>
      <c r="E35" s="129" t="s">
        <v>273</v>
      </c>
      <c r="F35" s="131" t="s">
        <v>151</v>
      </c>
      <c r="G35" s="129" t="s">
        <v>274</v>
      </c>
      <c r="H35" s="129" t="s">
        <v>275</v>
      </c>
    </row>
    <row r="36" spans="1:8" ht="68" customHeight="1" x14ac:dyDescent="0.2">
      <c r="A36" s="123" t="s">
        <v>276</v>
      </c>
      <c r="B36" s="124" t="s">
        <v>216</v>
      </c>
      <c r="C36" s="125" t="s">
        <v>277</v>
      </c>
      <c r="D36" s="125" t="s">
        <v>278</v>
      </c>
      <c r="E36" s="125" t="s">
        <v>279</v>
      </c>
      <c r="F36" s="131" t="s">
        <v>151</v>
      </c>
      <c r="G36" s="125" t="s">
        <v>280</v>
      </c>
      <c r="H36" s="125" t="s">
        <v>281</v>
      </c>
    </row>
    <row r="37" spans="1:8" ht="68" customHeight="1" x14ac:dyDescent="0.2">
      <c r="A37" s="127" t="s">
        <v>282</v>
      </c>
      <c r="B37" s="128" t="s">
        <v>216</v>
      </c>
      <c r="C37" s="129" t="s">
        <v>283</v>
      </c>
      <c r="D37" s="129" t="s">
        <v>284</v>
      </c>
      <c r="E37" s="129" t="s">
        <v>285</v>
      </c>
      <c r="F37" s="131" t="s">
        <v>151</v>
      </c>
      <c r="G37" s="129" t="s">
        <v>286</v>
      </c>
      <c r="H37" s="129" t="s">
        <v>287</v>
      </c>
    </row>
    <row r="38" spans="1:8" ht="68" customHeight="1" x14ac:dyDescent="0.2">
      <c r="A38" s="123" t="s">
        <v>288</v>
      </c>
      <c r="B38" s="124" t="s">
        <v>216</v>
      </c>
      <c r="C38" s="125" t="s">
        <v>75</v>
      </c>
      <c r="D38" s="125" t="s">
        <v>289</v>
      </c>
      <c r="E38" s="125" t="s">
        <v>290</v>
      </c>
      <c r="F38" s="131" t="s">
        <v>291</v>
      </c>
      <c r="G38" s="125" t="s">
        <v>292</v>
      </c>
      <c r="H38" s="125" t="s">
        <v>293</v>
      </c>
    </row>
    <row r="39" spans="1:8" ht="68" customHeight="1" x14ac:dyDescent="0.2">
      <c r="A39" s="127" t="s">
        <v>294</v>
      </c>
      <c r="B39" s="128" t="s">
        <v>216</v>
      </c>
      <c r="C39" s="129" t="s">
        <v>295</v>
      </c>
      <c r="D39" s="129" t="s">
        <v>296</v>
      </c>
      <c r="E39" s="129" t="s">
        <v>297</v>
      </c>
      <c r="F39" s="131" t="s">
        <v>151</v>
      </c>
      <c r="G39" s="129" t="s">
        <v>298</v>
      </c>
      <c r="H39" s="129" t="s">
        <v>299</v>
      </c>
    </row>
    <row r="40" spans="1:8" ht="68" customHeight="1" x14ac:dyDescent="0.2">
      <c r="A40" s="123" t="s">
        <v>300</v>
      </c>
      <c r="B40" s="124" t="s">
        <v>216</v>
      </c>
      <c r="C40" s="125" t="s">
        <v>301</v>
      </c>
      <c r="D40" s="125" t="s">
        <v>302</v>
      </c>
      <c r="E40" s="125" t="s">
        <v>303</v>
      </c>
      <c r="F40" s="131" t="s">
        <v>151</v>
      </c>
      <c r="G40" s="125" t="s">
        <v>304</v>
      </c>
      <c r="H40" s="125" t="s">
        <v>305</v>
      </c>
    </row>
    <row r="41" spans="1:8" ht="68" customHeight="1" x14ac:dyDescent="0.2">
      <c r="A41" s="127" t="s">
        <v>306</v>
      </c>
      <c r="B41" s="128" t="s">
        <v>216</v>
      </c>
      <c r="C41" s="129" t="s">
        <v>307</v>
      </c>
      <c r="D41" s="129" t="s">
        <v>308</v>
      </c>
      <c r="E41" s="129" t="s">
        <v>309</v>
      </c>
      <c r="F41" s="131" t="s">
        <v>151</v>
      </c>
      <c r="G41" s="129" t="s">
        <v>310</v>
      </c>
      <c r="H41" s="129" t="s">
        <v>311</v>
      </c>
    </row>
    <row r="42" spans="1:8" ht="68" customHeight="1" x14ac:dyDescent="0.2">
      <c r="A42" s="123" t="s">
        <v>312</v>
      </c>
      <c r="B42" s="124" t="s">
        <v>216</v>
      </c>
      <c r="C42" s="125" t="s">
        <v>76</v>
      </c>
      <c r="D42" s="125" t="s">
        <v>313</v>
      </c>
      <c r="E42" s="125" t="s">
        <v>314</v>
      </c>
      <c r="F42" s="131" t="s">
        <v>151</v>
      </c>
      <c r="G42" s="125" t="s">
        <v>315</v>
      </c>
      <c r="H42" s="125" t="s">
        <v>316</v>
      </c>
    </row>
    <row r="43" spans="1:8" ht="68" customHeight="1" x14ac:dyDescent="0.2">
      <c r="A43" s="127" t="s">
        <v>317</v>
      </c>
      <c r="B43" s="128" t="s">
        <v>216</v>
      </c>
      <c r="C43" s="129" t="s">
        <v>318</v>
      </c>
      <c r="D43" s="129" t="s">
        <v>319</v>
      </c>
      <c r="E43" s="129" t="s">
        <v>320</v>
      </c>
      <c r="F43" s="131" t="s">
        <v>211</v>
      </c>
      <c r="G43" s="129" t="s">
        <v>321</v>
      </c>
      <c r="H43" s="129" t="s">
        <v>322</v>
      </c>
    </row>
    <row r="44" spans="1:8" ht="20" customHeight="1" x14ac:dyDescent="0.2">
      <c r="A44" s="151" t="s">
        <v>323</v>
      </c>
      <c r="B44" s="149"/>
      <c r="C44" s="149"/>
      <c r="D44" s="149"/>
      <c r="E44" s="149"/>
      <c r="F44" s="149"/>
      <c r="G44" s="149"/>
      <c r="H44" s="149"/>
    </row>
    <row r="45" spans="1:8" ht="68" customHeight="1" x14ac:dyDescent="0.2">
      <c r="A45" s="123" t="s">
        <v>324</v>
      </c>
      <c r="B45" s="124" t="s">
        <v>325</v>
      </c>
      <c r="C45" s="125" t="s">
        <v>326</v>
      </c>
      <c r="D45" s="125" t="s">
        <v>327</v>
      </c>
      <c r="E45" s="125" t="s">
        <v>328</v>
      </c>
      <c r="F45" s="126" t="s">
        <v>329</v>
      </c>
      <c r="G45" s="125" t="s">
        <v>330</v>
      </c>
      <c r="H45" s="125" t="s">
        <v>331</v>
      </c>
    </row>
    <row r="46" spans="1:8" ht="68" customHeight="1" x14ac:dyDescent="0.2">
      <c r="A46" s="127" t="s">
        <v>332</v>
      </c>
      <c r="B46" s="128" t="s">
        <v>325</v>
      </c>
      <c r="C46" s="129" t="s">
        <v>333</v>
      </c>
      <c r="D46" s="129" t="s">
        <v>334</v>
      </c>
      <c r="E46" s="129" t="s">
        <v>335</v>
      </c>
      <c r="F46" s="126" t="s">
        <v>336</v>
      </c>
      <c r="G46" s="129" t="s">
        <v>337</v>
      </c>
      <c r="H46" s="129" t="s">
        <v>338</v>
      </c>
    </row>
    <row r="47" spans="1:8" ht="68" customHeight="1" x14ac:dyDescent="0.2">
      <c r="A47" s="123" t="s">
        <v>339</v>
      </c>
      <c r="B47" s="124" t="s">
        <v>325</v>
      </c>
      <c r="C47" s="125" t="s">
        <v>340</v>
      </c>
      <c r="D47" s="125" t="s">
        <v>341</v>
      </c>
      <c r="E47" s="125" t="s">
        <v>342</v>
      </c>
      <c r="F47" s="126" t="s">
        <v>343</v>
      </c>
      <c r="G47" s="125" t="s">
        <v>344</v>
      </c>
      <c r="H47" s="125" t="s">
        <v>345</v>
      </c>
    </row>
    <row r="48" spans="1:8" ht="68" customHeight="1" x14ac:dyDescent="0.2">
      <c r="A48" s="127" t="s">
        <v>346</v>
      </c>
      <c r="B48" s="128" t="s">
        <v>325</v>
      </c>
      <c r="C48" s="129" t="s">
        <v>347</v>
      </c>
      <c r="D48" s="129" t="s">
        <v>348</v>
      </c>
      <c r="E48" s="129" t="s">
        <v>349</v>
      </c>
      <c r="F48" s="131" t="s">
        <v>151</v>
      </c>
      <c r="G48" s="129" t="s">
        <v>350</v>
      </c>
      <c r="H48" s="129" t="s">
        <v>351</v>
      </c>
    </row>
    <row r="49" spans="1:8" ht="68" customHeight="1" x14ac:dyDescent="0.2">
      <c r="A49" s="123" t="s">
        <v>352</v>
      </c>
      <c r="B49" s="124" t="s">
        <v>325</v>
      </c>
      <c r="C49" s="125" t="s">
        <v>353</v>
      </c>
      <c r="D49" s="125" t="s">
        <v>354</v>
      </c>
      <c r="E49" s="125" t="s">
        <v>355</v>
      </c>
      <c r="F49" s="131" t="s">
        <v>356</v>
      </c>
      <c r="G49" s="125" t="s">
        <v>357</v>
      </c>
      <c r="H49" s="125" t="s">
        <v>358</v>
      </c>
    </row>
    <row r="50" spans="1:8" ht="68" customHeight="1" x14ac:dyDescent="0.2">
      <c r="A50" s="127" t="s">
        <v>359</v>
      </c>
      <c r="B50" s="128" t="s">
        <v>325</v>
      </c>
      <c r="C50" s="129" t="s">
        <v>360</v>
      </c>
      <c r="D50" s="129" t="s">
        <v>361</v>
      </c>
      <c r="E50" s="129" t="s">
        <v>362</v>
      </c>
      <c r="F50" s="131" t="s">
        <v>151</v>
      </c>
      <c r="G50" s="129" t="s">
        <v>363</v>
      </c>
      <c r="H50" s="129" t="s">
        <v>364</v>
      </c>
    </row>
    <row r="51" spans="1:8" ht="20" customHeight="1" x14ac:dyDescent="0.2">
      <c r="A51" s="151" t="s">
        <v>365</v>
      </c>
      <c r="B51" s="149"/>
      <c r="C51" s="149"/>
      <c r="D51" s="149"/>
      <c r="E51" s="149"/>
      <c r="F51" s="149"/>
      <c r="G51" s="149"/>
      <c r="H51" s="149"/>
    </row>
    <row r="52" spans="1:8" ht="68" customHeight="1" x14ac:dyDescent="0.2">
      <c r="A52" s="123" t="s">
        <v>366</v>
      </c>
      <c r="B52" s="124" t="s">
        <v>325</v>
      </c>
      <c r="C52" s="125" t="s">
        <v>367</v>
      </c>
      <c r="D52" s="125" t="s">
        <v>368</v>
      </c>
      <c r="E52" s="125" t="s">
        <v>369</v>
      </c>
      <c r="F52" s="131" t="s">
        <v>370</v>
      </c>
      <c r="G52" s="125" t="s">
        <v>371</v>
      </c>
      <c r="H52" s="125" t="s">
        <v>372</v>
      </c>
    </row>
    <row r="53" spans="1:8" ht="68" customHeight="1" x14ac:dyDescent="0.2">
      <c r="A53" s="127" t="s">
        <v>373</v>
      </c>
      <c r="B53" s="128" t="s">
        <v>111</v>
      </c>
      <c r="C53" s="129" t="s">
        <v>374</v>
      </c>
      <c r="D53" s="129" t="s">
        <v>375</v>
      </c>
      <c r="E53" s="129" t="s">
        <v>376</v>
      </c>
      <c r="F53" s="131" t="s">
        <v>377</v>
      </c>
      <c r="G53" s="129" t="s">
        <v>378</v>
      </c>
      <c r="H53" s="129" t="s">
        <v>379</v>
      </c>
    </row>
    <row r="54" spans="1:8" ht="68" customHeight="1" x14ac:dyDescent="0.2">
      <c r="A54" s="123" t="s">
        <v>380</v>
      </c>
      <c r="B54" s="124" t="s">
        <v>216</v>
      </c>
      <c r="C54" s="125" t="s">
        <v>381</v>
      </c>
      <c r="D54" s="125" t="s">
        <v>382</v>
      </c>
      <c r="E54" s="125" t="s">
        <v>383</v>
      </c>
      <c r="F54" s="131" t="s">
        <v>384</v>
      </c>
      <c r="G54" s="125" t="s">
        <v>385</v>
      </c>
      <c r="H54" s="125" t="s">
        <v>386</v>
      </c>
    </row>
    <row r="55" spans="1:8" ht="68" customHeight="1" x14ac:dyDescent="0.2">
      <c r="A55" s="127" t="s">
        <v>387</v>
      </c>
      <c r="B55" s="128" t="s">
        <v>111</v>
      </c>
      <c r="C55" s="129" t="s">
        <v>388</v>
      </c>
      <c r="D55" s="129" t="s">
        <v>389</v>
      </c>
      <c r="E55" s="129" t="s">
        <v>390</v>
      </c>
      <c r="F55" s="131" t="s">
        <v>211</v>
      </c>
      <c r="G55" s="129" t="s">
        <v>391</v>
      </c>
      <c r="H55" s="129" t="s">
        <v>392</v>
      </c>
    </row>
    <row r="56" spans="1:8" ht="68" customHeight="1" x14ac:dyDescent="0.2">
      <c r="A56" s="123" t="s">
        <v>393</v>
      </c>
      <c r="B56" s="124" t="s">
        <v>216</v>
      </c>
      <c r="C56" s="125" t="s">
        <v>394</v>
      </c>
      <c r="D56" s="125" t="s">
        <v>395</v>
      </c>
      <c r="E56" s="125" t="s">
        <v>396</v>
      </c>
      <c r="F56" s="131" t="s">
        <v>211</v>
      </c>
      <c r="G56" s="125" t="s">
        <v>397</v>
      </c>
      <c r="H56" s="125" t="s">
        <v>398</v>
      </c>
    </row>
    <row r="57" spans="1:8" ht="68" customHeight="1" x14ac:dyDescent="0.2">
      <c r="A57" s="127" t="s">
        <v>399</v>
      </c>
      <c r="B57" s="128" t="s">
        <v>111</v>
      </c>
      <c r="C57" s="129" t="s">
        <v>400</v>
      </c>
      <c r="D57" s="129" t="s">
        <v>401</v>
      </c>
      <c r="E57" s="129"/>
      <c r="F57" s="131" t="s">
        <v>402</v>
      </c>
      <c r="G57" s="129" t="s">
        <v>403</v>
      </c>
      <c r="H57" s="129" t="s">
        <v>404</v>
      </c>
    </row>
    <row r="58" spans="1:8" ht="68" customHeight="1" x14ac:dyDescent="0.2">
      <c r="A58" s="123" t="s">
        <v>405</v>
      </c>
      <c r="B58" s="124" t="s">
        <v>216</v>
      </c>
      <c r="C58" s="125" t="s">
        <v>406</v>
      </c>
      <c r="D58" s="125" t="s">
        <v>407</v>
      </c>
      <c r="E58" s="125"/>
      <c r="F58" s="131" t="s">
        <v>408</v>
      </c>
      <c r="G58" s="125" t="s">
        <v>409</v>
      </c>
      <c r="H58" s="125" t="s">
        <v>410</v>
      </c>
    </row>
  </sheetData>
  <mergeCells count="9">
    <mergeCell ref="A1:H1"/>
    <mergeCell ref="A3:H3"/>
    <mergeCell ref="A24:H24"/>
    <mergeCell ref="A2:H2"/>
    <mergeCell ref="A51:H51"/>
    <mergeCell ref="A11:H11"/>
    <mergeCell ref="A44:H44"/>
    <mergeCell ref="A5:H5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A193"/>
  <sheetViews>
    <sheetView tabSelected="1" zoomScale="140" zoomScaleNormal="140" workbookViewId="0">
      <pane xSplit="2" ySplit="2" topLeftCell="T3" activePane="bottomRight" state="frozen"/>
      <selection pane="topRight" activeCell="C1" sqref="C1"/>
      <selection pane="bottomLeft" activeCell="A3" sqref="A3"/>
      <selection pane="bottomRight" activeCell="Z9" sqref="Z9"/>
    </sheetView>
  </sheetViews>
  <sheetFormatPr baseColWidth="10" defaultColWidth="14" defaultRowHeight="14" x14ac:dyDescent="0.2"/>
  <cols>
    <col min="1" max="1" width="35" customWidth="1"/>
    <col min="2" max="2" width="43" customWidth="1"/>
    <col min="3" max="3" width="10" customWidth="1"/>
    <col min="4" max="8" width="16" customWidth="1"/>
    <col min="9" max="9" width="14" customWidth="1"/>
    <col min="10" max="23" width="16" customWidth="1"/>
    <col min="24" max="27" width="13" customWidth="1"/>
  </cols>
  <sheetData>
    <row r="1" spans="1:27" ht="37.5" customHeight="1" x14ac:dyDescent="0.2">
      <c r="A1" s="147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0"/>
      <c r="Z1" s="140"/>
      <c r="AA1" s="140"/>
    </row>
    <row r="2" spans="1:27" ht="21.75" customHeight="1" x14ac:dyDescent="0.2">
      <c r="A2" s="173" t="s">
        <v>1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40"/>
      <c r="Z2" s="140"/>
      <c r="AA2" s="140"/>
    </row>
    <row r="3" spans="1:27" ht="28.5" customHeight="1" x14ac:dyDescent="0.2">
      <c r="A3" s="179" t="s">
        <v>2</v>
      </c>
      <c r="B3" s="179" t="s">
        <v>3</v>
      </c>
      <c r="C3" s="179" t="s">
        <v>4</v>
      </c>
      <c r="D3" s="180" t="s">
        <v>5</v>
      </c>
      <c r="E3" s="180" t="s">
        <v>6</v>
      </c>
      <c r="F3" s="180" t="s">
        <v>7</v>
      </c>
      <c r="G3" s="180" t="s">
        <v>8</v>
      </c>
      <c r="H3" s="180" t="s">
        <v>9</v>
      </c>
      <c r="I3" s="180" t="s">
        <v>10</v>
      </c>
      <c r="J3" s="180" t="s">
        <v>11</v>
      </c>
      <c r="K3" s="180" t="s">
        <v>12</v>
      </c>
      <c r="L3" s="180" t="s">
        <v>13</v>
      </c>
      <c r="M3" s="180" t="s">
        <v>14</v>
      </c>
      <c r="N3" s="180" t="s">
        <v>15</v>
      </c>
      <c r="O3" s="180" t="s">
        <v>16</v>
      </c>
      <c r="P3" s="180" t="s">
        <v>17</v>
      </c>
      <c r="Q3" s="180" t="s">
        <v>18</v>
      </c>
      <c r="R3" s="180" t="s">
        <v>19</v>
      </c>
      <c r="S3" s="180" t="s">
        <v>20</v>
      </c>
      <c r="T3" s="180" t="s">
        <v>21</v>
      </c>
      <c r="U3" s="181" t="s">
        <v>22</v>
      </c>
      <c r="V3" s="181" t="s">
        <v>23</v>
      </c>
      <c r="W3" s="181" t="s">
        <v>24</v>
      </c>
      <c r="X3" s="181" t="s">
        <v>25</v>
      </c>
      <c r="Y3" s="181" t="s">
        <v>26</v>
      </c>
      <c r="Z3" s="181" t="s">
        <v>27</v>
      </c>
      <c r="AA3" s="181" t="s">
        <v>28</v>
      </c>
    </row>
    <row r="4" spans="1:27" ht="25.5" customHeight="1" x14ac:dyDescent="0.2">
      <c r="A4" s="182" t="s">
        <v>29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4"/>
      <c r="Z4" s="184"/>
      <c r="AA4" s="184"/>
    </row>
    <row r="5" spans="1:27" ht="18.75" customHeight="1" x14ac:dyDescent="0.2">
      <c r="A5" s="185" t="s">
        <v>30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4"/>
      <c r="Z5" s="184"/>
      <c r="AA5" s="184"/>
    </row>
    <row r="6" spans="1:27" ht="21.75" customHeight="1" x14ac:dyDescent="0.2">
      <c r="A6" s="186"/>
      <c r="B6" s="187" t="s">
        <v>31</v>
      </c>
      <c r="C6" s="188" t="s">
        <v>32</v>
      </c>
      <c r="D6" s="189">
        <v>2593266408</v>
      </c>
      <c r="E6" s="189">
        <v>1552035250</v>
      </c>
      <c r="F6" s="189">
        <v>1710878799</v>
      </c>
      <c r="G6" s="189">
        <v>1625165700</v>
      </c>
      <c r="H6" s="189">
        <v>1612742619</v>
      </c>
      <c r="I6" s="189">
        <v>1485108141</v>
      </c>
      <c r="J6" s="189">
        <v>1516653857</v>
      </c>
      <c r="K6" s="189">
        <v>1524295202</v>
      </c>
      <c r="L6" s="189">
        <v>1252820587</v>
      </c>
      <c r="M6" s="189">
        <v>1404904915</v>
      </c>
      <c r="N6" s="189">
        <v>1453058083</v>
      </c>
      <c r="O6" s="189">
        <v>1544416636</v>
      </c>
      <c r="P6" s="189">
        <v>1734857213</v>
      </c>
      <c r="Q6" s="189">
        <v>1395864733</v>
      </c>
      <c r="R6" s="189">
        <v>1253152295</v>
      </c>
      <c r="S6" s="189">
        <v>1160967589</v>
      </c>
      <c r="T6" s="189">
        <v>1110861751</v>
      </c>
      <c r="U6" s="190">
        <v>1108267977</v>
      </c>
      <c r="V6" s="190">
        <v>1196538826</v>
      </c>
      <c r="W6" s="190">
        <v>1152990671</v>
      </c>
      <c r="X6" s="190">
        <v>996482993</v>
      </c>
      <c r="Y6" s="190">
        <v>630370510</v>
      </c>
      <c r="Z6" s="190"/>
      <c r="AA6" s="190"/>
    </row>
    <row r="7" spans="1:27" ht="21.75" customHeight="1" x14ac:dyDescent="0.2">
      <c r="A7" s="186"/>
      <c r="B7" s="191" t="s">
        <v>33</v>
      </c>
      <c r="C7" s="192" t="s">
        <v>34</v>
      </c>
      <c r="D7" s="189">
        <v>4840</v>
      </c>
      <c r="E7" s="189">
        <v>2758</v>
      </c>
      <c r="F7" s="189">
        <v>3136</v>
      </c>
      <c r="G7" s="189">
        <v>3124</v>
      </c>
      <c r="H7" s="189">
        <v>3210</v>
      </c>
      <c r="I7" s="189">
        <v>2988</v>
      </c>
      <c r="J7" s="189">
        <v>3107</v>
      </c>
      <c r="K7" s="189">
        <v>3191</v>
      </c>
      <c r="L7" s="189">
        <v>2792</v>
      </c>
      <c r="M7" s="189">
        <v>3333</v>
      </c>
      <c r="N7" s="189">
        <v>3431</v>
      </c>
      <c r="O7" s="189">
        <v>3486</v>
      </c>
      <c r="P7" s="189">
        <v>3818</v>
      </c>
      <c r="Q7" s="189">
        <v>2978</v>
      </c>
      <c r="R7" s="189">
        <v>2761</v>
      </c>
      <c r="S7" s="189">
        <v>2540</v>
      </c>
      <c r="T7" s="189">
        <v>2451</v>
      </c>
      <c r="U7" s="190">
        <v>2470</v>
      </c>
      <c r="V7" s="190">
        <v>2822</v>
      </c>
      <c r="W7" s="190">
        <v>2630</v>
      </c>
      <c r="X7" s="190">
        <v>2338</v>
      </c>
      <c r="Y7" s="190">
        <v>1462</v>
      </c>
      <c r="Z7" s="190"/>
      <c r="AA7" s="190"/>
    </row>
    <row r="8" spans="1:27" ht="21.75" customHeight="1" x14ac:dyDescent="0.2">
      <c r="A8" s="186"/>
      <c r="B8" s="187" t="s">
        <v>35</v>
      </c>
      <c r="C8" s="188" t="s">
        <v>36</v>
      </c>
      <c r="D8" s="189">
        <v>535799</v>
      </c>
      <c r="E8" s="189">
        <v>562739</v>
      </c>
      <c r="F8" s="189">
        <v>545561</v>
      </c>
      <c r="G8" s="189">
        <v>520219</v>
      </c>
      <c r="H8" s="189">
        <v>502412</v>
      </c>
      <c r="I8" s="189">
        <v>497024</v>
      </c>
      <c r="J8" s="189">
        <v>488141</v>
      </c>
      <c r="K8" s="189">
        <v>477686</v>
      </c>
      <c r="L8" s="189">
        <v>448718</v>
      </c>
      <c r="M8" s="189">
        <v>421514</v>
      </c>
      <c r="N8" s="189">
        <v>423509</v>
      </c>
      <c r="O8" s="189">
        <v>443034</v>
      </c>
      <c r="P8" s="189">
        <v>454389</v>
      </c>
      <c r="Q8" s="189">
        <v>468726</v>
      </c>
      <c r="R8" s="189">
        <v>453876</v>
      </c>
      <c r="S8" s="189">
        <v>457074</v>
      </c>
      <c r="T8" s="189">
        <v>453228</v>
      </c>
      <c r="U8" s="190">
        <v>448691</v>
      </c>
      <c r="V8" s="190">
        <v>424004</v>
      </c>
      <c r="W8" s="190">
        <v>438399</v>
      </c>
      <c r="X8" s="190">
        <v>426212</v>
      </c>
      <c r="Y8" s="190">
        <v>431170</v>
      </c>
      <c r="Z8" s="190"/>
      <c r="AA8" s="190"/>
    </row>
    <row r="9" spans="1:27" ht="21.75" customHeight="1" x14ac:dyDescent="0.2">
      <c r="A9" s="186"/>
      <c r="B9" s="191" t="s">
        <v>37</v>
      </c>
      <c r="C9" s="192" t="s">
        <v>38</v>
      </c>
      <c r="D9" s="189">
        <v>9627</v>
      </c>
      <c r="E9" s="189">
        <v>6309</v>
      </c>
      <c r="F9" s="189">
        <v>6503</v>
      </c>
      <c r="G9" s="189">
        <v>6784</v>
      </c>
      <c r="H9" s="189">
        <v>6098</v>
      </c>
      <c r="I9" s="189">
        <v>5749</v>
      </c>
      <c r="J9" s="189">
        <v>6827</v>
      </c>
      <c r="K9" s="189">
        <v>6173</v>
      </c>
      <c r="L9" s="189">
        <v>5668</v>
      </c>
      <c r="M9" s="189">
        <v>6361</v>
      </c>
      <c r="N9" s="189">
        <v>6898</v>
      </c>
      <c r="O9" s="189">
        <v>7275</v>
      </c>
      <c r="P9" s="189">
        <v>9054</v>
      </c>
      <c r="Q9" s="189">
        <v>7364</v>
      </c>
      <c r="R9" s="189">
        <v>5790</v>
      </c>
      <c r="S9" s="189">
        <v>4999</v>
      </c>
      <c r="T9" s="189">
        <v>5231</v>
      </c>
      <c r="U9" s="193">
        <v>5789</v>
      </c>
      <c r="V9" s="193">
        <v>5129</v>
      </c>
      <c r="W9" s="193">
        <v>4841</v>
      </c>
      <c r="X9" s="193">
        <v>4205</v>
      </c>
      <c r="Y9" s="193">
        <v>3059</v>
      </c>
      <c r="Z9" s="193"/>
      <c r="AA9" s="193"/>
    </row>
    <row r="10" spans="1:27" ht="21.75" customHeight="1" x14ac:dyDescent="0.2">
      <c r="A10" s="186"/>
      <c r="B10" s="187"/>
      <c r="C10" s="188" t="s">
        <v>32</v>
      </c>
      <c r="D10" s="188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93"/>
      <c r="V10" s="193"/>
      <c r="W10" s="193"/>
      <c r="X10" s="193"/>
      <c r="Y10" s="193"/>
      <c r="Z10" s="193"/>
      <c r="AA10" s="193"/>
    </row>
    <row r="11" spans="1:27" ht="21.75" customHeight="1" x14ac:dyDescent="0.2">
      <c r="A11" s="186"/>
      <c r="B11" s="191" t="s">
        <v>39</v>
      </c>
      <c r="C11" s="192" t="s">
        <v>40</v>
      </c>
      <c r="D11" s="194">
        <v>0.50275267479999997</v>
      </c>
      <c r="E11" s="194">
        <v>0.43715327310000002</v>
      </c>
      <c r="F11" s="194">
        <v>0.48223896659999999</v>
      </c>
      <c r="G11" s="194">
        <v>0.46049528299999998</v>
      </c>
      <c r="H11" s="194">
        <v>0.52640209900000001</v>
      </c>
      <c r="I11" s="194">
        <v>0.51974256389999995</v>
      </c>
      <c r="J11" s="194">
        <v>0.4551047312</v>
      </c>
      <c r="K11" s="194">
        <v>0.51692855989999997</v>
      </c>
      <c r="L11" s="194">
        <v>0.49258997879999999</v>
      </c>
      <c r="M11" s="194">
        <v>0.52397421789999998</v>
      </c>
      <c r="N11" s="194">
        <v>0.49739054799999999</v>
      </c>
      <c r="O11" s="194">
        <v>0.47917525770000002</v>
      </c>
      <c r="P11" s="194">
        <v>0.42169206980000001</v>
      </c>
      <c r="Q11" s="194">
        <v>0.40439978269999999</v>
      </c>
      <c r="R11" s="194">
        <v>0.4768566494</v>
      </c>
      <c r="S11" s="194">
        <v>0.50810162029999995</v>
      </c>
      <c r="T11" s="194">
        <v>0.46855285800000002</v>
      </c>
      <c r="U11" s="194">
        <v>0.42667127310000003</v>
      </c>
      <c r="V11" s="194">
        <v>0.55020471829999995</v>
      </c>
      <c r="W11" s="194">
        <v>0.54327618259999999</v>
      </c>
      <c r="X11" s="194">
        <v>0.55600475620000001</v>
      </c>
      <c r="Y11" s="194">
        <f>Y7/Y9</f>
        <v>0.47793396534815297</v>
      </c>
      <c r="Z11" s="194"/>
      <c r="AA11" s="194"/>
    </row>
    <row r="12" spans="1:27" ht="21.75" customHeight="1" x14ac:dyDescent="0.2">
      <c r="A12" s="175"/>
      <c r="B12" s="176"/>
      <c r="C12" s="177" t="s">
        <v>41</v>
      </c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8"/>
      <c r="V12" s="178"/>
      <c r="W12" s="178"/>
      <c r="X12" s="195"/>
      <c r="Y12" s="195"/>
      <c r="Z12" s="195"/>
      <c r="AA12" s="195"/>
    </row>
    <row r="13" spans="1:27" ht="18.75" customHeight="1" x14ac:dyDescent="0.2">
      <c r="A13" s="196" t="s">
        <v>42</v>
      </c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</row>
    <row r="14" spans="1:27" ht="18.75" customHeight="1" x14ac:dyDescent="0.2">
      <c r="A14" s="145" t="s">
        <v>43</v>
      </c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74"/>
      <c r="Y14" s="140"/>
      <c r="Z14" s="140"/>
      <c r="AA14" s="140"/>
    </row>
    <row r="15" spans="1:27" ht="21.75" customHeight="1" x14ac:dyDescent="0.2">
      <c r="A15" s="1"/>
      <c r="B15" s="6" t="s">
        <v>44</v>
      </c>
      <c r="C15" s="7" t="s">
        <v>45</v>
      </c>
      <c r="D15" s="4">
        <v>4577</v>
      </c>
      <c r="E15" s="4">
        <v>2189</v>
      </c>
      <c r="F15" s="4">
        <v>2155</v>
      </c>
      <c r="G15" s="4">
        <v>1839</v>
      </c>
      <c r="H15" s="4">
        <v>1712</v>
      </c>
      <c r="I15" s="4">
        <v>1497</v>
      </c>
      <c r="J15" s="4">
        <v>1451</v>
      </c>
      <c r="K15" s="4">
        <v>1396</v>
      </c>
      <c r="L15" s="4">
        <v>1181</v>
      </c>
      <c r="M15" s="4">
        <v>1406</v>
      </c>
      <c r="N15" s="4">
        <v>1436</v>
      </c>
      <c r="O15" s="4">
        <v>1351</v>
      </c>
      <c r="P15" s="4">
        <v>1579</v>
      </c>
      <c r="Q15" s="4">
        <v>1102</v>
      </c>
      <c r="R15" s="4">
        <v>988</v>
      </c>
      <c r="S15" s="4">
        <v>797</v>
      </c>
      <c r="T15" s="4">
        <v>704</v>
      </c>
      <c r="U15" s="8">
        <v>706</v>
      </c>
      <c r="V15" s="8">
        <v>872</v>
      </c>
      <c r="W15" s="8">
        <v>769</v>
      </c>
      <c r="X15" s="193">
        <v>713</v>
      </c>
      <c r="Y15" s="193">
        <v>395</v>
      </c>
      <c r="Z15" s="193"/>
      <c r="AA15" s="193"/>
    </row>
    <row r="16" spans="1:27" ht="21.75" customHeight="1" x14ac:dyDescent="0.2">
      <c r="A16" s="1"/>
      <c r="B16" s="10" t="s">
        <v>46</v>
      </c>
      <c r="C16" s="3" t="s">
        <v>36</v>
      </c>
      <c r="D16" s="4">
        <v>566586</v>
      </c>
      <c r="E16" s="4">
        <v>612368</v>
      </c>
      <c r="F16" s="4">
        <v>594273</v>
      </c>
      <c r="G16" s="4">
        <v>559704</v>
      </c>
      <c r="H16" s="4">
        <v>536669</v>
      </c>
      <c r="I16" s="4">
        <v>521893</v>
      </c>
      <c r="J16" s="4">
        <v>502606</v>
      </c>
      <c r="K16" s="4">
        <v>506250</v>
      </c>
      <c r="L16" s="4">
        <v>461143</v>
      </c>
      <c r="M16" s="4">
        <v>418980</v>
      </c>
      <c r="N16" s="4">
        <v>428557</v>
      </c>
      <c r="O16" s="4">
        <v>448014</v>
      </c>
      <c r="P16" s="4">
        <v>453818</v>
      </c>
      <c r="Q16" s="4">
        <v>452441</v>
      </c>
      <c r="R16" s="4">
        <v>468173</v>
      </c>
      <c r="S16" s="4">
        <v>440712</v>
      </c>
      <c r="T16" s="4">
        <v>440995</v>
      </c>
      <c r="U16" s="8">
        <v>447465</v>
      </c>
      <c r="V16" s="8">
        <v>418543</v>
      </c>
      <c r="W16" s="8">
        <v>433780</v>
      </c>
      <c r="X16" s="193">
        <v>416312</v>
      </c>
      <c r="Y16" s="193">
        <v>410526</v>
      </c>
      <c r="Z16" s="193"/>
      <c r="AA16" s="193"/>
    </row>
    <row r="17" spans="1:27" ht="21.75" customHeight="1" x14ac:dyDescent="0.2">
      <c r="A17" s="1"/>
      <c r="B17" s="6" t="s">
        <v>47</v>
      </c>
      <c r="C17" s="7" t="s">
        <v>40</v>
      </c>
      <c r="D17" s="132">
        <v>0</v>
      </c>
      <c r="E17" s="132">
        <v>343</v>
      </c>
      <c r="F17" s="132">
        <v>602</v>
      </c>
      <c r="G17" s="132">
        <v>518</v>
      </c>
      <c r="H17" s="132">
        <v>418</v>
      </c>
      <c r="I17" s="132">
        <v>311</v>
      </c>
      <c r="J17" s="132">
        <v>262</v>
      </c>
      <c r="K17" s="132">
        <v>205</v>
      </c>
      <c r="L17" s="132">
        <v>169</v>
      </c>
      <c r="M17" s="132">
        <v>192</v>
      </c>
      <c r="N17" s="132">
        <v>185</v>
      </c>
      <c r="O17" s="132">
        <v>229</v>
      </c>
      <c r="P17" s="132">
        <v>207</v>
      </c>
      <c r="Q17" s="132">
        <v>171</v>
      </c>
      <c r="R17" s="132">
        <v>148</v>
      </c>
      <c r="S17" s="132">
        <v>128</v>
      </c>
      <c r="T17" s="132">
        <v>99</v>
      </c>
      <c r="U17" s="133">
        <v>106</v>
      </c>
      <c r="V17" s="133">
        <v>119</v>
      </c>
      <c r="W17" s="133">
        <v>125</v>
      </c>
      <c r="X17" s="198">
        <v>97</v>
      </c>
      <c r="Y17" s="198">
        <v>86</v>
      </c>
      <c r="Z17" s="199"/>
      <c r="AA17" s="199"/>
    </row>
    <row r="18" spans="1:27" ht="21.75" customHeight="1" x14ac:dyDescent="0.2">
      <c r="A18" s="1"/>
      <c r="B18" s="2" t="s">
        <v>48</v>
      </c>
      <c r="C18" s="3" t="s">
        <v>40</v>
      </c>
      <c r="D18" s="132">
        <v>0</v>
      </c>
      <c r="E18" s="132">
        <v>383</v>
      </c>
      <c r="F18" s="132">
        <v>213</v>
      </c>
      <c r="G18" s="132">
        <v>182</v>
      </c>
      <c r="H18" s="132">
        <v>143</v>
      </c>
      <c r="I18" s="132">
        <v>127</v>
      </c>
      <c r="J18" s="132">
        <v>107</v>
      </c>
      <c r="K18" s="132">
        <v>95</v>
      </c>
      <c r="L18" s="132">
        <v>90</v>
      </c>
      <c r="M18" s="132">
        <v>97</v>
      </c>
      <c r="N18" s="132">
        <v>99</v>
      </c>
      <c r="O18" s="132">
        <v>107</v>
      </c>
      <c r="P18" s="132">
        <v>105</v>
      </c>
      <c r="Q18" s="132">
        <v>93</v>
      </c>
      <c r="R18" s="132">
        <v>59</v>
      </c>
      <c r="S18" s="132">
        <v>66</v>
      </c>
      <c r="T18" s="132">
        <v>57</v>
      </c>
      <c r="U18" s="133">
        <v>58</v>
      </c>
      <c r="V18" s="133">
        <v>72</v>
      </c>
      <c r="W18" s="133">
        <v>81</v>
      </c>
      <c r="X18" s="198">
        <v>48</v>
      </c>
      <c r="Y18" s="198">
        <v>39</v>
      </c>
      <c r="Z18" s="199"/>
      <c r="AA18" s="199"/>
    </row>
    <row r="19" spans="1:27" ht="18.75" customHeight="1" x14ac:dyDescent="0.2">
      <c r="A19" s="200" t="s">
        <v>49</v>
      </c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</row>
    <row r="20" spans="1:27" ht="21.75" customHeight="1" x14ac:dyDescent="0.2">
      <c r="A20" s="1"/>
      <c r="B20" s="2" t="s">
        <v>50</v>
      </c>
      <c r="C20" s="3" t="s">
        <v>45</v>
      </c>
      <c r="D20" s="4">
        <v>0</v>
      </c>
      <c r="E20" s="4">
        <v>383</v>
      </c>
      <c r="F20" s="4">
        <v>773</v>
      </c>
      <c r="G20" s="4">
        <v>1051</v>
      </c>
      <c r="H20" s="4">
        <v>1251</v>
      </c>
      <c r="I20" s="4">
        <v>1291</v>
      </c>
      <c r="J20" s="4">
        <v>1414</v>
      </c>
      <c r="K20" s="4">
        <v>1524</v>
      </c>
      <c r="L20" s="4">
        <v>1403</v>
      </c>
      <c r="M20" s="4">
        <v>1623</v>
      </c>
      <c r="N20" s="4">
        <v>1743</v>
      </c>
      <c r="O20" s="4">
        <v>1853</v>
      </c>
      <c r="P20" s="4">
        <v>1972</v>
      </c>
      <c r="Q20" s="4">
        <v>1728</v>
      </c>
      <c r="R20" s="4">
        <v>1554</v>
      </c>
      <c r="S20" s="4">
        <v>1533</v>
      </c>
      <c r="T20" s="4">
        <v>1556</v>
      </c>
      <c r="U20" s="8">
        <v>1554</v>
      </c>
      <c r="V20" s="8">
        <v>1690</v>
      </c>
      <c r="W20" s="8">
        <v>1633</v>
      </c>
      <c r="X20" s="193">
        <v>1407</v>
      </c>
      <c r="Y20" s="193">
        <v>999</v>
      </c>
      <c r="Z20" s="193"/>
      <c r="AA20" s="193"/>
    </row>
    <row r="21" spans="1:27" ht="21.75" customHeight="1" x14ac:dyDescent="0.2">
      <c r="A21" s="1"/>
      <c r="B21" s="12" t="s">
        <v>51</v>
      </c>
      <c r="C21" s="7" t="s">
        <v>36</v>
      </c>
      <c r="D21" s="4">
        <v>0</v>
      </c>
      <c r="E21" s="4">
        <v>552378</v>
      </c>
      <c r="F21" s="4">
        <v>556559</v>
      </c>
      <c r="G21" s="4">
        <v>566955</v>
      </c>
      <c r="H21" s="4">
        <v>554729</v>
      </c>
      <c r="I21" s="4">
        <v>545186</v>
      </c>
      <c r="J21" s="4">
        <v>556841</v>
      </c>
      <c r="K21" s="4">
        <v>536464</v>
      </c>
      <c r="L21" s="4">
        <v>504783</v>
      </c>
      <c r="M21" s="4">
        <v>502661</v>
      </c>
      <c r="N21" s="4">
        <v>480579</v>
      </c>
      <c r="O21" s="4">
        <v>506827</v>
      </c>
      <c r="P21" s="4">
        <v>516369</v>
      </c>
      <c r="Q21" s="4">
        <v>519256</v>
      </c>
      <c r="R21" s="4">
        <v>508750</v>
      </c>
      <c r="S21" s="4">
        <v>528193</v>
      </c>
      <c r="T21" s="4">
        <v>514397</v>
      </c>
      <c r="U21" s="8">
        <v>509883</v>
      </c>
      <c r="V21" s="8">
        <v>492053</v>
      </c>
      <c r="W21" s="8">
        <v>501784</v>
      </c>
      <c r="X21" s="193">
        <v>497266</v>
      </c>
      <c r="Y21" s="193">
        <v>468682</v>
      </c>
      <c r="Z21" s="193"/>
      <c r="AA21" s="193"/>
    </row>
    <row r="22" spans="1:27" ht="21.75" customHeight="1" x14ac:dyDescent="0.2">
      <c r="A22" s="1"/>
      <c r="B22" s="2" t="s">
        <v>52</v>
      </c>
      <c r="C22" s="3" t="s">
        <v>40</v>
      </c>
      <c r="D22" s="11">
        <v>0</v>
      </c>
      <c r="E22" s="11">
        <v>0.1489</v>
      </c>
      <c r="F22" s="11">
        <v>0.26400000000000001</v>
      </c>
      <c r="G22" s="11">
        <v>0.36370000000000002</v>
      </c>
      <c r="H22" s="11">
        <v>0.42220000000000002</v>
      </c>
      <c r="I22" s="11">
        <v>0.46310000000000001</v>
      </c>
      <c r="J22" s="11">
        <v>0.49349999999999999</v>
      </c>
      <c r="K22" s="11">
        <v>0.52190000000000003</v>
      </c>
      <c r="L22" s="11">
        <v>0.54300000000000004</v>
      </c>
      <c r="M22" s="11">
        <v>0.53580000000000005</v>
      </c>
      <c r="N22" s="11">
        <v>0.54830000000000001</v>
      </c>
      <c r="O22" s="11">
        <v>0.57830000000000004</v>
      </c>
      <c r="P22" s="11">
        <v>0.55530000000000002</v>
      </c>
      <c r="Q22" s="11">
        <v>0.61060000000000003</v>
      </c>
      <c r="R22" s="11">
        <v>0.61129999999999995</v>
      </c>
      <c r="S22" s="11">
        <v>0.65790000000000004</v>
      </c>
      <c r="T22" s="11">
        <v>0.6885</v>
      </c>
      <c r="U22" s="9">
        <v>0.68759999999999999</v>
      </c>
      <c r="V22" s="9">
        <v>0.65959999999999996</v>
      </c>
      <c r="W22" s="9">
        <v>0.67989999999999995</v>
      </c>
      <c r="X22" s="199">
        <v>0.66369999999999996</v>
      </c>
      <c r="Y22" s="199">
        <v>0.71660000000000001</v>
      </c>
      <c r="Z22" s="199"/>
      <c r="AA22" s="199"/>
    </row>
    <row r="23" spans="1:27" ht="21.75" customHeight="1" x14ac:dyDescent="0.2">
      <c r="A23" s="1"/>
      <c r="B23" s="12" t="s">
        <v>53</v>
      </c>
      <c r="C23" s="7" t="s">
        <v>45</v>
      </c>
      <c r="D23" s="4">
        <v>208</v>
      </c>
      <c r="E23" s="4">
        <v>120</v>
      </c>
      <c r="F23" s="4">
        <v>136</v>
      </c>
      <c r="G23" s="4">
        <v>123</v>
      </c>
      <c r="H23" s="4">
        <v>116</v>
      </c>
      <c r="I23" s="4">
        <v>91</v>
      </c>
      <c r="J23" s="4">
        <v>95</v>
      </c>
      <c r="K23" s="4">
        <v>108</v>
      </c>
      <c r="L23" s="4">
        <v>127</v>
      </c>
      <c r="M23" s="4">
        <v>126</v>
      </c>
      <c r="N23" s="4">
        <v>204</v>
      </c>
      <c r="O23" s="4">
        <v>264</v>
      </c>
      <c r="P23" s="4">
        <v>227</v>
      </c>
      <c r="Q23" s="4">
        <v>256</v>
      </c>
      <c r="R23" s="4">
        <v>185</v>
      </c>
      <c r="S23" s="4">
        <v>203</v>
      </c>
      <c r="T23" s="4">
        <v>191</v>
      </c>
      <c r="U23" s="8">
        <v>395</v>
      </c>
      <c r="V23" s="8">
        <v>458</v>
      </c>
      <c r="W23" s="8">
        <v>490</v>
      </c>
      <c r="X23" s="193">
        <v>376</v>
      </c>
      <c r="Y23" s="193">
        <v>228</v>
      </c>
      <c r="Z23" s="193"/>
      <c r="AA23" s="193"/>
    </row>
    <row r="24" spans="1:27" ht="21.75" customHeight="1" x14ac:dyDescent="0.2">
      <c r="A24" s="1"/>
      <c r="B24" s="10" t="s">
        <v>54</v>
      </c>
      <c r="C24" s="3" t="s">
        <v>36</v>
      </c>
      <c r="D24" s="4">
        <v>580443</v>
      </c>
      <c r="E24" s="4">
        <v>516482</v>
      </c>
      <c r="F24" s="4">
        <v>520544</v>
      </c>
      <c r="G24" s="4">
        <v>506154</v>
      </c>
      <c r="H24" s="4">
        <v>444870</v>
      </c>
      <c r="I24" s="4">
        <v>544447</v>
      </c>
      <c r="J24" s="4">
        <v>553412</v>
      </c>
      <c r="K24" s="4">
        <v>551739</v>
      </c>
      <c r="L24" s="4">
        <v>502434</v>
      </c>
      <c r="M24" s="4">
        <v>487008</v>
      </c>
      <c r="N24" s="4">
        <v>515800</v>
      </c>
      <c r="O24" s="4">
        <v>515035</v>
      </c>
      <c r="P24" s="4">
        <v>565363</v>
      </c>
      <c r="Q24" s="4">
        <v>487576</v>
      </c>
      <c r="R24" s="4">
        <v>506915</v>
      </c>
      <c r="S24" s="4">
        <v>579616</v>
      </c>
      <c r="T24" s="4">
        <v>498816</v>
      </c>
      <c r="U24" s="8">
        <v>427919</v>
      </c>
      <c r="V24" s="8">
        <v>410866</v>
      </c>
      <c r="W24" s="8">
        <v>473743</v>
      </c>
      <c r="X24" s="193">
        <v>455758</v>
      </c>
      <c r="Y24" s="193">
        <v>413368</v>
      </c>
      <c r="Z24" s="193"/>
      <c r="AA24" s="193"/>
    </row>
    <row r="25" spans="1:27" ht="21.75" customHeight="1" x14ac:dyDescent="0.2">
      <c r="A25" s="1"/>
      <c r="B25" s="12" t="s">
        <v>55</v>
      </c>
      <c r="C25" s="7" t="s">
        <v>45</v>
      </c>
      <c r="D25" s="4">
        <v>704</v>
      </c>
      <c r="E25" s="4">
        <v>459</v>
      </c>
      <c r="F25" s="4">
        <v>550</v>
      </c>
      <c r="G25" s="4">
        <v>374</v>
      </c>
      <c r="H25" s="4">
        <v>412</v>
      </c>
      <c r="I25" s="4">
        <v>338</v>
      </c>
      <c r="J25" s="4">
        <v>394</v>
      </c>
      <c r="K25" s="4">
        <v>393</v>
      </c>
      <c r="L25" s="4">
        <v>355</v>
      </c>
      <c r="M25" s="4">
        <v>478</v>
      </c>
      <c r="N25" s="4">
        <v>593</v>
      </c>
      <c r="O25" s="4">
        <v>654</v>
      </c>
      <c r="P25" s="4">
        <v>777</v>
      </c>
      <c r="Q25" s="4">
        <v>682</v>
      </c>
      <c r="R25" s="4">
        <v>681</v>
      </c>
      <c r="S25" s="4">
        <v>650</v>
      </c>
      <c r="T25" s="4">
        <v>584</v>
      </c>
      <c r="U25" s="8">
        <v>491</v>
      </c>
      <c r="V25" s="8">
        <v>520</v>
      </c>
      <c r="W25" s="8">
        <v>483</v>
      </c>
      <c r="X25" s="193">
        <v>388</v>
      </c>
      <c r="Y25" s="193">
        <v>363</v>
      </c>
      <c r="Z25" s="193"/>
      <c r="AA25" s="193"/>
    </row>
    <row r="26" spans="1:27" ht="21.75" customHeight="1" x14ac:dyDescent="0.2">
      <c r="A26" s="1"/>
      <c r="B26" s="10" t="s">
        <v>54</v>
      </c>
      <c r="C26" s="3" t="s">
        <v>36</v>
      </c>
      <c r="D26" s="4">
        <v>584820</v>
      </c>
      <c r="E26" s="4">
        <v>571884</v>
      </c>
      <c r="F26" s="4">
        <v>580070</v>
      </c>
      <c r="G26" s="4">
        <v>536181</v>
      </c>
      <c r="H26" s="4">
        <v>562449</v>
      </c>
      <c r="I26" s="4">
        <v>499206</v>
      </c>
      <c r="J26" s="4">
        <v>537405</v>
      </c>
      <c r="K26" s="4">
        <v>489004</v>
      </c>
      <c r="L26" s="4">
        <v>479740</v>
      </c>
      <c r="M26" s="4">
        <v>498779</v>
      </c>
      <c r="N26" s="4">
        <v>473184</v>
      </c>
      <c r="O26" s="4">
        <v>496771</v>
      </c>
      <c r="P26" s="4">
        <v>507713</v>
      </c>
      <c r="Q26" s="4">
        <v>521206</v>
      </c>
      <c r="R26" s="4">
        <v>507917</v>
      </c>
      <c r="S26" s="4">
        <v>512198</v>
      </c>
      <c r="T26" s="4">
        <v>532485</v>
      </c>
      <c r="U26" s="8">
        <v>450680</v>
      </c>
      <c r="V26" s="8">
        <v>472067</v>
      </c>
      <c r="W26" s="8">
        <v>524029</v>
      </c>
      <c r="X26" s="193">
        <v>504574</v>
      </c>
      <c r="Y26" s="193">
        <v>506010</v>
      </c>
      <c r="Z26" s="193"/>
      <c r="AA26" s="193"/>
    </row>
    <row r="27" spans="1:27" ht="21.75" customHeight="1" x14ac:dyDescent="0.2">
      <c r="A27" s="1"/>
      <c r="B27" s="12" t="s">
        <v>56</v>
      </c>
      <c r="C27" s="7" t="s">
        <v>45</v>
      </c>
      <c r="D27" s="4">
        <v>697</v>
      </c>
      <c r="E27" s="4">
        <v>414</v>
      </c>
      <c r="F27" s="4">
        <v>566</v>
      </c>
      <c r="G27" s="4">
        <v>615</v>
      </c>
      <c r="H27" s="4">
        <v>617</v>
      </c>
      <c r="I27" s="4">
        <v>600</v>
      </c>
      <c r="J27" s="4">
        <v>635</v>
      </c>
      <c r="K27" s="4">
        <v>784</v>
      </c>
      <c r="L27" s="4">
        <v>602</v>
      </c>
      <c r="M27" s="4">
        <v>766</v>
      </c>
      <c r="N27" s="4">
        <v>1005</v>
      </c>
      <c r="O27" s="4">
        <v>962</v>
      </c>
      <c r="P27" s="4">
        <v>1034</v>
      </c>
      <c r="Q27" s="4">
        <v>820</v>
      </c>
      <c r="R27" s="4">
        <v>712</v>
      </c>
      <c r="S27" s="4">
        <v>700</v>
      </c>
      <c r="T27" s="4">
        <v>786</v>
      </c>
      <c r="U27" s="8">
        <v>698</v>
      </c>
      <c r="V27" s="8">
        <v>761</v>
      </c>
      <c r="W27" s="8">
        <v>682</v>
      </c>
      <c r="X27" s="193">
        <v>548</v>
      </c>
      <c r="Y27" s="193">
        <v>408</v>
      </c>
      <c r="Z27" s="193"/>
      <c r="AA27" s="193"/>
    </row>
    <row r="28" spans="1:27" ht="21.75" customHeight="1" x14ac:dyDescent="0.2">
      <c r="A28" s="1"/>
      <c r="B28" s="10" t="s">
        <v>54</v>
      </c>
      <c r="C28" s="3" t="s">
        <v>36</v>
      </c>
      <c r="D28" s="4">
        <v>606306</v>
      </c>
      <c r="E28" s="4">
        <v>636101</v>
      </c>
      <c r="F28" s="4">
        <v>593665</v>
      </c>
      <c r="G28" s="4">
        <v>587223</v>
      </c>
      <c r="H28" s="4">
        <v>566389</v>
      </c>
      <c r="I28" s="4">
        <v>543742</v>
      </c>
      <c r="J28" s="4">
        <v>554666</v>
      </c>
      <c r="K28" s="4">
        <v>521419</v>
      </c>
      <c r="L28" s="4">
        <v>510631</v>
      </c>
      <c r="M28" s="4">
        <v>481273</v>
      </c>
      <c r="N28" s="4">
        <v>480211</v>
      </c>
      <c r="O28" s="4">
        <v>506887</v>
      </c>
      <c r="P28" s="4">
        <v>525092</v>
      </c>
      <c r="Q28" s="4">
        <v>523625</v>
      </c>
      <c r="R28" s="4">
        <v>513235</v>
      </c>
      <c r="S28" s="4">
        <v>514169</v>
      </c>
      <c r="T28" s="4">
        <v>504044</v>
      </c>
      <c r="U28" s="8">
        <v>436911</v>
      </c>
      <c r="V28" s="8">
        <v>476924</v>
      </c>
      <c r="W28" s="8">
        <v>503197</v>
      </c>
      <c r="X28" s="193">
        <v>516325</v>
      </c>
      <c r="Y28" s="193">
        <v>466381</v>
      </c>
      <c r="Z28" s="193"/>
      <c r="AA28" s="193"/>
    </row>
    <row r="29" spans="1:27" ht="18.75" customHeight="1" x14ac:dyDescent="0.2">
      <c r="A29" s="200" t="s">
        <v>57</v>
      </c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</row>
    <row r="30" spans="1:27" ht="21.75" customHeight="1" x14ac:dyDescent="0.2">
      <c r="A30" s="1"/>
      <c r="B30" s="2" t="s">
        <v>58</v>
      </c>
      <c r="C30" s="3" t="s">
        <v>45</v>
      </c>
      <c r="D30" s="4">
        <v>0</v>
      </c>
      <c r="E30" s="4">
        <v>316</v>
      </c>
      <c r="F30" s="4">
        <v>651</v>
      </c>
      <c r="G30" s="4">
        <v>896</v>
      </c>
      <c r="H30" s="4">
        <v>1064</v>
      </c>
      <c r="I30" s="4">
        <v>1090</v>
      </c>
      <c r="J30" s="4">
        <v>1245</v>
      </c>
      <c r="K30" s="4">
        <v>1331</v>
      </c>
      <c r="L30" s="4">
        <v>1214</v>
      </c>
      <c r="M30" s="4">
        <v>1388</v>
      </c>
      <c r="N30" s="4">
        <v>1495</v>
      </c>
      <c r="O30" s="4">
        <v>1539</v>
      </c>
      <c r="P30" s="4">
        <v>1600</v>
      </c>
      <c r="Q30" s="4">
        <v>1419</v>
      </c>
      <c r="R30" s="4">
        <v>1325</v>
      </c>
      <c r="S30" s="4">
        <v>1338</v>
      </c>
      <c r="T30" s="4">
        <v>1327</v>
      </c>
      <c r="U30" s="8">
        <v>1297</v>
      </c>
      <c r="V30" s="8">
        <v>1417</v>
      </c>
      <c r="W30" s="8">
        <v>1330</v>
      </c>
      <c r="X30" s="193">
        <v>1120</v>
      </c>
      <c r="Y30" s="193">
        <v>768</v>
      </c>
      <c r="Z30" s="193"/>
      <c r="AA30" s="193"/>
    </row>
    <row r="31" spans="1:27" ht="21.75" customHeight="1" x14ac:dyDescent="0.2">
      <c r="A31" s="1"/>
      <c r="B31" s="12" t="s">
        <v>59</v>
      </c>
      <c r="C31" s="7" t="s">
        <v>36</v>
      </c>
      <c r="D31" s="4">
        <v>0</v>
      </c>
      <c r="E31" s="4">
        <v>576016</v>
      </c>
      <c r="F31" s="4">
        <v>575471</v>
      </c>
      <c r="G31" s="4">
        <v>576936</v>
      </c>
      <c r="H31" s="4">
        <v>571768</v>
      </c>
      <c r="I31" s="4">
        <v>556704</v>
      </c>
      <c r="J31" s="4">
        <v>567906</v>
      </c>
      <c r="K31" s="4">
        <v>543109</v>
      </c>
      <c r="L31" s="4">
        <v>512685</v>
      </c>
      <c r="M31" s="4">
        <v>515872</v>
      </c>
      <c r="N31" s="4">
        <v>492313</v>
      </c>
      <c r="O31" s="4">
        <v>519797</v>
      </c>
      <c r="P31" s="4">
        <v>532066</v>
      </c>
      <c r="Q31" s="4">
        <v>533361</v>
      </c>
      <c r="R31" s="4">
        <v>522920</v>
      </c>
      <c r="S31" s="4">
        <v>539741</v>
      </c>
      <c r="T31" s="4">
        <v>525308</v>
      </c>
      <c r="U31" s="8">
        <v>523972</v>
      </c>
      <c r="V31" s="8">
        <v>505674</v>
      </c>
      <c r="W31" s="8">
        <v>514455</v>
      </c>
      <c r="X31" s="193">
        <v>522057</v>
      </c>
      <c r="Y31" s="193">
        <v>487392</v>
      </c>
      <c r="Z31" s="193"/>
      <c r="AA31" s="193"/>
    </row>
    <row r="32" spans="1:27" ht="21.75" customHeight="1" x14ac:dyDescent="0.2">
      <c r="A32" s="1"/>
      <c r="B32" s="2" t="s">
        <v>60</v>
      </c>
      <c r="C32" s="3" t="s">
        <v>61</v>
      </c>
      <c r="D32" s="4">
        <v>0</v>
      </c>
      <c r="E32" s="4">
        <v>1920171</v>
      </c>
      <c r="F32" s="4">
        <v>1934705</v>
      </c>
      <c r="G32" s="4">
        <v>1970844</v>
      </c>
      <c r="H32" s="4">
        <v>1928344</v>
      </c>
      <c r="I32" s="4">
        <v>1895170</v>
      </c>
      <c r="J32" s="4">
        <v>1935685</v>
      </c>
      <c r="K32" s="4">
        <v>1864851</v>
      </c>
      <c r="L32" s="4">
        <v>1754722</v>
      </c>
      <c r="M32" s="4">
        <v>1747345</v>
      </c>
      <c r="N32" s="4">
        <v>1670584</v>
      </c>
      <c r="O32" s="4">
        <v>1761827</v>
      </c>
      <c r="P32" s="4">
        <v>1794997</v>
      </c>
      <c r="Q32" s="4">
        <v>1805033</v>
      </c>
      <c r="R32" s="4">
        <v>1768512</v>
      </c>
      <c r="S32" s="4">
        <v>1836099</v>
      </c>
      <c r="T32" s="4">
        <v>1788142</v>
      </c>
      <c r="U32" s="8">
        <v>1772450</v>
      </c>
      <c r="V32" s="8">
        <v>1710470</v>
      </c>
      <c r="W32" s="8">
        <v>1744297</v>
      </c>
      <c r="X32" s="193">
        <v>1728591</v>
      </c>
      <c r="Y32" s="193">
        <v>1629228</v>
      </c>
      <c r="Z32" s="193"/>
      <c r="AA32" s="193"/>
    </row>
    <row r="33" spans="1:27" ht="25.5" customHeight="1" x14ac:dyDescent="0.2">
      <c r="A33" s="202" t="s">
        <v>62</v>
      </c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</row>
    <row r="34" spans="1:27" ht="18.75" customHeight="1" x14ac:dyDescent="0.2">
      <c r="A34" s="204" t="s">
        <v>63</v>
      </c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</row>
    <row r="35" spans="1:27" ht="21.75" customHeight="1" x14ac:dyDescent="0.2">
      <c r="A35" s="15"/>
      <c r="B35" s="6" t="s">
        <v>64</v>
      </c>
      <c r="C35" s="7" t="s">
        <v>32</v>
      </c>
      <c r="D35" s="4">
        <v>1091554316</v>
      </c>
      <c r="E35" s="4">
        <v>499607370</v>
      </c>
      <c r="F35" s="4">
        <v>567264028</v>
      </c>
      <c r="G35" s="4">
        <v>528594128</v>
      </c>
      <c r="H35" s="4">
        <v>498208343</v>
      </c>
      <c r="I35" s="4">
        <v>543406694</v>
      </c>
      <c r="J35" s="4">
        <v>582713951</v>
      </c>
      <c r="K35" s="4">
        <v>511779723</v>
      </c>
      <c r="L35" s="4">
        <v>450985516</v>
      </c>
      <c r="M35" s="4">
        <v>563065588</v>
      </c>
      <c r="N35" s="4">
        <v>617168731</v>
      </c>
      <c r="O35" s="4">
        <v>797994010</v>
      </c>
      <c r="P35" s="4">
        <v>925450315</v>
      </c>
      <c r="Q35" s="4">
        <v>971109989</v>
      </c>
      <c r="R35" s="4">
        <v>549533678</v>
      </c>
      <c r="S35" s="4">
        <v>582438107</v>
      </c>
      <c r="T35" s="4">
        <v>504185071</v>
      </c>
      <c r="U35" s="5">
        <v>511897403</v>
      </c>
      <c r="V35" s="5">
        <v>532369434</v>
      </c>
      <c r="W35" s="5">
        <v>479586306</v>
      </c>
      <c r="X35" s="190">
        <v>451831952</v>
      </c>
      <c r="Y35" s="190">
        <v>319808874</v>
      </c>
      <c r="Z35" s="190"/>
      <c r="AA35" s="190"/>
    </row>
    <row r="36" spans="1:27" ht="21.75" customHeight="1" x14ac:dyDescent="0.2">
      <c r="A36" s="15"/>
      <c r="B36" s="10" t="s">
        <v>65</v>
      </c>
      <c r="C36" s="3" t="s">
        <v>32</v>
      </c>
      <c r="D36" s="4">
        <v>540944566</v>
      </c>
      <c r="E36" s="4">
        <v>268103870</v>
      </c>
      <c r="F36" s="4">
        <v>290563128</v>
      </c>
      <c r="G36" s="4">
        <v>254830500</v>
      </c>
      <c r="H36" s="4">
        <v>256470352</v>
      </c>
      <c r="I36" s="4">
        <v>260893480</v>
      </c>
      <c r="J36" s="4">
        <v>301482693</v>
      </c>
      <c r="K36" s="4">
        <v>261515520</v>
      </c>
      <c r="L36" s="4">
        <v>234853685</v>
      </c>
      <c r="M36" s="4">
        <v>292613845</v>
      </c>
      <c r="N36" s="4">
        <v>315279874</v>
      </c>
      <c r="O36" s="4">
        <v>425053629</v>
      </c>
      <c r="P36" s="4">
        <v>498976878</v>
      </c>
      <c r="Q36" s="4">
        <v>466415524</v>
      </c>
      <c r="R36" s="4">
        <v>273260815</v>
      </c>
      <c r="S36" s="4">
        <v>339489341</v>
      </c>
      <c r="T36" s="4">
        <v>266591829</v>
      </c>
      <c r="U36" s="5">
        <v>259327182</v>
      </c>
      <c r="V36" s="5">
        <v>274528089</v>
      </c>
      <c r="W36" s="5">
        <v>242620655</v>
      </c>
      <c r="X36" s="190">
        <v>232187993</v>
      </c>
      <c r="Y36" s="190">
        <v>164300186</v>
      </c>
      <c r="Z36" s="190"/>
      <c r="AA36" s="190"/>
    </row>
    <row r="37" spans="1:27" ht="21.75" customHeight="1" x14ac:dyDescent="0.2">
      <c r="A37" s="15"/>
      <c r="B37" s="12" t="s">
        <v>66</v>
      </c>
      <c r="C37" s="7" t="s">
        <v>32</v>
      </c>
      <c r="D37" s="4">
        <v>356945800</v>
      </c>
      <c r="E37" s="4">
        <v>145126500</v>
      </c>
      <c r="F37" s="4">
        <v>172657900</v>
      </c>
      <c r="G37" s="4">
        <v>176377128</v>
      </c>
      <c r="H37" s="4">
        <v>152411750</v>
      </c>
      <c r="I37" s="4">
        <v>181624920</v>
      </c>
      <c r="J37" s="4">
        <v>159269196</v>
      </c>
      <c r="K37" s="4">
        <v>153183571</v>
      </c>
      <c r="L37" s="4">
        <v>141817617</v>
      </c>
      <c r="M37" s="4">
        <v>176059491</v>
      </c>
      <c r="N37" s="4">
        <v>178778384</v>
      </c>
      <c r="O37" s="4">
        <v>210046402</v>
      </c>
      <c r="P37" s="4">
        <v>212730879</v>
      </c>
      <c r="Q37" s="4">
        <v>299922606</v>
      </c>
      <c r="R37" s="4">
        <v>150994415</v>
      </c>
      <c r="S37" s="4">
        <v>119328315</v>
      </c>
      <c r="T37" s="4">
        <v>125042886</v>
      </c>
      <c r="U37" s="5">
        <v>126589058</v>
      </c>
      <c r="V37" s="5">
        <v>129418093</v>
      </c>
      <c r="W37" s="5">
        <v>125115639</v>
      </c>
      <c r="X37" s="190">
        <v>120531728</v>
      </c>
      <c r="Y37" s="190">
        <v>92240126</v>
      </c>
      <c r="Z37" s="190"/>
      <c r="AA37" s="190"/>
    </row>
    <row r="38" spans="1:27" ht="21.75" customHeight="1" x14ac:dyDescent="0.2">
      <c r="A38" s="15"/>
      <c r="B38" s="10" t="s">
        <v>67</v>
      </c>
      <c r="C38" s="3" t="s">
        <v>32</v>
      </c>
      <c r="D38" s="4">
        <v>191584950</v>
      </c>
      <c r="E38" s="4">
        <v>86377000</v>
      </c>
      <c r="F38" s="4">
        <v>103913000</v>
      </c>
      <c r="G38" s="4">
        <v>97386500</v>
      </c>
      <c r="H38" s="4">
        <v>89326241</v>
      </c>
      <c r="I38" s="4">
        <v>100888294</v>
      </c>
      <c r="J38" s="4">
        <v>121962062</v>
      </c>
      <c r="K38" s="4">
        <v>96405115</v>
      </c>
      <c r="L38" s="4">
        <v>74134714</v>
      </c>
      <c r="M38" s="4">
        <v>94392252</v>
      </c>
      <c r="N38" s="4">
        <v>123110473</v>
      </c>
      <c r="O38" s="4">
        <v>162893979</v>
      </c>
      <c r="P38" s="4">
        <v>213742558</v>
      </c>
      <c r="Q38" s="4">
        <v>204771859</v>
      </c>
      <c r="R38" s="4">
        <v>125278448</v>
      </c>
      <c r="S38" s="4">
        <v>123620451</v>
      </c>
      <c r="T38" s="4">
        <v>112550356</v>
      </c>
      <c r="U38" s="5">
        <v>125981163</v>
      </c>
      <c r="V38" s="5">
        <v>128423252</v>
      </c>
      <c r="W38" s="5">
        <v>111850012</v>
      </c>
      <c r="X38" s="190">
        <v>99112231</v>
      </c>
      <c r="Y38" s="190">
        <v>63268562</v>
      </c>
      <c r="Z38" s="190"/>
      <c r="AA38" s="190"/>
    </row>
    <row r="39" spans="1:27" ht="21.75" customHeight="1" x14ac:dyDescent="0.2">
      <c r="A39" s="15"/>
      <c r="B39" s="6" t="s">
        <v>68</v>
      </c>
      <c r="C39" s="7" t="s">
        <v>34</v>
      </c>
      <c r="D39" s="4">
        <v>2635</v>
      </c>
      <c r="E39" s="4">
        <v>1242</v>
      </c>
      <c r="F39" s="4">
        <v>1571</v>
      </c>
      <c r="G39" s="4">
        <v>1512</v>
      </c>
      <c r="H39" s="4">
        <v>1566</v>
      </c>
      <c r="I39" s="4">
        <v>1602</v>
      </c>
      <c r="J39" s="4">
        <v>1752</v>
      </c>
      <c r="K39" s="4">
        <v>1643</v>
      </c>
      <c r="L39" s="4">
        <v>1510</v>
      </c>
      <c r="M39" s="4">
        <v>2061</v>
      </c>
      <c r="N39" s="4">
        <v>2296</v>
      </c>
      <c r="O39" s="4">
        <v>2690</v>
      </c>
      <c r="P39" s="4">
        <v>3020</v>
      </c>
      <c r="Q39" s="4">
        <v>2950</v>
      </c>
      <c r="R39" s="4">
        <v>1851</v>
      </c>
      <c r="S39" s="4">
        <v>1843</v>
      </c>
      <c r="T39" s="4">
        <v>1718</v>
      </c>
      <c r="U39" s="5">
        <v>1672</v>
      </c>
      <c r="V39" s="5">
        <v>1725</v>
      </c>
      <c r="W39" s="5">
        <v>1542</v>
      </c>
      <c r="X39" s="190">
        <v>1405</v>
      </c>
      <c r="Y39" s="190">
        <v>1073</v>
      </c>
      <c r="Z39" s="190"/>
      <c r="AA39" s="190"/>
    </row>
    <row r="40" spans="1:27" ht="21.75" customHeight="1" x14ac:dyDescent="0.2">
      <c r="A40" s="15"/>
      <c r="B40" s="2" t="s">
        <v>69</v>
      </c>
      <c r="C40" s="3" t="s">
        <v>36</v>
      </c>
      <c r="D40" s="4">
        <v>414252</v>
      </c>
      <c r="E40" s="4">
        <v>402260</v>
      </c>
      <c r="F40" s="4">
        <v>361085</v>
      </c>
      <c r="G40" s="4">
        <v>349599</v>
      </c>
      <c r="H40" s="4">
        <v>318141</v>
      </c>
      <c r="I40" s="4">
        <v>339205</v>
      </c>
      <c r="J40" s="4">
        <v>332599</v>
      </c>
      <c r="K40" s="4">
        <v>311491</v>
      </c>
      <c r="L40" s="4">
        <v>298666</v>
      </c>
      <c r="M40" s="4">
        <v>273200</v>
      </c>
      <c r="N40" s="4">
        <v>268802</v>
      </c>
      <c r="O40" s="4">
        <v>296652</v>
      </c>
      <c r="P40" s="4">
        <v>306441</v>
      </c>
      <c r="Q40" s="4">
        <v>329190</v>
      </c>
      <c r="R40" s="4">
        <v>296885</v>
      </c>
      <c r="S40" s="4">
        <v>316027</v>
      </c>
      <c r="T40" s="4">
        <v>293472</v>
      </c>
      <c r="U40" s="5">
        <v>306159</v>
      </c>
      <c r="V40" s="5">
        <v>308620</v>
      </c>
      <c r="W40" s="5">
        <v>311016</v>
      </c>
      <c r="X40" s="190">
        <v>321589</v>
      </c>
      <c r="Y40" s="190">
        <v>298051</v>
      </c>
      <c r="Z40" s="190"/>
      <c r="AA40" s="190"/>
    </row>
    <row r="41" spans="1:27" ht="18.75" customHeight="1" x14ac:dyDescent="0.2">
      <c r="A41" s="137"/>
      <c r="B41" s="138" t="s">
        <v>70</v>
      </c>
      <c r="C41" t="s">
        <v>32</v>
      </c>
      <c r="D41" s="139">
        <v>197855700</v>
      </c>
      <c r="E41" s="139">
        <v>80871600</v>
      </c>
      <c r="F41" s="139">
        <v>90632300</v>
      </c>
      <c r="G41" s="139">
        <v>78819000</v>
      </c>
      <c r="H41" s="139">
        <v>81460000</v>
      </c>
      <c r="I41" s="139">
        <v>79296461</v>
      </c>
      <c r="J41" s="139">
        <v>85433380</v>
      </c>
      <c r="K41" s="139">
        <v>72001899</v>
      </c>
      <c r="L41" s="139">
        <v>60530252</v>
      </c>
      <c r="M41" s="139">
        <v>85030158</v>
      </c>
      <c r="N41" s="139">
        <v>46133063</v>
      </c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</row>
    <row r="42" spans="1:27" ht="18.75" customHeight="1" x14ac:dyDescent="0.2">
      <c r="A42" s="206"/>
      <c r="B42" s="207"/>
      <c r="C42" s="207"/>
      <c r="D42" s="207"/>
      <c r="E42" s="207"/>
      <c r="F42" s="207"/>
      <c r="G42" s="207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207"/>
    </row>
    <row r="43" spans="1:27" ht="21.75" customHeight="1" x14ac:dyDescent="0.2">
      <c r="A43" s="15"/>
      <c r="B43" s="6" t="s">
        <v>71</v>
      </c>
      <c r="C43" s="7" t="s">
        <v>45</v>
      </c>
      <c r="D43" s="4">
        <v>1644</v>
      </c>
      <c r="E43" s="4">
        <v>710</v>
      </c>
      <c r="F43" s="4">
        <v>809</v>
      </c>
      <c r="G43" s="4">
        <v>805</v>
      </c>
      <c r="H43" s="4">
        <v>803</v>
      </c>
      <c r="I43" s="4">
        <v>800</v>
      </c>
      <c r="J43" s="4">
        <v>862</v>
      </c>
      <c r="K43" s="4">
        <v>768</v>
      </c>
      <c r="L43" s="4">
        <v>770</v>
      </c>
      <c r="M43" s="4">
        <v>994</v>
      </c>
      <c r="N43" s="4">
        <v>1124</v>
      </c>
      <c r="O43" s="4">
        <v>1236</v>
      </c>
      <c r="P43" s="4">
        <v>1432</v>
      </c>
      <c r="Q43" s="4">
        <v>1365</v>
      </c>
      <c r="R43" s="4">
        <v>809</v>
      </c>
      <c r="S43" s="4">
        <v>745</v>
      </c>
      <c r="T43" s="4">
        <v>640</v>
      </c>
      <c r="U43" s="8">
        <v>588</v>
      </c>
      <c r="V43" s="8">
        <v>640</v>
      </c>
      <c r="W43" s="8">
        <v>527</v>
      </c>
      <c r="X43" s="193">
        <v>486</v>
      </c>
      <c r="Y43" s="193">
        <v>347</v>
      </c>
      <c r="Z43" s="193"/>
      <c r="AA43" s="193"/>
    </row>
    <row r="44" spans="1:27" ht="21.75" customHeight="1" x14ac:dyDescent="0.2">
      <c r="A44" s="15"/>
      <c r="B44" s="10" t="s">
        <v>72</v>
      </c>
      <c r="C44" s="3" t="s">
        <v>36</v>
      </c>
      <c r="D44" s="4">
        <v>449729</v>
      </c>
      <c r="E44" s="4">
        <v>445358</v>
      </c>
      <c r="F44" s="4">
        <v>383012</v>
      </c>
      <c r="G44" s="4">
        <v>373856</v>
      </c>
      <c r="H44" s="4">
        <v>328767</v>
      </c>
      <c r="I44" s="4">
        <v>373397</v>
      </c>
      <c r="J44" s="4">
        <v>370860</v>
      </c>
      <c r="K44" s="4">
        <v>349367</v>
      </c>
      <c r="L44" s="4">
        <v>315943</v>
      </c>
      <c r="M44" s="4">
        <v>313350</v>
      </c>
      <c r="N44" s="4">
        <v>299471</v>
      </c>
      <c r="O44" s="4">
        <v>331818</v>
      </c>
      <c r="P44" s="4">
        <v>328741</v>
      </c>
      <c r="Q44" s="4">
        <v>354289</v>
      </c>
      <c r="R44" s="4">
        <v>321968</v>
      </c>
      <c r="S44" s="4">
        <v>334688</v>
      </c>
      <c r="T44" s="4">
        <v>308833</v>
      </c>
      <c r="U44" s="8">
        <v>340315</v>
      </c>
      <c r="V44" s="8">
        <v>318946</v>
      </c>
      <c r="W44" s="8">
        <v>338511</v>
      </c>
      <c r="X44" s="193">
        <v>372095</v>
      </c>
      <c r="Y44" s="193">
        <v>312752</v>
      </c>
      <c r="Z44" s="193"/>
      <c r="AA44" s="193"/>
    </row>
    <row r="45" spans="1:27" ht="21.75" customHeight="1" x14ac:dyDescent="0.2">
      <c r="A45" s="15"/>
      <c r="B45" s="6" t="s">
        <v>47</v>
      </c>
      <c r="C45" s="7" t="s">
        <v>40</v>
      </c>
      <c r="D45" s="134">
        <v>150</v>
      </c>
      <c r="E45" s="134">
        <v>97</v>
      </c>
      <c r="F45" s="134">
        <v>131</v>
      </c>
      <c r="G45" s="134">
        <v>78</v>
      </c>
      <c r="H45" s="134">
        <v>88</v>
      </c>
      <c r="I45" s="134">
        <v>100</v>
      </c>
      <c r="J45" s="134">
        <v>103</v>
      </c>
      <c r="K45" s="134">
        <v>118</v>
      </c>
      <c r="L45" s="134">
        <v>98</v>
      </c>
      <c r="M45" s="134">
        <v>132</v>
      </c>
      <c r="N45" s="134">
        <v>146</v>
      </c>
      <c r="O45" s="134">
        <v>181</v>
      </c>
      <c r="P45" s="134">
        <v>199</v>
      </c>
      <c r="Q45" s="134">
        <v>201</v>
      </c>
      <c r="R45" s="134">
        <v>143</v>
      </c>
      <c r="S45" s="134">
        <v>150</v>
      </c>
      <c r="T45" s="134">
        <v>98</v>
      </c>
      <c r="U45" s="40">
        <v>85</v>
      </c>
      <c r="V45" s="40">
        <v>83</v>
      </c>
      <c r="W45" s="40">
        <v>60</v>
      </c>
      <c r="X45" s="198">
        <v>59</v>
      </c>
      <c r="Y45" s="198">
        <v>51</v>
      </c>
      <c r="Z45" s="198"/>
      <c r="AA45" s="198"/>
    </row>
    <row r="46" spans="1:27" ht="21.75" customHeight="1" x14ac:dyDescent="0.2">
      <c r="A46" s="15"/>
      <c r="B46" s="2" t="s">
        <v>48</v>
      </c>
      <c r="C46" s="3" t="s">
        <v>40</v>
      </c>
      <c r="D46" s="134">
        <v>72</v>
      </c>
      <c r="E46" s="134">
        <v>51</v>
      </c>
      <c r="F46" s="134">
        <v>39</v>
      </c>
      <c r="G46" s="134">
        <v>46</v>
      </c>
      <c r="H46" s="134">
        <v>39</v>
      </c>
      <c r="I46" s="134">
        <v>53</v>
      </c>
      <c r="J46" s="134">
        <v>59</v>
      </c>
      <c r="K46" s="134">
        <v>68</v>
      </c>
      <c r="L46" s="134">
        <v>56</v>
      </c>
      <c r="M46" s="134">
        <v>71</v>
      </c>
      <c r="N46" s="134">
        <v>83</v>
      </c>
      <c r="O46" s="134">
        <v>97</v>
      </c>
      <c r="P46" s="134">
        <v>113</v>
      </c>
      <c r="Q46" s="134">
        <v>79</v>
      </c>
      <c r="R46" s="134">
        <v>64</v>
      </c>
      <c r="S46" s="134">
        <v>69</v>
      </c>
      <c r="T46" s="134">
        <v>56</v>
      </c>
      <c r="U46" s="40">
        <v>44</v>
      </c>
      <c r="V46" s="40">
        <v>36</v>
      </c>
      <c r="W46" s="40">
        <v>34</v>
      </c>
      <c r="X46" s="198">
        <v>28</v>
      </c>
      <c r="Y46" s="198">
        <v>22</v>
      </c>
      <c r="Z46" s="198"/>
      <c r="AA46" s="198"/>
    </row>
    <row r="47" spans="1:27" ht="18.75" customHeight="1" x14ac:dyDescent="0.2">
      <c r="A47" s="200" t="s">
        <v>49</v>
      </c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</row>
    <row r="48" spans="1:27" ht="21.75" customHeight="1" x14ac:dyDescent="0.2">
      <c r="A48" s="15"/>
      <c r="B48" s="2" t="s">
        <v>73</v>
      </c>
      <c r="C48" s="3" t="s">
        <v>45</v>
      </c>
      <c r="D48" s="4">
        <v>701</v>
      </c>
      <c r="E48" s="4">
        <v>371</v>
      </c>
      <c r="F48" s="4">
        <v>526</v>
      </c>
      <c r="G48" s="4">
        <v>500</v>
      </c>
      <c r="H48" s="4">
        <v>542</v>
      </c>
      <c r="I48" s="4">
        <v>590</v>
      </c>
      <c r="J48" s="4">
        <v>625</v>
      </c>
      <c r="K48" s="4">
        <v>631</v>
      </c>
      <c r="L48" s="4">
        <v>533</v>
      </c>
      <c r="M48" s="4">
        <v>714</v>
      </c>
      <c r="N48" s="4">
        <v>825</v>
      </c>
      <c r="O48" s="4">
        <v>1026</v>
      </c>
      <c r="P48" s="4">
        <v>1165</v>
      </c>
      <c r="Q48" s="4">
        <v>1206</v>
      </c>
      <c r="R48" s="4">
        <v>782</v>
      </c>
      <c r="S48" s="4">
        <v>871</v>
      </c>
      <c r="T48" s="4">
        <v>835</v>
      </c>
      <c r="U48" s="8">
        <v>845</v>
      </c>
      <c r="V48" s="8">
        <v>826</v>
      </c>
      <c r="W48" s="193">
        <v>791</v>
      </c>
      <c r="X48" s="193">
        <v>676</v>
      </c>
      <c r="Y48" s="193">
        <v>553</v>
      </c>
      <c r="Z48" s="193"/>
      <c r="AA48" s="193"/>
    </row>
    <row r="49" spans="1:27" ht="21.75" customHeight="1" x14ac:dyDescent="0.2">
      <c r="A49" s="15"/>
      <c r="B49" s="12" t="s">
        <v>74</v>
      </c>
      <c r="C49" s="7" t="s">
        <v>36</v>
      </c>
      <c r="D49" s="4">
        <v>502425</v>
      </c>
      <c r="E49" s="4">
        <v>494348</v>
      </c>
      <c r="F49" s="4">
        <v>489367</v>
      </c>
      <c r="G49" s="4">
        <v>455280</v>
      </c>
      <c r="H49" s="4">
        <v>432119</v>
      </c>
      <c r="I49" s="4">
        <v>414727</v>
      </c>
      <c r="J49" s="4">
        <v>420852</v>
      </c>
      <c r="K49" s="4">
        <v>385841</v>
      </c>
      <c r="L49" s="4">
        <v>389699</v>
      </c>
      <c r="M49" s="4">
        <v>352375</v>
      </c>
      <c r="N49" s="4">
        <v>340076</v>
      </c>
      <c r="O49" s="4">
        <v>378038</v>
      </c>
      <c r="P49" s="4">
        <v>390295</v>
      </c>
      <c r="Q49" s="4">
        <v>404234</v>
      </c>
      <c r="R49" s="4">
        <v>369644</v>
      </c>
      <c r="S49" s="4">
        <v>382429</v>
      </c>
      <c r="T49" s="4">
        <v>367104</v>
      </c>
      <c r="U49" s="8">
        <v>368985</v>
      </c>
      <c r="V49" s="8">
        <v>397390</v>
      </c>
      <c r="W49" s="193">
        <v>380772</v>
      </c>
      <c r="X49" s="193">
        <v>400879</v>
      </c>
      <c r="Y49" s="193">
        <v>383823</v>
      </c>
      <c r="Z49" s="193"/>
      <c r="AA49" s="193"/>
    </row>
    <row r="50" spans="1:27" ht="21.75" customHeight="1" x14ac:dyDescent="0.2">
      <c r="A50" s="15"/>
      <c r="B50" s="2" t="s">
        <v>75</v>
      </c>
      <c r="C50" s="3" t="s">
        <v>40</v>
      </c>
      <c r="D50" s="11">
        <v>0.2989</v>
      </c>
      <c r="E50" s="11">
        <v>0.34320000000000001</v>
      </c>
      <c r="F50" s="11">
        <v>0.39400000000000002</v>
      </c>
      <c r="G50" s="11">
        <v>0.3831</v>
      </c>
      <c r="H50" s="11">
        <v>0.40300000000000002</v>
      </c>
      <c r="I50" s="11">
        <v>0.42449999999999999</v>
      </c>
      <c r="J50" s="11">
        <v>0.42030000000000001</v>
      </c>
      <c r="K50" s="11">
        <v>0.45100000000000001</v>
      </c>
      <c r="L50" s="11">
        <v>0.40910000000000002</v>
      </c>
      <c r="M50" s="11">
        <v>0.41799999999999998</v>
      </c>
      <c r="N50" s="11">
        <v>0.42330000000000001</v>
      </c>
      <c r="O50" s="11">
        <v>0.4536</v>
      </c>
      <c r="P50" s="11">
        <v>0.4486</v>
      </c>
      <c r="Q50" s="11">
        <v>0.46910000000000002</v>
      </c>
      <c r="R50" s="11">
        <v>0.49149999999999999</v>
      </c>
      <c r="S50" s="11">
        <v>0.53900000000000003</v>
      </c>
      <c r="T50" s="11">
        <v>0.56610000000000005</v>
      </c>
      <c r="U50" s="9">
        <v>0.5897</v>
      </c>
      <c r="V50" s="9">
        <v>0.56340000000000001</v>
      </c>
      <c r="W50" s="199">
        <v>0.60019999999999996</v>
      </c>
      <c r="X50" s="199">
        <v>0.58179999999999998</v>
      </c>
      <c r="Y50" s="199">
        <v>0.61439999999999995</v>
      </c>
      <c r="Z50" s="199"/>
      <c r="AA50" s="199"/>
    </row>
    <row r="51" spans="1:27" ht="21.75" customHeight="1" x14ac:dyDescent="0.2">
      <c r="A51" s="15"/>
      <c r="B51" s="12" t="s">
        <v>53</v>
      </c>
      <c r="C51" s="7" t="s">
        <v>45</v>
      </c>
      <c r="D51" s="4">
        <v>77</v>
      </c>
      <c r="E51" s="4">
        <v>66</v>
      </c>
      <c r="F51" s="4">
        <v>50</v>
      </c>
      <c r="G51" s="4">
        <v>58</v>
      </c>
      <c r="H51" s="4">
        <v>68</v>
      </c>
      <c r="I51" s="4">
        <v>81</v>
      </c>
      <c r="J51" s="4">
        <v>84</v>
      </c>
      <c r="K51" s="4">
        <v>99</v>
      </c>
      <c r="L51" s="4">
        <v>78</v>
      </c>
      <c r="M51" s="4">
        <v>91</v>
      </c>
      <c r="N51" s="4">
        <v>93</v>
      </c>
      <c r="O51" s="4">
        <v>135</v>
      </c>
      <c r="P51" s="4">
        <v>159</v>
      </c>
      <c r="Q51" s="4">
        <v>204</v>
      </c>
      <c r="R51" s="4">
        <v>85</v>
      </c>
      <c r="S51" s="4">
        <v>109</v>
      </c>
      <c r="T51" s="4">
        <v>93</v>
      </c>
      <c r="U51" s="8">
        <v>168</v>
      </c>
      <c r="V51" s="8">
        <v>181</v>
      </c>
      <c r="W51" s="193">
        <v>174</v>
      </c>
      <c r="X51" s="193">
        <v>125</v>
      </c>
      <c r="Y51" s="193">
        <v>92</v>
      </c>
      <c r="Z51" s="193"/>
      <c r="AA51" s="193"/>
    </row>
    <row r="52" spans="1:27" ht="21.75" customHeight="1" x14ac:dyDescent="0.2">
      <c r="A52" s="15"/>
      <c r="B52" s="10" t="s">
        <v>54</v>
      </c>
      <c r="C52" s="3" t="s">
        <v>36</v>
      </c>
      <c r="D52" s="4">
        <v>772562</v>
      </c>
      <c r="E52" s="4">
        <v>626734</v>
      </c>
      <c r="F52" s="4">
        <v>343740</v>
      </c>
      <c r="G52" s="4">
        <v>474534</v>
      </c>
      <c r="H52" s="4">
        <v>377264</v>
      </c>
      <c r="I52" s="4">
        <v>320401</v>
      </c>
      <c r="J52" s="4">
        <v>432409</v>
      </c>
      <c r="K52" s="4">
        <v>483220</v>
      </c>
      <c r="L52" s="4">
        <v>422123</v>
      </c>
      <c r="M52" s="4">
        <v>482900</v>
      </c>
      <c r="N52" s="4">
        <v>354030</v>
      </c>
      <c r="O52" s="4">
        <v>400730</v>
      </c>
      <c r="P52" s="4">
        <v>414917</v>
      </c>
      <c r="Q52" s="4">
        <v>333905</v>
      </c>
      <c r="R52" s="4">
        <v>462217</v>
      </c>
      <c r="S52" s="4">
        <v>422537</v>
      </c>
      <c r="T52" s="4">
        <v>349056</v>
      </c>
      <c r="U52" s="8">
        <v>306908</v>
      </c>
      <c r="V52" s="8">
        <v>314399</v>
      </c>
      <c r="W52" s="193">
        <v>500388</v>
      </c>
      <c r="X52" s="193">
        <v>526821</v>
      </c>
      <c r="Y52" s="193">
        <v>534667</v>
      </c>
      <c r="Z52" s="193"/>
      <c r="AA52" s="193"/>
    </row>
    <row r="53" spans="1:27" ht="21.75" customHeight="1" x14ac:dyDescent="0.2">
      <c r="A53" s="15"/>
      <c r="B53" s="12" t="s">
        <v>55</v>
      </c>
      <c r="C53" s="7" t="s">
        <v>45</v>
      </c>
      <c r="D53" s="4">
        <v>286</v>
      </c>
      <c r="E53" s="4">
        <v>146</v>
      </c>
      <c r="F53" s="4">
        <v>234</v>
      </c>
      <c r="G53" s="4">
        <v>191</v>
      </c>
      <c r="H53" s="4">
        <v>182</v>
      </c>
      <c r="I53" s="4">
        <v>173</v>
      </c>
      <c r="J53" s="4">
        <v>203</v>
      </c>
      <c r="K53" s="4">
        <v>220</v>
      </c>
      <c r="L53" s="4">
        <v>198</v>
      </c>
      <c r="M53" s="4">
        <v>243</v>
      </c>
      <c r="N53" s="4">
        <v>287</v>
      </c>
      <c r="O53" s="4">
        <v>341</v>
      </c>
      <c r="P53" s="4">
        <v>406</v>
      </c>
      <c r="Q53" s="4">
        <v>413</v>
      </c>
      <c r="R53" s="4">
        <v>344</v>
      </c>
      <c r="S53" s="4">
        <v>359</v>
      </c>
      <c r="T53" s="4">
        <v>275</v>
      </c>
      <c r="U53" s="8">
        <v>252</v>
      </c>
      <c r="V53" s="8">
        <v>229</v>
      </c>
      <c r="W53" s="193">
        <v>223</v>
      </c>
      <c r="X53" s="193">
        <v>187</v>
      </c>
      <c r="Y53" s="193">
        <v>172</v>
      </c>
      <c r="Z53" s="193"/>
      <c r="AA53" s="193"/>
    </row>
    <row r="54" spans="1:27" ht="21.75" customHeight="1" x14ac:dyDescent="0.2">
      <c r="A54" s="15"/>
      <c r="B54" s="10" t="s">
        <v>54</v>
      </c>
      <c r="C54" s="3" t="s">
        <v>36</v>
      </c>
      <c r="D54" s="4">
        <v>448317</v>
      </c>
      <c r="E54" s="4">
        <v>416325</v>
      </c>
      <c r="F54" s="4">
        <v>430083</v>
      </c>
      <c r="G54" s="4">
        <v>413732</v>
      </c>
      <c r="H54" s="4">
        <v>349670</v>
      </c>
      <c r="I54" s="4">
        <v>328541</v>
      </c>
      <c r="J54" s="4">
        <v>341310</v>
      </c>
      <c r="K54" s="4">
        <v>328074</v>
      </c>
      <c r="L54" s="4">
        <v>336192</v>
      </c>
      <c r="M54" s="4">
        <v>304778</v>
      </c>
      <c r="N54" s="4">
        <v>282490</v>
      </c>
      <c r="O54" s="4">
        <v>326296</v>
      </c>
      <c r="P54" s="4">
        <v>340607</v>
      </c>
      <c r="Q54" s="4">
        <v>359946</v>
      </c>
      <c r="R54" s="4">
        <v>311915</v>
      </c>
      <c r="S54" s="4">
        <v>336999</v>
      </c>
      <c r="T54" s="4">
        <v>339629</v>
      </c>
      <c r="U54" s="8">
        <v>329485</v>
      </c>
      <c r="V54" s="8">
        <v>330301</v>
      </c>
      <c r="W54" s="193">
        <v>369027</v>
      </c>
      <c r="X54" s="193">
        <v>374974</v>
      </c>
      <c r="Y54" s="193">
        <v>321250</v>
      </c>
      <c r="Z54" s="193"/>
      <c r="AA54" s="193"/>
    </row>
    <row r="55" spans="1:27" ht="21.75" customHeight="1" x14ac:dyDescent="0.2">
      <c r="A55" s="15"/>
      <c r="B55" s="12" t="s">
        <v>56</v>
      </c>
      <c r="C55" s="7" t="s">
        <v>45</v>
      </c>
      <c r="D55" s="4">
        <v>335</v>
      </c>
      <c r="E55" s="4">
        <v>148</v>
      </c>
      <c r="F55" s="4">
        <v>233</v>
      </c>
      <c r="G55" s="4">
        <v>241</v>
      </c>
      <c r="H55" s="4">
        <v>272</v>
      </c>
      <c r="I55" s="4">
        <v>317</v>
      </c>
      <c r="J55" s="4">
        <v>319</v>
      </c>
      <c r="K55" s="4">
        <v>296</v>
      </c>
      <c r="L55" s="4">
        <v>245</v>
      </c>
      <c r="M55" s="4">
        <v>353</v>
      </c>
      <c r="N55" s="4">
        <v>417</v>
      </c>
      <c r="O55" s="4">
        <v>506</v>
      </c>
      <c r="P55" s="4">
        <v>543</v>
      </c>
      <c r="Q55" s="4">
        <v>571</v>
      </c>
      <c r="R55" s="4">
        <v>335</v>
      </c>
      <c r="S55" s="4">
        <v>393</v>
      </c>
      <c r="T55" s="4">
        <v>441</v>
      </c>
      <c r="U55" s="8">
        <v>398</v>
      </c>
      <c r="V55" s="8">
        <v>391</v>
      </c>
      <c r="W55" s="193">
        <v>394</v>
      </c>
      <c r="X55" s="193">
        <v>319</v>
      </c>
      <c r="Y55" s="193">
        <v>289</v>
      </c>
      <c r="Z55" s="193"/>
      <c r="AA55" s="193"/>
    </row>
    <row r="56" spans="1:27" ht="21.75" customHeight="1" x14ac:dyDescent="0.2">
      <c r="A56" s="15"/>
      <c r="B56" s="10" t="s">
        <v>54</v>
      </c>
      <c r="C56" s="3" t="s">
        <v>36</v>
      </c>
      <c r="D56" s="4">
        <v>487036</v>
      </c>
      <c r="E56" s="4">
        <v>511400</v>
      </c>
      <c r="F56" s="4">
        <v>493220</v>
      </c>
      <c r="G56" s="4">
        <v>426108</v>
      </c>
      <c r="H56" s="4">
        <v>429441</v>
      </c>
      <c r="I56" s="4">
        <v>428227</v>
      </c>
      <c r="J56" s="4">
        <v>402582</v>
      </c>
      <c r="K56" s="4">
        <v>389444</v>
      </c>
      <c r="L56" s="4">
        <v>366995</v>
      </c>
      <c r="M56" s="4">
        <v>354100</v>
      </c>
      <c r="N56" s="4">
        <v>329327</v>
      </c>
      <c r="O56" s="4">
        <v>356382</v>
      </c>
      <c r="P56" s="4">
        <v>369487</v>
      </c>
      <c r="Q56" s="4">
        <v>393484</v>
      </c>
      <c r="R56" s="4">
        <v>346001</v>
      </c>
      <c r="S56" s="4">
        <v>373400</v>
      </c>
      <c r="T56" s="4">
        <v>335357</v>
      </c>
      <c r="U56" s="8">
        <v>336422</v>
      </c>
      <c r="V56" s="8">
        <v>354566</v>
      </c>
      <c r="W56" s="193">
        <v>334595</v>
      </c>
      <c r="X56" s="193">
        <v>362945</v>
      </c>
      <c r="Y56" s="193">
        <v>373044</v>
      </c>
      <c r="Z56" s="193"/>
      <c r="AA56" s="193"/>
    </row>
    <row r="57" spans="1:27" ht="18.75" customHeight="1" x14ac:dyDescent="0.2">
      <c r="A57" s="200" t="s">
        <v>57</v>
      </c>
      <c r="B57" s="201"/>
      <c r="C57" s="201"/>
      <c r="D57" s="201"/>
      <c r="E57" s="201"/>
      <c r="F57" s="201"/>
      <c r="G57" s="201"/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1"/>
    </row>
    <row r="58" spans="1:27" ht="21.75" customHeight="1" x14ac:dyDescent="0.2">
      <c r="A58" s="15"/>
      <c r="B58" s="2" t="s">
        <v>76</v>
      </c>
      <c r="C58" s="3" t="s">
        <v>45</v>
      </c>
      <c r="D58" s="4">
        <v>543</v>
      </c>
      <c r="E58" s="4">
        <v>294</v>
      </c>
      <c r="F58" s="4">
        <v>396</v>
      </c>
      <c r="G58" s="4">
        <v>411</v>
      </c>
      <c r="H58" s="4">
        <v>432</v>
      </c>
      <c r="I58" s="4">
        <v>486</v>
      </c>
      <c r="J58" s="4">
        <v>492</v>
      </c>
      <c r="K58" s="4">
        <v>515</v>
      </c>
      <c r="L58" s="4">
        <v>419</v>
      </c>
      <c r="M58" s="4">
        <v>562</v>
      </c>
      <c r="N58" s="4">
        <v>630</v>
      </c>
      <c r="O58" s="4">
        <v>798</v>
      </c>
      <c r="P58" s="4">
        <v>862</v>
      </c>
      <c r="Q58" s="4">
        <v>878</v>
      </c>
      <c r="R58" s="4">
        <v>595</v>
      </c>
      <c r="S58" s="4">
        <v>677</v>
      </c>
      <c r="T58" s="4">
        <v>621</v>
      </c>
      <c r="U58" s="193">
        <v>642</v>
      </c>
      <c r="V58" s="193">
        <v>624</v>
      </c>
      <c r="W58" s="193">
        <v>599</v>
      </c>
      <c r="X58" s="193">
        <v>513</v>
      </c>
      <c r="Y58" s="193">
        <v>386</v>
      </c>
      <c r="Z58" s="193"/>
      <c r="AA58" s="193"/>
    </row>
    <row r="59" spans="1:27" ht="21.75" customHeight="1" x14ac:dyDescent="0.2">
      <c r="A59" s="15"/>
      <c r="B59" s="12" t="s">
        <v>59</v>
      </c>
      <c r="C59" s="7" t="s">
        <v>36</v>
      </c>
      <c r="D59" s="4">
        <v>522589</v>
      </c>
      <c r="E59" s="4">
        <v>506436</v>
      </c>
      <c r="F59" s="4">
        <v>511349</v>
      </c>
      <c r="G59" s="4">
        <v>465799</v>
      </c>
      <c r="H59" s="4">
        <v>448520</v>
      </c>
      <c r="I59" s="4">
        <v>438740</v>
      </c>
      <c r="J59" s="4">
        <v>437617</v>
      </c>
      <c r="K59" s="4">
        <v>404388</v>
      </c>
      <c r="L59" s="4">
        <v>414450</v>
      </c>
      <c r="M59" s="4">
        <v>370627</v>
      </c>
      <c r="N59" s="4">
        <v>356899</v>
      </c>
      <c r="O59" s="4">
        <v>403118</v>
      </c>
      <c r="P59" s="4">
        <v>412354</v>
      </c>
      <c r="Q59" s="4">
        <v>425525</v>
      </c>
      <c r="R59" s="4">
        <v>382619</v>
      </c>
      <c r="S59" s="4">
        <v>400449</v>
      </c>
      <c r="T59" s="4">
        <v>391955</v>
      </c>
      <c r="U59" s="193">
        <v>390952</v>
      </c>
      <c r="V59" s="193">
        <v>421658</v>
      </c>
      <c r="W59" s="193">
        <v>404393</v>
      </c>
      <c r="X59" s="193">
        <v>435451</v>
      </c>
      <c r="Y59" s="193">
        <v>415947</v>
      </c>
      <c r="Z59" s="193"/>
      <c r="AA59" s="193"/>
    </row>
    <row r="60" spans="1:27" ht="21.75" customHeight="1" x14ac:dyDescent="0.2">
      <c r="A60" s="15"/>
      <c r="B60" s="2" t="s">
        <v>77</v>
      </c>
      <c r="C60" s="3" t="s">
        <v>61</v>
      </c>
      <c r="D60" s="4">
        <v>1833851</v>
      </c>
      <c r="E60" s="4">
        <v>1804370</v>
      </c>
      <c r="F60" s="4">
        <v>1786190</v>
      </c>
      <c r="G60" s="4">
        <v>1661772</v>
      </c>
      <c r="H60" s="4">
        <v>1577234</v>
      </c>
      <c r="I60" s="4">
        <v>1513754</v>
      </c>
      <c r="J60" s="4">
        <v>1536110</v>
      </c>
      <c r="K60" s="4">
        <v>1408320</v>
      </c>
      <c r="L60" s="4">
        <v>1422401</v>
      </c>
      <c r="M60" s="4">
        <v>1286169</v>
      </c>
      <c r="N60" s="4">
        <v>1241277</v>
      </c>
      <c r="O60" s="4">
        <v>1379839</v>
      </c>
      <c r="P60" s="4">
        <v>1424577</v>
      </c>
      <c r="Q60" s="4">
        <v>1475454</v>
      </c>
      <c r="R60" s="4">
        <v>1349201</v>
      </c>
      <c r="S60" s="4">
        <v>1395866</v>
      </c>
      <c r="T60" s="4">
        <v>1339930</v>
      </c>
      <c r="U60" s="193">
        <v>1346795</v>
      </c>
      <c r="V60" s="193">
        <v>1450474</v>
      </c>
      <c r="W60" s="193">
        <v>1389818</v>
      </c>
      <c r="X60" s="193">
        <v>1463208</v>
      </c>
      <c r="Y60" s="193">
        <v>1400954</v>
      </c>
      <c r="Z60" s="193"/>
      <c r="AA60" s="193"/>
    </row>
    <row r="61" spans="1:27" ht="49.5" customHeight="1" x14ac:dyDescent="0.2">
      <c r="A61" s="13" t="s">
        <v>78</v>
      </c>
      <c r="Y61" s="140"/>
      <c r="Z61" s="140"/>
      <c r="AA61" s="140"/>
    </row>
    <row r="62" spans="1:27" ht="33" customHeight="1" x14ac:dyDescent="0.2">
      <c r="A62" s="14" t="s">
        <v>79</v>
      </c>
      <c r="Y62" s="140"/>
      <c r="Z62" s="140"/>
      <c r="AA62" s="140"/>
    </row>
    <row r="63" spans="1:27" ht="21.75" customHeight="1" x14ac:dyDescent="0.2">
      <c r="A63" s="15"/>
      <c r="B63" s="6" t="s">
        <v>80</v>
      </c>
      <c r="C63" s="7" t="s">
        <v>32</v>
      </c>
      <c r="D63" s="4">
        <v>87240654</v>
      </c>
      <c r="E63" s="4">
        <v>65243000</v>
      </c>
      <c r="F63" s="4">
        <v>62782000</v>
      </c>
      <c r="G63" s="4">
        <v>43304000</v>
      </c>
      <c r="H63" s="4">
        <v>39079544</v>
      </c>
      <c r="I63" s="4">
        <v>52499000</v>
      </c>
      <c r="J63" s="4">
        <v>22881034</v>
      </c>
      <c r="K63" s="4">
        <v>51224832</v>
      </c>
      <c r="L63" s="4">
        <v>34352665</v>
      </c>
      <c r="M63" s="4">
        <v>77261699</v>
      </c>
      <c r="N63" s="4">
        <v>130425056</v>
      </c>
      <c r="O63" s="4">
        <v>122721120</v>
      </c>
      <c r="P63" s="4">
        <v>61484513</v>
      </c>
      <c r="Q63" s="4">
        <v>56922457</v>
      </c>
      <c r="R63" s="4">
        <v>63782621</v>
      </c>
      <c r="S63" s="4">
        <v>29806251</v>
      </c>
      <c r="T63" s="4">
        <v>22615042</v>
      </c>
      <c r="U63" s="5">
        <v>27162334</v>
      </c>
      <c r="V63" s="5">
        <v>40164072</v>
      </c>
      <c r="W63" s="208">
        <v>30530917</v>
      </c>
      <c r="X63" s="190">
        <v>17388002</v>
      </c>
      <c r="Y63" s="190">
        <v>6970726</v>
      </c>
      <c r="Z63" s="190"/>
      <c r="AA63" s="190"/>
    </row>
    <row r="64" spans="1:27" ht="21.75" customHeight="1" x14ac:dyDescent="0.2">
      <c r="A64" s="15"/>
      <c r="B64" s="6" t="s">
        <v>81</v>
      </c>
      <c r="C64" s="7" t="s">
        <v>40</v>
      </c>
      <c r="D64" s="11">
        <v>2.76E-2</v>
      </c>
      <c r="E64" s="11">
        <v>3.8600000000000002E-2</v>
      </c>
      <c r="F64" s="11">
        <v>3.3399999999999999E-2</v>
      </c>
      <c r="G64" s="11">
        <v>2.5899999999999999E-2</v>
      </c>
      <c r="H64" s="11">
        <v>2.41E-2</v>
      </c>
      <c r="I64" s="11">
        <v>3.3700000000000001E-2</v>
      </c>
      <c r="J64" s="11">
        <v>1.3899999999999999E-2</v>
      </c>
      <c r="K64" s="11">
        <v>3.0800000000000001E-2</v>
      </c>
      <c r="L64" s="11">
        <v>2.5100000000000001E-2</v>
      </c>
      <c r="M64" s="11">
        <v>4.6199999999999998E-2</v>
      </c>
      <c r="N64" s="11">
        <v>6.3799999999999996E-2</v>
      </c>
      <c r="O64" s="11">
        <v>5.2999999999999999E-2</v>
      </c>
      <c r="P64" s="11">
        <v>2.3099999999999999E-2</v>
      </c>
      <c r="Q64" s="11">
        <v>2.4E-2</v>
      </c>
      <c r="R64" s="11">
        <v>3.5400000000000001E-2</v>
      </c>
      <c r="S64" s="11">
        <v>1.7100000000000001E-2</v>
      </c>
      <c r="T64" s="11">
        <v>1.4E-2</v>
      </c>
      <c r="U64" s="16">
        <v>1.7000000000000001E-2</v>
      </c>
      <c r="V64" s="16">
        <v>2.3313380602290611E-2</v>
      </c>
      <c r="W64" s="209">
        <v>1.8781108525479821E-2</v>
      </c>
      <c r="X64" s="211">
        <v>1.201E-2</v>
      </c>
      <c r="Y64" s="212">
        <v>7.3359999999999996E-3</v>
      </c>
      <c r="Z64" s="212"/>
      <c r="AA64" s="212"/>
    </row>
    <row r="65" spans="1:27" ht="21.75" customHeight="1" x14ac:dyDescent="0.2"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213"/>
      <c r="Y65" s="184"/>
      <c r="Z65" s="184"/>
      <c r="AA65" s="184"/>
    </row>
    <row r="66" spans="1:27" ht="21.75" customHeight="1" x14ac:dyDescent="0.2">
      <c r="A66" s="17" t="s">
        <v>82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10"/>
      <c r="Y66" s="141"/>
      <c r="Z66" s="141"/>
      <c r="AA66" s="141"/>
    </row>
    <row r="67" spans="1:27" ht="21.75" customHeight="1" x14ac:dyDescent="0.2">
      <c r="A67" s="214" t="s">
        <v>83</v>
      </c>
      <c r="B67" s="215"/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141"/>
      <c r="Z67" s="141"/>
      <c r="AA67" s="141"/>
    </row>
    <row r="68" spans="1:27" ht="21.75" customHeight="1" x14ac:dyDescent="0.2">
      <c r="A68" s="142"/>
      <c r="B68" s="191" t="s">
        <v>84</v>
      </c>
      <c r="C68" s="192" t="s">
        <v>32</v>
      </c>
      <c r="D68" s="189">
        <v>3684820724</v>
      </c>
      <c r="E68" s="189">
        <v>2051642620</v>
      </c>
      <c r="F68" s="189">
        <v>2278142827</v>
      </c>
      <c r="G68" s="189">
        <v>2153759828</v>
      </c>
      <c r="H68" s="189">
        <v>2110950962</v>
      </c>
      <c r="I68" s="189">
        <v>2028514835</v>
      </c>
      <c r="J68" s="189">
        <v>2099367808</v>
      </c>
      <c r="K68" s="189">
        <v>2036074925</v>
      </c>
      <c r="L68" s="189">
        <v>1703806103</v>
      </c>
      <c r="M68" s="189">
        <v>1967970503</v>
      </c>
      <c r="N68" s="189">
        <v>2070226814</v>
      </c>
      <c r="O68" s="189">
        <v>2342410646</v>
      </c>
      <c r="P68" s="189">
        <v>2660307528</v>
      </c>
      <c r="Q68" s="189">
        <v>2366974722</v>
      </c>
      <c r="R68" s="189">
        <v>1802685973</v>
      </c>
      <c r="S68" s="189">
        <v>1743405696</v>
      </c>
      <c r="T68" s="189">
        <v>1615046822</v>
      </c>
      <c r="U68" s="190">
        <v>1620165380</v>
      </c>
      <c r="V68" s="190">
        <v>1728908260</v>
      </c>
      <c r="W68" s="190">
        <v>1632576977</v>
      </c>
      <c r="X68" s="190">
        <v>1448314945</v>
      </c>
      <c r="Y68" s="190">
        <v>950179384</v>
      </c>
      <c r="Z68" s="190"/>
      <c r="AA68" s="190"/>
    </row>
    <row r="69" spans="1:27" ht="18.75" customHeight="1" x14ac:dyDescent="0.2">
      <c r="A69" s="144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4"/>
      <c r="Z69" s="184"/>
      <c r="AA69" s="184"/>
    </row>
    <row r="70" spans="1:27" ht="21.75" customHeight="1" x14ac:dyDescent="0.2">
      <c r="A70" s="142"/>
      <c r="B70" s="191" t="s">
        <v>85</v>
      </c>
      <c r="C70" s="192" t="s">
        <v>41</v>
      </c>
      <c r="D70" s="216">
        <v>1.091</v>
      </c>
      <c r="E70" s="216">
        <v>1.111</v>
      </c>
      <c r="F70" s="216">
        <v>1.1240000000000001</v>
      </c>
      <c r="G70" s="216">
        <v>1.1200000000000001</v>
      </c>
      <c r="H70" s="216">
        <v>1.1240000000000001</v>
      </c>
      <c r="I70" s="216">
        <v>1.113</v>
      </c>
      <c r="J70" s="216">
        <v>1.133</v>
      </c>
      <c r="K70" s="216">
        <v>1.1359999999999999</v>
      </c>
      <c r="L70" s="216">
        <v>1.121</v>
      </c>
      <c r="M70" s="216">
        <v>1.157</v>
      </c>
      <c r="N70" s="216">
        <v>1.1359999999999999</v>
      </c>
      <c r="O70" s="216">
        <v>1.1479999999999999</v>
      </c>
      <c r="P70" s="216">
        <v>1.1299999999999999</v>
      </c>
      <c r="Q70" s="216">
        <v>1.1100000000000001</v>
      </c>
      <c r="R70" s="216">
        <v>1.1339999999999999</v>
      </c>
      <c r="S70" s="216">
        <v>1.1259999999999999</v>
      </c>
      <c r="T70" s="216">
        <v>1.1379999999999999</v>
      </c>
      <c r="U70" s="195">
        <v>1.143</v>
      </c>
      <c r="V70" s="195">
        <v>1.141</v>
      </c>
      <c r="W70" s="195">
        <v>1.135</v>
      </c>
      <c r="X70" s="195">
        <v>1.1599999999999999</v>
      </c>
      <c r="Y70" s="195">
        <v>1.1279999999999999</v>
      </c>
      <c r="Z70" s="195"/>
      <c r="AA70" s="195"/>
    </row>
    <row r="71" spans="1:27" ht="21.75" customHeight="1" x14ac:dyDescent="0.2">
      <c r="A71" s="142"/>
      <c r="B71" s="187" t="s">
        <v>86</v>
      </c>
      <c r="C71" s="188" t="s">
        <v>45</v>
      </c>
      <c r="D71" s="189">
        <v>4862</v>
      </c>
      <c r="E71" s="189">
        <v>5582</v>
      </c>
      <c r="F71" s="189">
        <v>8931</v>
      </c>
      <c r="G71" s="189">
        <v>10614</v>
      </c>
      <c r="H71" s="189">
        <v>12426</v>
      </c>
      <c r="I71" s="189">
        <v>14194</v>
      </c>
      <c r="J71" s="189">
        <v>15991</v>
      </c>
      <c r="K71" s="189">
        <v>17806</v>
      </c>
      <c r="L71" s="189">
        <v>19598</v>
      </c>
      <c r="M71" s="189">
        <v>21392</v>
      </c>
      <c r="N71" s="189">
        <v>22983</v>
      </c>
      <c r="O71" s="189">
        <v>25041</v>
      </c>
      <c r="P71" s="189">
        <v>27412</v>
      </c>
      <c r="Q71" s="189">
        <v>29635</v>
      </c>
      <c r="R71" s="189">
        <v>32710</v>
      </c>
      <c r="S71" s="189">
        <v>35971</v>
      </c>
      <c r="T71" s="189">
        <v>37996</v>
      </c>
      <c r="U71" s="193">
        <v>39886</v>
      </c>
      <c r="V71" s="193">
        <v>41729</v>
      </c>
      <c r="W71" s="193">
        <v>43648</v>
      </c>
      <c r="X71" s="193">
        <v>45843</v>
      </c>
      <c r="Y71" s="193">
        <v>17880</v>
      </c>
      <c r="Z71" s="193"/>
      <c r="AA71" s="193"/>
    </row>
    <row r="72" spans="1:27" ht="21.75" customHeight="1" x14ac:dyDescent="0.2">
      <c r="A72" s="142"/>
      <c r="B72" s="191" t="s">
        <v>87</v>
      </c>
      <c r="C72" s="192" t="s">
        <v>45</v>
      </c>
      <c r="D72" s="189">
        <v>0</v>
      </c>
      <c r="E72" s="189">
        <v>354</v>
      </c>
      <c r="F72" s="189">
        <v>552</v>
      </c>
      <c r="G72" s="189">
        <v>670</v>
      </c>
      <c r="H72" s="189">
        <v>628</v>
      </c>
      <c r="I72" s="189">
        <v>659</v>
      </c>
      <c r="J72" s="189">
        <v>703</v>
      </c>
      <c r="K72" s="189">
        <v>822</v>
      </c>
      <c r="L72" s="189">
        <v>640</v>
      </c>
      <c r="M72" s="189">
        <v>839</v>
      </c>
      <c r="N72" s="189">
        <v>1043</v>
      </c>
      <c r="O72" s="189">
        <v>1045</v>
      </c>
      <c r="P72" s="189">
        <v>1104</v>
      </c>
      <c r="Q72" s="189">
        <v>1117</v>
      </c>
      <c r="R72" s="189">
        <v>823</v>
      </c>
      <c r="S72" s="189">
        <v>895</v>
      </c>
      <c r="T72" s="189">
        <v>1020</v>
      </c>
      <c r="U72" s="193">
        <v>984</v>
      </c>
      <c r="V72" s="193">
        <v>1493</v>
      </c>
      <c r="W72" s="193">
        <v>1449</v>
      </c>
      <c r="X72" s="193">
        <v>1228</v>
      </c>
      <c r="Y72" s="193">
        <v>836</v>
      </c>
      <c r="Z72" s="193"/>
      <c r="AA72" s="193"/>
    </row>
    <row r="73" spans="1:27" ht="21.75" customHeight="1" x14ac:dyDescent="0.2">
      <c r="A73" s="142"/>
      <c r="B73" s="187" t="s">
        <v>88</v>
      </c>
      <c r="C73" s="188" t="s">
        <v>89</v>
      </c>
      <c r="D73" s="217">
        <v>56</v>
      </c>
      <c r="E73" s="217">
        <v>58</v>
      </c>
      <c r="F73" s="217">
        <v>61</v>
      </c>
      <c r="G73" s="217">
        <v>63</v>
      </c>
      <c r="H73" s="217">
        <v>66</v>
      </c>
      <c r="I73" s="217">
        <v>69</v>
      </c>
      <c r="J73" s="217">
        <v>72</v>
      </c>
      <c r="K73" s="217">
        <v>75</v>
      </c>
      <c r="L73" s="217">
        <v>77</v>
      </c>
      <c r="M73" s="217">
        <v>80</v>
      </c>
      <c r="N73" s="217">
        <v>84</v>
      </c>
      <c r="O73" s="217">
        <v>87</v>
      </c>
      <c r="P73" s="217">
        <v>90</v>
      </c>
      <c r="Q73" s="217">
        <v>92</v>
      </c>
      <c r="R73" s="217">
        <v>93</v>
      </c>
      <c r="S73" s="217">
        <v>94</v>
      </c>
      <c r="T73" s="217">
        <v>95</v>
      </c>
      <c r="U73" s="218">
        <v>96</v>
      </c>
      <c r="V73" s="218">
        <v>97</v>
      </c>
      <c r="W73" s="218">
        <v>96</v>
      </c>
      <c r="X73" s="218">
        <v>96</v>
      </c>
      <c r="Y73" s="218">
        <v>87</v>
      </c>
      <c r="Z73" s="218"/>
      <c r="AA73" s="218"/>
    </row>
    <row r="74" spans="1:27" ht="25.5" customHeight="1" x14ac:dyDescent="0.2">
      <c r="B74" s="103" t="s">
        <v>90</v>
      </c>
      <c r="D74" s="104">
        <v>58</v>
      </c>
      <c r="E74" s="104">
        <v>60</v>
      </c>
      <c r="F74" s="104">
        <v>63</v>
      </c>
      <c r="G74" s="104">
        <v>66</v>
      </c>
      <c r="H74" s="104">
        <v>70</v>
      </c>
      <c r="I74" s="104">
        <v>73</v>
      </c>
      <c r="J74" s="104">
        <v>76</v>
      </c>
      <c r="K74" s="104">
        <v>80</v>
      </c>
      <c r="L74" s="104">
        <v>83</v>
      </c>
      <c r="M74" s="104">
        <v>86</v>
      </c>
      <c r="N74" s="104">
        <v>90</v>
      </c>
      <c r="O74" s="104">
        <v>93</v>
      </c>
      <c r="P74" s="104">
        <v>97</v>
      </c>
      <c r="Q74" s="104">
        <v>99</v>
      </c>
      <c r="R74" s="104">
        <v>100</v>
      </c>
      <c r="S74" s="104">
        <v>101</v>
      </c>
      <c r="T74" s="104">
        <v>102</v>
      </c>
      <c r="U74" s="104">
        <v>103</v>
      </c>
      <c r="V74" s="104">
        <v>104</v>
      </c>
      <c r="W74">
        <v>105</v>
      </c>
      <c r="X74">
        <v>106</v>
      </c>
      <c r="Y74" s="140">
        <v>89</v>
      </c>
      <c r="Z74" s="140"/>
      <c r="AA74" s="140"/>
    </row>
    <row r="75" spans="1:27" ht="21.75" customHeight="1" x14ac:dyDescent="0.2">
      <c r="B75" s="103" t="s">
        <v>91</v>
      </c>
      <c r="D75" s="104">
        <v>56</v>
      </c>
      <c r="E75" s="104">
        <v>57</v>
      </c>
      <c r="F75" s="104">
        <v>60</v>
      </c>
      <c r="G75" s="104">
        <v>62</v>
      </c>
      <c r="H75" s="104">
        <v>65</v>
      </c>
      <c r="I75" s="104">
        <v>68</v>
      </c>
      <c r="J75" s="104">
        <v>70</v>
      </c>
      <c r="K75" s="104">
        <v>73</v>
      </c>
      <c r="L75" s="104">
        <v>74</v>
      </c>
      <c r="M75" s="104">
        <v>77</v>
      </c>
      <c r="N75" s="104">
        <v>80</v>
      </c>
      <c r="O75" s="104">
        <v>84</v>
      </c>
      <c r="P75" s="104">
        <v>89</v>
      </c>
      <c r="Q75" s="104">
        <v>93</v>
      </c>
      <c r="R75" s="104">
        <v>94</v>
      </c>
      <c r="S75" s="104">
        <v>96</v>
      </c>
      <c r="T75" s="104">
        <v>97</v>
      </c>
      <c r="U75" s="104">
        <v>99</v>
      </c>
      <c r="V75" s="104">
        <v>99</v>
      </c>
      <c r="W75">
        <v>92</v>
      </c>
      <c r="X75">
        <v>93</v>
      </c>
      <c r="Y75" s="140">
        <v>94</v>
      </c>
      <c r="Z75" s="140"/>
      <c r="AA75" s="140"/>
    </row>
    <row r="76" spans="1:27" ht="21.75" customHeight="1" x14ac:dyDescent="0.2">
      <c r="A76" s="19" t="s">
        <v>92</v>
      </c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219"/>
      <c r="Y76" s="140"/>
      <c r="Z76" s="140"/>
      <c r="AA76" s="140"/>
    </row>
    <row r="77" spans="1:27" ht="21.75" customHeight="1" x14ac:dyDescent="0.2">
      <c r="A77" s="20"/>
      <c r="B77" s="10" t="s">
        <v>93</v>
      </c>
      <c r="C77" s="3" t="s">
        <v>61</v>
      </c>
      <c r="D77" s="4">
        <v>0</v>
      </c>
      <c r="E77" s="4">
        <v>618741</v>
      </c>
      <c r="F77" s="4">
        <v>623424</v>
      </c>
      <c r="G77" s="4">
        <v>635069</v>
      </c>
      <c r="H77" s="4">
        <v>621375</v>
      </c>
      <c r="I77" s="4">
        <v>610685</v>
      </c>
      <c r="J77" s="4">
        <v>623740</v>
      </c>
      <c r="K77" s="4">
        <v>600915</v>
      </c>
      <c r="L77" s="4">
        <v>565428</v>
      </c>
      <c r="M77" s="4">
        <v>563051</v>
      </c>
      <c r="N77" s="4">
        <v>538316</v>
      </c>
      <c r="O77" s="4">
        <v>567718</v>
      </c>
      <c r="P77" s="4">
        <v>578406</v>
      </c>
      <c r="Q77" s="4">
        <v>581640</v>
      </c>
      <c r="R77" s="4">
        <v>569872</v>
      </c>
      <c r="S77" s="4">
        <v>591651</v>
      </c>
      <c r="T77" s="4">
        <v>576197</v>
      </c>
      <c r="U77" s="8">
        <v>571141</v>
      </c>
      <c r="V77" s="8">
        <v>551169</v>
      </c>
      <c r="W77" s="8">
        <v>562069</v>
      </c>
      <c r="X77" s="193">
        <v>557008</v>
      </c>
      <c r="Y77" s="193">
        <v>1328513</v>
      </c>
      <c r="Z77" s="193"/>
      <c r="AA77" s="193"/>
    </row>
    <row r="78" spans="1:27" ht="21.75" customHeight="1" x14ac:dyDescent="0.2">
      <c r="A78" s="20"/>
      <c r="B78" s="12" t="s">
        <v>94</v>
      </c>
      <c r="C78" s="7" t="s">
        <v>61</v>
      </c>
      <c r="D78" s="4">
        <v>526419</v>
      </c>
      <c r="E78" s="4">
        <v>517956</v>
      </c>
      <c r="F78" s="4">
        <v>512737</v>
      </c>
      <c r="G78" s="4">
        <v>477022</v>
      </c>
      <c r="H78" s="4">
        <v>452755</v>
      </c>
      <c r="I78" s="4">
        <v>434533</v>
      </c>
      <c r="J78" s="4">
        <v>440950</v>
      </c>
      <c r="K78" s="4">
        <v>404267</v>
      </c>
      <c r="L78" s="4">
        <v>408310</v>
      </c>
      <c r="M78" s="4">
        <v>369203</v>
      </c>
      <c r="N78" s="4">
        <v>356317</v>
      </c>
      <c r="O78" s="4">
        <v>396092</v>
      </c>
      <c r="P78" s="4">
        <v>408934</v>
      </c>
      <c r="Q78" s="4">
        <v>423539</v>
      </c>
      <c r="R78" s="4">
        <v>387297</v>
      </c>
      <c r="S78" s="4">
        <v>400692</v>
      </c>
      <c r="T78" s="4">
        <v>384635</v>
      </c>
      <c r="U78" s="8">
        <v>386606</v>
      </c>
      <c r="V78" s="8">
        <v>416368</v>
      </c>
      <c r="W78" s="8">
        <v>398956</v>
      </c>
      <c r="X78" s="193">
        <v>420023</v>
      </c>
      <c r="Y78" s="193">
        <v>921751</v>
      </c>
      <c r="Z78" s="193"/>
      <c r="AA78" s="193"/>
    </row>
    <row r="79" spans="1:27" ht="21.75" customHeight="1" x14ac:dyDescent="0.2">
      <c r="A79" s="20"/>
      <c r="B79" s="10" t="s">
        <v>95</v>
      </c>
      <c r="C79" s="3" t="s">
        <v>61</v>
      </c>
      <c r="D79" s="4">
        <v>0</v>
      </c>
      <c r="E79" s="4">
        <v>1920171</v>
      </c>
      <c r="F79" s="4">
        <v>1934705</v>
      </c>
      <c r="G79" s="4">
        <v>1970844</v>
      </c>
      <c r="H79" s="4">
        <v>1928344</v>
      </c>
      <c r="I79" s="4">
        <v>1895170</v>
      </c>
      <c r="J79" s="4">
        <v>1935685</v>
      </c>
      <c r="K79" s="4">
        <v>1864851</v>
      </c>
      <c r="L79" s="4">
        <v>1754722</v>
      </c>
      <c r="M79" s="4">
        <v>1747345</v>
      </c>
      <c r="N79" s="4">
        <v>1670584</v>
      </c>
      <c r="O79" s="4">
        <v>1761827</v>
      </c>
      <c r="P79" s="4">
        <v>1794997</v>
      </c>
      <c r="Q79" s="4">
        <v>1805033</v>
      </c>
      <c r="R79" s="4">
        <v>1768512</v>
      </c>
      <c r="S79" s="4">
        <v>1836099</v>
      </c>
      <c r="T79" s="4">
        <v>1788142</v>
      </c>
      <c r="U79" s="8">
        <v>1772450</v>
      </c>
      <c r="V79" s="8">
        <v>1710470</v>
      </c>
      <c r="W79" s="8">
        <v>1744297</v>
      </c>
      <c r="X79" s="193">
        <v>1728591</v>
      </c>
      <c r="Y79" s="193">
        <v>1629228</v>
      </c>
      <c r="Z79" s="193"/>
      <c r="AA79" s="193"/>
    </row>
    <row r="80" spans="1:27" ht="21.75" customHeight="1" x14ac:dyDescent="0.2">
      <c r="A80" s="20"/>
      <c r="B80" s="12" t="s">
        <v>96</v>
      </c>
      <c r="C80" s="7" t="s">
        <v>61</v>
      </c>
      <c r="D80" s="4">
        <v>1833851</v>
      </c>
      <c r="E80" s="4">
        <v>1804370</v>
      </c>
      <c r="F80" s="4">
        <v>1786190</v>
      </c>
      <c r="G80" s="4">
        <v>1661772</v>
      </c>
      <c r="H80" s="4">
        <v>1577234</v>
      </c>
      <c r="I80" s="4">
        <v>1513754</v>
      </c>
      <c r="J80" s="4">
        <v>1536110</v>
      </c>
      <c r="K80" s="4">
        <v>1408320</v>
      </c>
      <c r="L80" s="4">
        <v>1422401</v>
      </c>
      <c r="M80" s="4">
        <v>1286169</v>
      </c>
      <c r="N80" s="4">
        <v>1241277</v>
      </c>
      <c r="O80" s="4">
        <v>1379839</v>
      </c>
      <c r="P80" s="4">
        <v>1424577</v>
      </c>
      <c r="Q80" s="4">
        <v>1475454</v>
      </c>
      <c r="R80" s="4">
        <v>1349201</v>
      </c>
      <c r="S80" s="4">
        <v>1395866</v>
      </c>
      <c r="T80" s="4">
        <v>1339930</v>
      </c>
      <c r="U80" s="8">
        <v>1346795</v>
      </c>
      <c r="V80" s="8">
        <v>1450474</v>
      </c>
      <c r="W80" s="8">
        <v>1389818</v>
      </c>
      <c r="X80" s="193">
        <v>1463208</v>
      </c>
      <c r="Y80" s="193">
        <v>1400954</v>
      </c>
      <c r="Z80" s="193"/>
      <c r="AA80" s="193"/>
    </row>
    <row r="81" spans="1:27" ht="36" x14ac:dyDescent="0.2">
      <c r="A81" s="21" t="s">
        <v>97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41"/>
      <c r="Z81" s="141"/>
      <c r="AA81" s="141"/>
    </row>
    <row r="82" spans="1:27" ht="18.75" customHeight="1" x14ac:dyDescent="0.2"/>
    <row r="83" spans="1:27" ht="18.75" customHeight="1" x14ac:dyDescent="0.2"/>
    <row r="84" spans="1:27" ht="18.75" customHeight="1" x14ac:dyDescent="0.2"/>
    <row r="85" spans="1:27" ht="18.75" customHeight="1" x14ac:dyDescent="0.2"/>
    <row r="86" spans="1:27" ht="18.75" customHeight="1" x14ac:dyDescent="0.2"/>
    <row r="87" spans="1:27" ht="18.75" customHeight="1" x14ac:dyDescent="0.2"/>
    <row r="88" spans="1:27" ht="18.75" customHeight="1" x14ac:dyDescent="0.2"/>
    <row r="89" spans="1:27" ht="18.75" customHeight="1" x14ac:dyDescent="0.2"/>
    <row r="90" spans="1:27" ht="18.75" customHeight="1" x14ac:dyDescent="0.2"/>
    <row r="91" spans="1:27" ht="18.75" customHeight="1" x14ac:dyDescent="0.2"/>
    <row r="92" spans="1:27" ht="18.75" customHeight="1" x14ac:dyDescent="0.2"/>
    <row r="93" spans="1:27" ht="18.75" customHeight="1" x14ac:dyDescent="0.2"/>
    <row r="94" spans="1:27" ht="18.75" customHeight="1" x14ac:dyDescent="0.2"/>
    <row r="95" spans="1:27" ht="18.75" customHeight="1" x14ac:dyDescent="0.2"/>
    <row r="96" spans="1:27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</sheetData>
  <mergeCells count="14">
    <mergeCell ref="A1:X1"/>
    <mergeCell ref="A14:X14"/>
    <mergeCell ref="A13:AA13"/>
    <mergeCell ref="A19:AA19"/>
    <mergeCell ref="A2:X2"/>
    <mergeCell ref="A5:X5"/>
    <mergeCell ref="A29:AA29"/>
    <mergeCell ref="A33:AA33"/>
    <mergeCell ref="A34:AA34"/>
    <mergeCell ref="A42:AA42"/>
    <mergeCell ref="A47:AA47"/>
    <mergeCell ref="A69:X69"/>
    <mergeCell ref="A4:X4"/>
    <mergeCell ref="A57:AA5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200"/>
  <sheetViews>
    <sheetView workbookViewId="0"/>
  </sheetViews>
  <sheetFormatPr baseColWidth="10" defaultColWidth="14" defaultRowHeight="14" x14ac:dyDescent="0.2"/>
  <cols>
    <col min="1" max="1" width="15" customWidth="1"/>
    <col min="2" max="2" width="6" customWidth="1"/>
    <col min="3" max="3" width="19" customWidth="1"/>
    <col min="4" max="4" width="11" customWidth="1"/>
    <col min="5" max="5" width="15" customWidth="1"/>
    <col min="6" max="9" width="17" customWidth="1"/>
    <col min="10" max="10" width="12" customWidth="1"/>
    <col min="11" max="11" width="16" customWidth="1"/>
    <col min="12" max="12" width="27" customWidth="1"/>
    <col min="13" max="14" width="18" customWidth="1"/>
    <col min="15" max="16" width="15" customWidth="1"/>
    <col min="17" max="17" width="12" customWidth="1"/>
    <col min="18" max="20" width="11" customWidth="1"/>
  </cols>
  <sheetData>
    <row r="1" spans="1:17" ht="33" customHeight="1" x14ac:dyDescent="0.2">
      <c r="A1" s="158" t="s">
        <v>411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1.75" customHeight="1" x14ac:dyDescent="0.2">
      <c r="A2" s="146" t="s">
        <v>412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.75" customHeight="1" x14ac:dyDescent="0.2">
      <c r="A3" s="157" t="s">
        <v>413</v>
      </c>
      <c r="B3" s="143"/>
      <c r="C3" s="156" t="s">
        <v>414</v>
      </c>
      <c r="D3" s="143"/>
      <c r="E3" s="159" t="s">
        <v>415</v>
      </c>
      <c r="F3" s="143"/>
      <c r="G3" s="154" t="s">
        <v>416</v>
      </c>
      <c r="H3" s="143"/>
      <c r="I3" s="143"/>
      <c r="J3" s="143"/>
      <c r="K3" s="22" t="s">
        <v>417</v>
      </c>
      <c r="L3" s="23" t="s">
        <v>418</v>
      </c>
      <c r="M3" s="153" t="s">
        <v>419</v>
      </c>
      <c r="N3" s="143"/>
      <c r="O3" s="153" t="s">
        <v>419</v>
      </c>
      <c r="P3" s="143"/>
      <c r="Q3" s="24" t="s">
        <v>420</v>
      </c>
    </row>
    <row r="4" spans="1:17" ht="36" customHeight="1" x14ac:dyDescent="0.2">
      <c r="A4" s="25" t="s">
        <v>421</v>
      </c>
      <c r="B4" s="25" t="s">
        <v>422</v>
      </c>
      <c r="C4" s="26" t="s">
        <v>423</v>
      </c>
      <c r="D4" s="26" t="s">
        <v>424</v>
      </c>
      <c r="E4" s="27" t="s">
        <v>425</v>
      </c>
      <c r="F4" s="27" t="s">
        <v>426</v>
      </c>
      <c r="G4" s="28" t="s">
        <v>427</v>
      </c>
      <c r="H4" s="28" t="s">
        <v>428</v>
      </c>
      <c r="I4" s="28" t="s">
        <v>429</v>
      </c>
      <c r="J4" s="28" t="s">
        <v>430</v>
      </c>
      <c r="K4" s="29" t="s">
        <v>431</v>
      </c>
      <c r="L4" s="30" t="s">
        <v>432</v>
      </c>
      <c r="M4" s="31" t="s">
        <v>433</v>
      </c>
      <c r="N4" s="31" t="s">
        <v>434</v>
      </c>
      <c r="O4" s="31" t="s">
        <v>435</v>
      </c>
      <c r="P4" s="31" t="s">
        <v>436</v>
      </c>
      <c r="Q4" s="31" t="s">
        <v>437</v>
      </c>
    </row>
    <row r="5" spans="1:17" ht="21.75" customHeight="1" x14ac:dyDescent="0.2">
      <c r="A5" s="155" t="s">
        <v>438</v>
      </c>
      <c r="B5" s="143"/>
      <c r="C5" s="32"/>
      <c r="D5" s="33"/>
      <c r="E5" s="33"/>
      <c r="F5" s="33"/>
      <c r="G5" s="34"/>
      <c r="H5" s="34"/>
      <c r="I5" s="34"/>
      <c r="J5" s="33"/>
      <c r="K5" s="33"/>
      <c r="L5" s="33"/>
      <c r="M5" s="35"/>
      <c r="N5" s="35"/>
      <c r="O5" s="36"/>
      <c r="P5" s="36"/>
      <c r="Q5" s="37"/>
    </row>
    <row r="6" spans="1:17" ht="21.75" customHeight="1" x14ac:dyDescent="0.2">
      <c r="A6" s="38">
        <v>45901</v>
      </c>
      <c r="B6" s="39" t="s">
        <v>439</v>
      </c>
      <c r="C6" s="40">
        <v>19591791</v>
      </c>
      <c r="D6" s="40">
        <v>49</v>
      </c>
      <c r="E6" s="40"/>
      <c r="F6" s="40"/>
      <c r="G6" s="40">
        <v>4758280</v>
      </c>
      <c r="H6" s="40">
        <v>2213852</v>
      </c>
      <c r="I6" s="40"/>
      <c r="J6" s="40">
        <v>26</v>
      </c>
      <c r="K6" s="40"/>
      <c r="L6" s="41"/>
      <c r="M6" s="5">
        <f t="shared" ref="M6:M35" si="0">IF(SUM(G6:I6)&gt;0,SUM(G6:I6),"")</f>
        <v>6972132</v>
      </c>
      <c r="N6" s="5">
        <f t="shared" ref="N6:N35" si="1">IF(N(C6)+N(M6)&gt;0,N(C6)+N(M6),"")</f>
        <v>26563923</v>
      </c>
      <c r="O6" s="5">
        <f t="shared" ref="O6:O35" si="2">IFERROR(IF(D6&gt;0,C6/D6,""),"")</f>
        <v>399832.46938775509</v>
      </c>
      <c r="P6" s="5">
        <f t="shared" ref="P6:P35" si="3">IFERROR(IF(J6&gt;0,M6/J6,""),"")</f>
        <v>268158.92307692306</v>
      </c>
      <c r="Q6" s="16" t="str">
        <f t="shared" ref="Q6:Q35" si="4">IFERROR(IF(E6&gt;0,D6/E6,""),"")</f>
        <v/>
      </c>
    </row>
    <row r="7" spans="1:17" ht="21.75" customHeight="1" x14ac:dyDescent="0.2">
      <c r="A7" s="38">
        <v>45902</v>
      </c>
      <c r="B7" s="39" t="s">
        <v>440</v>
      </c>
      <c r="C7" s="40">
        <v>14043038</v>
      </c>
      <c r="D7" s="40">
        <v>35</v>
      </c>
      <c r="E7" s="40"/>
      <c r="F7" s="40"/>
      <c r="G7" s="40">
        <v>5022454</v>
      </c>
      <c r="H7" s="40">
        <v>5236003</v>
      </c>
      <c r="I7" s="40"/>
      <c r="J7" s="40">
        <v>33</v>
      </c>
      <c r="K7" s="40">
        <v>416666</v>
      </c>
      <c r="L7" s="41"/>
      <c r="M7" s="5">
        <f t="shared" si="0"/>
        <v>10258457</v>
      </c>
      <c r="N7" s="5">
        <f t="shared" si="1"/>
        <v>24301495</v>
      </c>
      <c r="O7" s="5">
        <f t="shared" si="2"/>
        <v>401229.65714285715</v>
      </c>
      <c r="P7" s="5">
        <f t="shared" si="3"/>
        <v>310862.33333333331</v>
      </c>
      <c r="Q7" s="16" t="str">
        <f t="shared" si="4"/>
        <v/>
      </c>
    </row>
    <row r="8" spans="1:17" ht="21.75" customHeight="1" x14ac:dyDescent="0.2">
      <c r="A8" s="38">
        <v>45903</v>
      </c>
      <c r="B8" s="39" t="s">
        <v>441</v>
      </c>
      <c r="C8" s="40">
        <v>31595138</v>
      </c>
      <c r="D8" s="40">
        <v>64</v>
      </c>
      <c r="E8" s="40"/>
      <c r="F8" s="40"/>
      <c r="G8" s="40">
        <v>5662486</v>
      </c>
      <c r="H8" s="40"/>
      <c r="I8" s="40">
        <v>2961658</v>
      </c>
      <c r="J8" s="40">
        <v>31</v>
      </c>
      <c r="K8" s="40">
        <v>4030000</v>
      </c>
      <c r="L8" s="41"/>
      <c r="M8" s="5">
        <f t="shared" si="0"/>
        <v>8624144</v>
      </c>
      <c r="N8" s="5">
        <f t="shared" si="1"/>
        <v>40219282</v>
      </c>
      <c r="O8" s="5">
        <f t="shared" si="2"/>
        <v>493674.03125</v>
      </c>
      <c r="P8" s="5">
        <f t="shared" si="3"/>
        <v>278198.19354838709</v>
      </c>
      <c r="Q8" s="16" t="str">
        <f t="shared" si="4"/>
        <v/>
      </c>
    </row>
    <row r="9" spans="1:17" ht="21.75" customHeight="1" x14ac:dyDescent="0.2">
      <c r="A9" s="38">
        <v>45904</v>
      </c>
      <c r="B9" s="39" t="s">
        <v>442</v>
      </c>
      <c r="C9" s="40">
        <v>36834727</v>
      </c>
      <c r="D9" s="40">
        <v>81</v>
      </c>
      <c r="E9" s="40"/>
      <c r="F9" s="40"/>
      <c r="G9" s="40">
        <v>12685411</v>
      </c>
      <c r="H9" s="40">
        <v>11268018</v>
      </c>
      <c r="I9" s="40">
        <v>3229141</v>
      </c>
      <c r="J9" s="40">
        <v>83</v>
      </c>
      <c r="K9" s="40"/>
      <c r="L9" s="41"/>
      <c r="M9" s="5">
        <f t="shared" si="0"/>
        <v>27182570</v>
      </c>
      <c r="N9" s="5">
        <f t="shared" si="1"/>
        <v>64017297</v>
      </c>
      <c r="O9" s="5">
        <f t="shared" si="2"/>
        <v>454749.7160493827</v>
      </c>
      <c r="P9" s="5">
        <f t="shared" si="3"/>
        <v>327500.84337349399</v>
      </c>
      <c r="Q9" s="16" t="str">
        <f t="shared" si="4"/>
        <v/>
      </c>
    </row>
    <row r="10" spans="1:17" ht="21.75" customHeight="1" x14ac:dyDescent="0.2">
      <c r="A10" s="38">
        <v>45905</v>
      </c>
      <c r="B10" s="39" t="s">
        <v>443</v>
      </c>
      <c r="C10" s="40">
        <v>58478953</v>
      </c>
      <c r="D10" s="40">
        <v>115</v>
      </c>
      <c r="E10" s="40"/>
      <c r="F10" s="40"/>
      <c r="G10" s="40">
        <v>7231104</v>
      </c>
      <c r="H10" s="40">
        <v>3876508</v>
      </c>
      <c r="I10" s="40">
        <v>2258894</v>
      </c>
      <c r="J10" s="40">
        <v>60</v>
      </c>
      <c r="K10" s="40">
        <v>5809149</v>
      </c>
      <c r="L10" s="41"/>
      <c r="M10" s="5">
        <f t="shared" si="0"/>
        <v>13366506</v>
      </c>
      <c r="N10" s="5">
        <f t="shared" si="1"/>
        <v>71845459</v>
      </c>
      <c r="O10" s="5">
        <f t="shared" si="2"/>
        <v>508512.63478260871</v>
      </c>
      <c r="P10" s="5">
        <f t="shared" si="3"/>
        <v>222775.1</v>
      </c>
      <c r="Q10" s="16" t="str">
        <f t="shared" si="4"/>
        <v/>
      </c>
    </row>
    <row r="11" spans="1:17" ht="21.75" customHeight="1" x14ac:dyDescent="0.2">
      <c r="A11" s="42">
        <v>45906</v>
      </c>
      <c r="B11" s="43" t="s">
        <v>444</v>
      </c>
      <c r="C11" s="40">
        <v>58385506</v>
      </c>
      <c r="D11" s="40">
        <v>119</v>
      </c>
      <c r="E11" s="40"/>
      <c r="F11" s="40"/>
      <c r="G11" s="40">
        <v>8169929</v>
      </c>
      <c r="H11" s="40">
        <v>4431012</v>
      </c>
      <c r="I11" s="40">
        <v>3696805</v>
      </c>
      <c r="J11" s="40">
        <v>55</v>
      </c>
      <c r="K11" s="40">
        <v>444444</v>
      </c>
      <c r="L11" s="41"/>
      <c r="M11" s="5">
        <f t="shared" si="0"/>
        <v>16297746</v>
      </c>
      <c r="N11" s="5">
        <f t="shared" si="1"/>
        <v>74683252</v>
      </c>
      <c r="O11" s="5">
        <f t="shared" si="2"/>
        <v>490634.50420168065</v>
      </c>
      <c r="P11" s="5">
        <f t="shared" si="3"/>
        <v>296322.65454545454</v>
      </c>
      <c r="Q11" s="16" t="str">
        <f t="shared" si="4"/>
        <v/>
      </c>
    </row>
    <row r="12" spans="1:17" ht="21.75" customHeight="1" x14ac:dyDescent="0.2">
      <c r="A12" s="42">
        <v>45907</v>
      </c>
      <c r="B12" s="43" t="s">
        <v>445</v>
      </c>
      <c r="C12" s="40">
        <v>39395437</v>
      </c>
      <c r="D12" s="40">
        <v>96</v>
      </c>
      <c r="E12" s="40"/>
      <c r="F12" s="40"/>
      <c r="G12" s="40">
        <v>7235327</v>
      </c>
      <c r="H12" s="40">
        <v>5821019</v>
      </c>
      <c r="I12" s="40">
        <v>3292484</v>
      </c>
      <c r="J12" s="40">
        <v>52</v>
      </c>
      <c r="K12" s="40">
        <v>83333</v>
      </c>
      <c r="L12" s="41"/>
      <c r="M12" s="5">
        <f t="shared" si="0"/>
        <v>16348830</v>
      </c>
      <c r="N12" s="5">
        <f t="shared" si="1"/>
        <v>55744267</v>
      </c>
      <c r="O12" s="5">
        <f t="shared" si="2"/>
        <v>410369.13541666669</v>
      </c>
      <c r="P12" s="5">
        <f t="shared" si="3"/>
        <v>314400.57692307694</v>
      </c>
      <c r="Q12" s="16" t="str">
        <f t="shared" si="4"/>
        <v/>
      </c>
    </row>
    <row r="13" spans="1:17" ht="21.75" customHeight="1" x14ac:dyDescent="0.2">
      <c r="A13" s="38">
        <v>45908</v>
      </c>
      <c r="B13" s="39" t="s">
        <v>439</v>
      </c>
      <c r="C13" s="40">
        <v>38961107</v>
      </c>
      <c r="D13" s="40">
        <v>83</v>
      </c>
      <c r="E13" s="40"/>
      <c r="F13" s="40"/>
      <c r="G13" s="40">
        <v>5970868</v>
      </c>
      <c r="H13" s="40">
        <v>3200010</v>
      </c>
      <c r="I13" s="40">
        <v>3458029</v>
      </c>
      <c r="J13" s="40">
        <v>40</v>
      </c>
      <c r="K13" s="40">
        <v>1130158</v>
      </c>
      <c r="L13" s="41"/>
      <c r="M13" s="5">
        <f t="shared" si="0"/>
        <v>12628907</v>
      </c>
      <c r="N13" s="5">
        <f t="shared" si="1"/>
        <v>51590014</v>
      </c>
      <c r="O13" s="5">
        <f t="shared" si="2"/>
        <v>469410.92771084339</v>
      </c>
      <c r="P13" s="5">
        <f t="shared" si="3"/>
        <v>315722.67499999999</v>
      </c>
      <c r="Q13" s="16" t="str">
        <f t="shared" si="4"/>
        <v/>
      </c>
    </row>
    <row r="14" spans="1:17" ht="21.75" customHeight="1" x14ac:dyDescent="0.2">
      <c r="A14" s="38">
        <v>45909</v>
      </c>
      <c r="B14" s="39" t="s">
        <v>440</v>
      </c>
      <c r="C14" s="40">
        <v>47980110</v>
      </c>
      <c r="D14" s="40">
        <v>97</v>
      </c>
      <c r="E14" s="40"/>
      <c r="F14" s="40"/>
      <c r="G14" s="40">
        <v>4494547</v>
      </c>
      <c r="H14" s="40">
        <v>5326522</v>
      </c>
      <c r="I14" s="40">
        <v>1101999</v>
      </c>
      <c r="J14" s="40">
        <v>39</v>
      </c>
      <c r="K14" s="40">
        <v>761659</v>
      </c>
      <c r="L14" s="41"/>
      <c r="M14" s="5">
        <f t="shared" si="0"/>
        <v>10923068</v>
      </c>
      <c r="N14" s="5">
        <f t="shared" si="1"/>
        <v>58903178</v>
      </c>
      <c r="O14" s="5">
        <f t="shared" si="2"/>
        <v>494640.3092783505</v>
      </c>
      <c r="P14" s="5">
        <f t="shared" si="3"/>
        <v>280078.66666666669</v>
      </c>
      <c r="Q14" s="16" t="str">
        <f t="shared" si="4"/>
        <v/>
      </c>
    </row>
    <row r="15" spans="1:17" ht="21.75" customHeight="1" x14ac:dyDescent="0.2">
      <c r="A15" s="38">
        <v>45910</v>
      </c>
      <c r="B15" s="39" t="s">
        <v>441</v>
      </c>
      <c r="C15" s="40">
        <v>42957529</v>
      </c>
      <c r="D15" s="40">
        <v>89</v>
      </c>
      <c r="E15" s="40"/>
      <c r="F15" s="40"/>
      <c r="G15" s="40">
        <v>7731000</v>
      </c>
      <c r="H15" s="40">
        <v>3933022</v>
      </c>
      <c r="I15" s="40">
        <v>1216394</v>
      </c>
      <c r="J15" s="40">
        <v>41</v>
      </c>
      <c r="K15" s="40">
        <v>1507200</v>
      </c>
      <c r="L15" s="41"/>
      <c r="M15" s="5">
        <f t="shared" si="0"/>
        <v>12880416</v>
      </c>
      <c r="N15" s="5">
        <f t="shared" si="1"/>
        <v>55837945</v>
      </c>
      <c r="O15" s="5">
        <f t="shared" si="2"/>
        <v>482668.86516853934</v>
      </c>
      <c r="P15" s="5">
        <f t="shared" si="3"/>
        <v>314156.48780487804</v>
      </c>
      <c r="Q15" s="16" t="str">
        <f t="shared" si="4"/>
        <v/>
      </c>
    </row>
    <row r="16" spans="1:17" ht="21.75" customHeight="1" x14ac:dyDescent="0.2">
      <c r="A16" s="38">
        <v>45911</v>
      </c>
      <c r="B16" s="39" t="s">
        <v>442</v>
      </c>
      <c r="C16" s="40">
        <v>35423290</v>
      </c>
      <c r="D16" s="40">
        <v>82</v>
      </c>
      <c r="E16" s="40"/>
      <c r="F16" s="40"/>
      <c r="G16" s="40">
        <v>6536399</v>
      </c>
      <c r="H16" s="40">
        <v>4443509</v>
      </c>
      <c r="I16" s="40">
        <v>1614151</v>
      </c>
      <c r="J16" s="40">
        <v>38</v>
      </c>
      <c r="K16" s="40"/>
      <c r="L16" s="41"/>
      <c r="M16" s="5">
        <f t="shared" si="0"/>
        <v>12594059</v>
      </c>
      <c r="N16" s="5">
        <f t="shared" si="1"/>
        <v>48017349</v>
      </c>
      <c r="O16" s="5">
        <f t="shared" si="2"/>
        <v>431991.34146341466</v>
      </c>
      <c r="P16" s="5">
        <f t="shared" si="3"/>
        <v>331422.60526315792</v>
      </c>
      <c r="Q16" s="16" t="str">
        <f t="shared" si="4"/>
        <v/>
      </c>
    </row>
    <row r="17" spans="1:17" ht="21.75" customHeight="1" x14ac:dyDescent="0.2">
      <c r="A17" s="38">
        <v>45912</v>
      </c>
      <c r="B17" s="39" t="s">
        <v>443</v>
      </c>
      <c r="C17" s="40">
        <v>41835540</v>
      </c>
      <c r="D17" s="40">
        <v>106</v>
      </c>
      <c r="E17" s="40"/>
      <c r="F17" s="40"/>
      <c r="G17" s="40">
        <v>8229871</v>
      </c>
      <c r="H17" s="40">
        <v>6027008</v>
      </c>
      <c r="I17" s="40">
        <v>1746928</v>
      </c>
      <c r="J17" s="40">
        <v>57</v>
      </c>
      <c r="K17" s="40">
        <v>296296</v>
      </c>
      <c r="L17" s="41"/>
      <c r="M17" s="5">
        <f t="shared" si="0"/>
        <v>16003807</v>
      </c>
      <c r="N17" s="5">
        <f t="shared" si="1"/>
        <v>57839347</v>
      </c>
      <c r="O17" s="5">
        <f t="shared" si="2"/>
        <v>394674.90566037735</v>
      </c>
      <c r="P17" s="5">
        <f t="shared" si="3"/>
        <v>280768.5438596491</v>
      </c>
      <c r="Q17" s="16" t="str">
        <f t="shared" si="4"/>
        <v/>
      </c>
    </row>
    <row r="18" spans="1:17" ht="21.75" customHeight="1" x14ac:dyDescent="0.2">
      <c r="A18" s="42">
        <v>45913</v>
      </c>
      <c r="B18" s="43" t="s">
        <v>444</v>
      </c>
      <c r="C18" s="40">
        <v>39390229</v>
      </c>
      <c r="D18" s="40">
        <v>94</v>
      </c>
      <c r="E18" s="40"/>
      <c r="F18" s="40"/>
      <c r="G18" s="40">
        <v>9591424</v>
      </c>
      <c r="H18" s="40">
        <v>4290009</v>
      </c>
      <c r="I18" s="40">
        <v>2593449</v>
      </c>
      <c r="J18" s="40">
        <v>59</v>
      </c>
      <c r="K18" s="40"/>
      <c r="L18" s="41"/>
      <c r="M18" s="5">
        <f t="shared" si="0"/>
        <v>16474882</v>
      </c>
      <c r="N18" s="5">
        <f t="shared" si="1"/>
        <v>55865111</v>
      </c>
      <c r="O18" s="5">
        <f t="shared" si="2"/>
        <v>419044.98936170212</v>
      </c>
      <c r="P18" s="5">
        <f t="shared" si="3"/>
        <v>279235.28813559323</v>
      </c>
      <c r="Q18" s="16" t="str">
        <f t="shared" si="4"/>
        <v/>
      </c>
    </row>
    <row r="19" spans="1:17" ht="21.75" customHeight="1" x14ac:dyDescent="0.2">
      <c r="A19" s="42">
        <v>45914</v>
      </c>
      <c r="B19" s="43" t="s">
        <v>445</v>
      </c>
      <c r="C19" s="40">
        <v>41538532</v>
      </c>
      <c r="D19" s="40">
        <v>96</v>
      </c>
      <c r="E19" s="40"/>
      <c r="F19" s="40"/>
      <c r="G19" s="40">
        <v>10329055</v>
      </c>
      <c r="H19" s="40">
        <v>7984017</v>
      </c>
      <c r="I19" s="40">
        <v>2876941</v>
      </c>
      <c r="J19" s="40">
        <v>70</v>
      </c>
      <c r="K19" s="40">
        <v>1285700</v>
      </c>
      <c r="L19" s="41"/>
      <c r="M19" s="5">
        <f t="shared" si="0"/>
        <v>21190013</v>
      </c>
      <c r="N19" s="5">
        <f t="shared" si="1"/>
        <v>62728545</v>
      </c>
      <c r="O19" s="5">
        <f t="shared" si="2"/>
        <v>432693.04166666669</v>
      </c>
      <c r="P19" s="5">
        <f t="shared" si="3"/>
        <v>302714.47142857144</v>
      </c>
      <c r="Q19" s="16" t="str">
        <f t="shared" si="4"/>
        <v/>
      </c>
    </row>
    <row r="20" spans="1:17" ht="21.75" customHeight="1" x14ac:dyDescent="0.2">
      <c r="A20" s="38">
        <v>45915</v>
      </c>
      <c r="B20" s="39" t="s">
        <v>439</v>
      </c>
      <c r="C20" s="40">
        <v>46874211</v>
      </c>
      <c r="D20" s="40">
        <v>116</v>
      </c>
      <c r="E20" s="40"/>
      <c r="F20" s="40"/>
      <c r="G20" s="40">
        <v>12566191</v>
      </c>
      <c r="H20" s="40">
        <v>5017015</v>
      </c>
      <c r="I20" s="40">
        <v>3173440</v>
      </c>
      <c r="J20" s="40">
        <v>58</v>
      </c>
      <c r="K20" s="40">
        <v>324000</v>
      </c>
      <c r="L20" s="41"/>
      <c r="M20" s="5">
        <f t="shared" si="0"/>
        <v>20756646</v>
      </c>
      <c r="N20" s="5">
        <f t="shared" si="1"/>
        <v>67630857</v>
      </c>
      <c r="O20" s="5">
        <f t="shared" si="2"/>
        <v>404088.02586206899</v>
      </c>
      <c r="P20" s="5">
        <f t="shared" si="3"/>
        <v>357873.20689655171</v>
      </c>
      <c r="Q20" s="16" t="str">
        <f t="shared" si="4"/>
        <v/>
      </c>
    </row>
    <row r="21" spans="1:17" ht="21.75" customHeight="1" x14ac:dyDescent="0.2">
      <c r="A21" s="38">
        <v>45916</v>
      </c>
      <c r="B21" s="39" t="s">
        <v>440</v>
      </c>
      <c r="C21" s="40">
        <v>49914494</v>
      </c>
      <c r="D21" s="40">
        <v>104</v>
      </c>
      <c r="E21" s="40"/>
      <c r="F21" s="40"/>
      <c r="G21" s="40">
        <v>7255113</v>
      </c>
      <c r="H21" s="40">
        <v>4552009</v>
      </c>
      <c r="I21" s="40">
        <v>1835984</v>
      </c>
      <c r="J21" s="40">
        <v>43</v>
      </c>
      <c r="K21" s="40">
        <v>5024001</v>
      </c>
      <c r="L21" s="41"/>
      <c r="M21" s="5">
        <f t="shared" si="0"/>
        <v>13643106</v>
      </c>
      <c r="N21" s="5">
        <f t="shared" si="1"/>
        <v>63557600</v>
      </c>
      <c r="O21" s="5">
        <f t="shared" si="2"/>
        <v>479947.05769230769</v>
      </c>
      <c r="P21" s="5">
        <f t="shared" si="3"/>
        <v>317281.53488372092</v>
      </c>
      <c r="Q21" s="16" t="str">
        <f t="shared" si="4"/>
        <v/>
      </c>
    </row>
    <row r="22" spans="1:17" ht="21.75" customHeight="1" x14ac:dyDescent="0.2">
      <c r="A22" s="38">
        <v>45917</v>
      </c>
      <c r="B22" s="39" t="s">
        <v>441</v>
      </c>
      <c r="C22" s="40">
        <v>54567632</v>
      </c>
      <c r="D22" s="40">
        <v>102</v>
      </c>
      <c r="E22" s="40"/>
      <c r="F22" s="40"/>
      <c r="G22" s="40">
        <v>5825722</v>
      </c>
      <c r="H22" s="40">
        <v>9666637</v>
      </c>
      <c r="I22" s="40">
        <v>2183482</v>
      </c>
      <c r="J22" s="40">
        <v>35</v>
      </c>
      <c r="K22" s="40">
        <v>1038000</v>
      </c>
      <c r="L22" s="41"/>
      <c r="M22" s="5">
        <f t="shared" si="0"/>
        <v>17675841</v>
      </c>
      <c r="N22" s="5">
        <f t="shared" si="1"/>
        <v>72243473</v>
      </c>
      <c r="O22" s="5">
        <f t="shared" si="2"/>
        <v>534976.78431372554</v>
      </c>
      <c r="P22" s="5">
        <f t="shared" si="3"/>
        <v>505024.02857142856</v>
      </c>
      <c r="Q22" s="16" t="str">
        <f t="shared" si="4"/>
        <v/>
      </c>
    </row>
    <row r="23" spans="1:17" ht="21.75" customHeight="1" x14ac:dyDescent="0.2">
      <c r="A23" s="38">
        <v>45918</v>
      </c>
      <c r="B23" s="39" t="s">
        <v>442</v>
      </c>
      <c r="C23" s="40">
        <v>39077968</v>
      </c>
      <c r="D23" s="40">
        <v>87</v>
      </c>
      <c r="E23" s="40"/>
      <c r="F23" s="40"/>
      <c r="G23" s="40">
        <v>5222939</v>
      </c>
      <c r="H23" s="40">
        <v>5923243</v>
      </c>
      <c r="I23" s="40">
        <v>664984</v>
      </c>
      <c r="J23" s="40">
        <v>39</v>
      </c>
      <c r="K23" s="40">
        <v>1673809</v>
      </c>
      <c r="L23" s="41"/>
      <c r="M23" s="5">
        <f t="shared" si="0"/>
        <v>11811166</v>
      </c>
      <c r="N23" s="5">
        <f t="shared" si="1"/>
        <v>50889134</v>
      </c>
      <c r="O23" s="5">
        <f t="shared" si="2"/>
        <v>449172.0459770115</v>
      </c>
      <c r="P23" s="5">
        <f t="shared" si="3"/>
        <v>302850.41025641025</v>
      </c>
      <c r="Q23" s="16" t="str">
        <f t="shared" si="4"/>
        <v/>
      </c>
    </row>
    <row r="24" spans="1:17" ht="21.75" customHeight="1" x14ac:dyDescent="0.2">
      <c r="A24" s="38">
        <v>45919</v>
      </c>
      <c r="B24" s="39" t="s">
        <v>443</v>
      </c>
      <c r="C24" s="40">
        <v>48614994</v>
      </c>
      <c r="D24" s="40">
        <v>113</v>
      </c>
      <c r="E24" s="40"/>
      <c r="F24" s="40"/>
      <c r="G24" s="40">
        <v>7338093</v>
      </c>
      <c r="H24" s="40">
        <v>5774032</v>
      </c>
      <c r="I24" s="40">
        <v>2459929</v>
      </c>
      <c r="J24" s="40">
        <v>63</v>
      </c>
      <c r="K24" s="40"/>
      <c r="L24" s="41"/>
      <c r="M24" s="5">
        <f t="shared" si="0"/>
        <v>15572054</v>
      </c>
      <c r="N24" s="5">
        <f t="shared" si="1"/>
        <v>64187048</v>
      </c>
      <c r="O24" s="5">
        <f t="shared" si="2"/>
        <v>430221.18584070797</v>
      </c>
      <c r="P24" s="5">
        <f t="shared" si="3"/>
        <v>247175.46031746033</v>
      </c>
      <c r="Q24" s="16" t="str">
        <f t="shared" si="4"/>
        <v/>
      </c>
    </row>
    <row r="25" spans="1:17" ht="21.75" customHeight="1" x14ac:dyDescent="0.2">
      <c r="A25" s="42">
        <v>45920</v>
      </c>
      <c r="B25" s="43" t="s">
        <v>444</v>
      </c>
      <c r="C25" s="40">
        <v>64184051</v>
      </c>
      <c r="D25" s="40">
        <v>133</v>
      </c>
      <c r="E25" s="40"/>
      <c r="F25" s="40"/>
      <c r="G25" s="40">
        <v>11842915</v>
      </c>
      <c r="H25" s="40">
        <v>3043003</v>
      </c>
      <c r="I25" s="40">
        <v>2584176</v>
      </c>
      <c r="J25" s="40">
        <v>60</v>
      </c>
      <c r="K25" s="40"/>
      <c r="L25" s="41"/>
      <c r="M25" s="5">
        <f t="shared" si="0"/>
        <v>17470094</v>
      </c>
      <c r="N25" s="5">
        <f t="shared" si="1"/>
        <v>81654145</v>
      </c>
      <c r="O25" s="5">
        <f t="shared" si="2"/>
        <v>482586.84962406015</v>
      </c>
      <c r="P25" s="5">
        <f t="shared" si="3"/>
        <v>291168.23333333334</v>
      </c>
      <c r="Q25" s="16" t="str">
        <f t="shared" si="4"/>
        <v/>
      </c>
    </row>
    <row r="26" spans="1:17" ht="21.75" customHeight="1" x14ac:dyDescent="0.2">
      <c r="A26" s="42">
        <v>45921</v>
      </c>
      <c r="B26" s="43" t="s">
        <v>445</v>
      </c>
      <c r="C26" s="40">
        <v>29669073</v>
      </c>
      <c r="D26" s="40">
        <v>69</v>
      </c>
      <c r="E26" s="40"/>
      <c r="F26" s="40"/>
      <c r="G26" s="40">
        <v>11213258</v>
      </c>
      <c r="H26" s="40">
        <v>5978018</v>
      </c>
      <c r="I26" s="40">
        <v>6314664</v>
      </c>
      <c r="J26" s="40">
        <v>76</v>
      </c>
      <c r="K26" s="40">
        <v>2301376</v>
      </c>
      <c r="L26" s="41"/>
      <c r="M26" s="5">
        <f t="shared" si="0"/>
        <v>23505940</v>
      </c>
      <c r="N26" s="5">
        <f t="shared" si="1"/>
        <v>53175013</v>
      </c>
      <c r="O26" s="5">
        <f t="shared" si="2"/>
        <v>429986.5652173913</v>
      </c>
      <c r="P26" s="5">
        <f t="shared" si="3"/>
        <v>309288.68421052629</v>
      </c>
      <c r="Q26" s="16" t="str">
        <f t="shared" si="4"/>
        <v/>
      </c>
    </row>
    <row r="27" spans="1:17" ht="21.75" customHeight="1" x14ac:dyDescent="0.2">
      <c r="A27" s="38">
        <v>45922</v>
      </c>
      <c r="B27" s="39" t="s">
        <v>439</v>
      </c>
      <c r="C27" s="40">
        <v>33268229</v>
      </c>
      <c r="D27" s="40">
        <v>73</v>
      </c>
      <c r="E27" s="40"/>
      <c r="F27" s="40"/>
      <c r="G27" s="40">
        <v>4242893</v>
      </c>
      <c r="H27" s="40">
        <v>4755512</v>
      </c>
      <c r="I27" s="40">
        <v>2546967</v>
      </c>
      <c r="J27" s="40">
        <v>42</v>
      </c>
      <c r="K27" s="40">
        <v>1790066</v>
      </c>
      <c r="L27" s="41"/>
      <c r="M27" s="5">
        <f t="shared" si="0"/>
        <v>11545372</v>
      </c>
      <c r="N27" s="5">
        <f t="shared" si="1"/>
        <v>44813601</v>
      </c>
      <c r="O27" s="5">
        <f t="shared" si="2"/>
        <v>455729.16438356164</v>
      </c>
      <c r="P27" s="5">
        <f t="shared" si="3"/>
        <v>274889.80952380953</v>
      </c>
      <c r="Q27" s="16" t="str">
        <f t="shared" si="4"/>
        <v/>
      </c>
    </row>
    <row r="28" spans="1:17" ht="21.75" customHeight="1" x14ac:dyDescent="0.2">
      <c r="A28" s="38">
        <v>45923</v>
      </c>
      <c r="B28" s="39" t="s">
        <v>440</v>
      </c>
      <c r="C28" s="40">
        <v>57928241</v>
      </c>
      <c r="D28" s="40">
        <v>130</v>
      </c>
      <c r="E28" s="40"/>
      <c r="F28" s="40"/>
      <c r="G28" s="40">
        <v>7881467</v>
      </c>
      <c r="H28" s="40">
        <v>3430847</v>
      </c>
      <c r="I28" s="40">
        <v>2316945</v>
      </c>
      <c r="J28" s="40">
        <v>41</v>
      </c>
      <c r="K28" s="40">
        <v>3048770</v>
      </c>
      <c r="L28" s="41"/>
      <c r="M28" s="5">
        <f t="shared" si="0"/>
        <v>13629259</v>
      </c>
      <c r="N28" s="5">
        <f t="shared" si="1"/>
        <v>71557500</v>
      </c>
      <c r="O28" s="5">
        <f t="shared" si="2"/>
        <v>445601.85384615383</v>
      </c>
      <c r="P28" s="5">
        <f t="shared" si="3"/>
        <v>332420.95121951221</v>
      </c>
      <c r="Q28" s="16" t="str">
        <f t="shared" si="4"/>
        <v/>
      </c>
    </row>
    <row r="29" spans="1:17" ht="21.75" customHeight="1" x14ac:dyDescent="0.2">
      <c r="A29" s="38">
        <v>45924</v>
      </c>
      <c r="B29" s="39" t="s">
        <v>441</v>
      </c>
      <c r="C29" s="40">
        <v>49006759</v>
      </c>
      <c r="D29" s="40">
        <v>109</v>
      </c>
      <c r="E29" s="40"/>
      <c r="F29" s="40"/>
      <c r="G29" s="40">
        <v>8641766</v>
      </c>
      <c r="H29" s="40">
        <v>3799845</v>
      </c>
      <c r="I29" s="40">
        <v>3535932</v>
      </c>
      <c r="J29" s="40">
        <v>62</v>
      </c>
      <c r="K29" s="40">
        <v>2779974</v>
      </c>
      <c r="L29" s="41"/>
      <c r="M29" s="5">
        <f t="shared" si="0"/>
        <v>15977543</v>
      </c>
      <c r="N29" s="5">
        <f t="shared" si="1"/>
        <v>64984302</v>
      </c>
      <c r="O29" s="5">
        <f t="shared" si="2"/>
        <v>449603.29357798165</v>
      </c>
      <c r="P29" s="5">
        <f t="shared" si="3"/>
        <v>257702.30645161291</v>
      </c>
      <c r="Q29" s="16" t="str">
        <f t="shared" si="4"/>
        <v/>
      </c>
    </row>
    <row r="30" spans="1:17" ht="21.75" customHeight="1" x14ac:dyDescent="0.2">
      <c r="A30" s="38">
        <v>45925</v>
      </c>
      <c r="B30" s="39" t="s">
        <v>442</v>
      </c>
      <c r="C30" s="40">
        <v>43995205</v>
      </c>
      <c r="D30" s="40">
        <v>102</v>
      </c>
      <c r="E30" s="40"/>
      <c r="F30" s="40"/>
      <c r="G30" s="40">
        <v>8357707</v>
      </c>
      <c r="H30" s="40">
        <v>3545005</v>
      </c>
      <c r="I30" s="40">
        <v>3694207</v>
      </c>
      <c r="J30" s="40">
        <v>53</v>
      </c>
      <c r="K30" s="40"/>
      <c r="L30" s="41"/>
      <c r="M30" s="5">
        <f t="shared" si="0"/>
        <v>15596919</v>
      </c>
      <c r="N30" s="5">
        <f t="shared" si="1"/>
        <v>59592124</v>
      </c>
      <c r="O30" s="5">
        <f t="shared" si="2"/>
        <v>431325.53921568627</v>
      </c>
      <c r="P30" s="5">
        <f t="shared" si="3"/>
        <v>294281.49056603771</v>
      </c>
      <c r="Q30" s="16" t="str">
        <f t="shared" si="4"/>
        <v/>
      </c>
    </row>
    <row r="31" spans="1:17" ht="21.75" customHeight="1" x14ac:dyDescent="0.2">
      <c r="A31" s="38">
        <v>45926</v>
      </c>
      <c r="B31" s="39" t="s">
        <v>443</v>
      </c>
      <c r="C31" s="40">
        <v>46995217</v>
      </c>
      <c r="D31" s="40">
        <v>112</v>
      </c>
      <c r="E31" s="40"/>
      <c r="F31" s="40"/>
      <c r="G31" s="40">
        <v>6275861</v>
      </c>
      <c r="H31" s="40">
        <v>5301898</v>
      </c>
      <c r="I31" s="40">
        <v>2341943</v>
      </c>
      <c r="J31" s="40">
        <v>51</v>
      </c>
      <c r="K31" s="40">
        <v>1286000</v>
      </c>
      <c r="L31" s="41"/>
      <c r="M31" s="5">
        <f t="shared" si="0"/>
        <v>13919702</v>
      </c>
      <c r="N31" s="5">
        <f t="shared" si="1"/>
        <v>60914919</v>
      </c>
      <c r="O31" s="5">
        <f t="shared" si="2"/>
        <v>419600.15178571426</v>
      </c>
      <c r="P31" s="5">
        <f t="shared" si="3"/>
        <v>272935.33333333331</v>
      </c>
      <c r="Q31" s="16" t="str">
        <f t="shared" si="4"/>
        <v/>
      </c>
    </row>
    <row r="32" spans="1:17" ht="21.75" customHeight="1" x14ac:dyDescent="0.2">
      <c r="A32" s="42">
        <v>45927</v>
      </c>
      <c r="B32" s="43" t="s">
        <v>444</v>
      </c>
      <c r="C32" s="40">
        <v>49614957</v>
      </c>
      <c r="D32" s="40">
        <v>115</v>
      </c>
      <c r="E32" s="40"/>
      <c r="F32" s="40"/>
      <c r="G32" s="40">
        <v>10291567</v>
      </c>
      <c r="H32" s="40">
        <v>6519027</v>
      </c>
      <c r="I32" s="40">
        <v>1619345</v>
      </c>
      <c r="J32" s="40">
        <v>69</v>
      </c>
      <c r="K32" s="40"/>
      <c r="L32" s="41"/>
      <c r="M32" s="5">
        <f t="shared" si="0"/>
        <v>18429939</v>
      </c>
      <c r="N32" s="5">
        <f t="shared" si="1"/>
        <v>68044896</v>
      </c>
      <c r="O32" s="5">
        <f t="shared" si="2"/>
        <v>431434.40869565215</v>
      </c>
      <c r="P32" s="5">
        <f t="shared" si="3"/>
        <v>267100.5652173913</v>
      </c>
      <c r="Q32" s="16" t="str">
        <f t="shared" si="4"/>
        <v/>
      </c>
    </row>
    <row r="33" spans="1:17" ht="21.75" customHeight="1" x14ac:dyDescent="0.2">
      <c r="A33" s="42">
        <v>45928</v>
      </c>
      <c r="B33" s="43" t="s">
        <v>445</v>
      </c>
      <c r="C33" s="40">
        <v>29293212</v>
      </c>
      <c r="D33" s="40">
        <v>80</v>
      </c>
      <c r="E33" s="40"/>
      <c r="F33" s="40"/>
      <c r="G33" s="40">
        <v>9007927</v>
      </c>
      <c r="H33" s="40">
        <v>4189014</v>
      </c>
      <c r="I33" s="40">
        <v>4283960</v>
      </c>
      <c r="J33" s="40">
        <v>56</v>
      </c>
      <c r="K33" s="40"/>
      <c r="L33" s="41"/>
      <c r="M33" s="5">
        <f t="shared" si="0"/>
        <v>17480901</v>
      </c>
      <c r="N33" s="5">
        <f t="shared" si="1"/>
        <v>46774113</v>
      </c>
      <c r="O33" s="5">
        <f t="shared" si="2"/>
        <v>366165.15</v>
      </c>
      <c r="P33" s="5">
        <f t="shared" si="3"/>
        <v>312158.94642857142</v>
      </c>
      <c r="Q33" s="16" t="str">
        <f t="shared" si="4"/>
        <v/>
      </c>
    </row>
    <row r="34" spans="1:17" ht="21.75" customHeight="1" x14ac:dyDescent="0.2">
      <c r="A34" s="38">
        <v>45929</v>
      </c>
      <c r="B34" s="39" t="s">
        <v>439</v>
      </c>
      <c r="C34" s="40">
        <v>36826801</v>
      </c>
      <c r="D34" s="40">
        <v>80</v>
      </c>
      <c r="E34" s="40"/>
      <c r="F34" s="40"/>
      <c r="G34" s="40">
        <v>5650575</v>
      </c>
      <c r="H34" s="40">
        <v>1750002</v>
      </c>
      <c r="I34" s="40">
        <v>1260956</v>
      </c>
      <c r="J34" s="40">
        <v>33</v>
      </c>
      <c r="K34" s="40">
        <v>3187081</v>
      </c>
      <c r="L34" s="41"/>
      <c r="M34" s="5">
        <f t="shared" si="0"/>
        <v>8661533</v>
      </c>
      <c r="N34" s="5">
        <f t="shared" si="1"/>
        <v>45488334</v>
      </c>
      <c r="O34" s="5">
        <f t="shared" si="2"/>
        <v>460335.01250000001</v>
      </c>
      <c r="P34" s="5">
        <f t="shared" si="3"/>
        <v>262470.69696969696</v>
      </c>
      <c r="Q34" s="16" t="str">
        <f t="shared" si="4"/>
        <v/>
      </c>
    </row>
    <row r="35" spans="1:17" ht="21.75" customHeight="1" x14ac:dyDescent="0.2">
      <c r="A35" s="38">
        <v>45930</v>
      </c>
      <c r="B35" s="39" t="s">
        <v>440</v>
      </c>
      <c r="C35" s="40">
        <v>26578616</v>
      </c>
      <c r="D35" s="40">
        <v>66</v>
      </c>
      <c r="E35" s="40"/>
      <c r="F35" s="40"/>
      <c r="G35" s="40">
        <v>9591536</v>
      </c>
      <c r="H35" s="40">
        <v>522001</v>
      </c>
      <c r="I35" s="40">
        <v>3270927</v>
      </c>
      <c r="J35" s="40">
        <v>44</v>
      </c>
      <c r="K35" s="40">
        <v>2843714</v>
      </c>
      <c r="L35" s="41"/>
      <c r="M35" s="5">
        <f t="shared" si="0"/>
        <v>13384464</v>
      </c>
      <c r="N35" s="5">
        <f t="shared" si="1"/>
        <v>39963080</v>
      </c>
      <c r="O35" s="5">
        <f t="shared" si="2"/>
        <v>402706.30303030304</v>
      </c>
      <c r="P35" s="5">
        <f t="shared" si="3"/>
        <v>304192.36363636365</v>
      </c>
      <c r="Q35" s="16" t="str">
        <f t="shared" si="4"/>
        <v/>
      </c>
    </row>
    <row r="36" spans="1:17" ht="18.75" customHeight="1" x14ac:dyDescent="0.2"/>
    <row r="37" spans="1:17" ht="18.75" customHeight="1" x14ac:dyDescent="0.2"/>
    <row r="38" spans="1:17" ht="18.75" customHeight="1" x14ac:dyDescent="0.2"/>
    <row r="39" spans="1:17" ht="18.75" customHeight="1" x14ac:dyDescent="0.2"/>
    <row r="40" spans="1:17" ht="18.75" customHeight="1" x14ac:dyDescent="0.2"/>
    <row r="41" spans="1:17" ht="18.75" customHeight="1" x14ac:dyDescent="0.2"/>
    <row r="42" spans="1:17" ht="18.75" customHeight="1" x14ac:dyDescent="0.2"/>
    <row r="43" spans="1:17" ht="18.75" customHeight="1" x14ac:dyDescent="0.2"/>
    <row r="44" spans="1:17" ht="18.75" customHeight="1" x14ac:dyDescent="0.2"/>
    <row r="45" spans="1:17" ht="18.75" customHeight="1" x14ac:dyDescent="0.2"/>
    <row r="46" spans="1:17" ht="18.75" customHeight="1" x14ac:dyDescent="0.2"/>
    <row r="47" spans="1:17" ht="18.75" customHeight="1" x14ac:dyDescent="0.2"/>
    <row r="48" spans="1:17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9">
    <mergeCell ref="A1:Q1"/>
    <mergeCell ref="E3:F3"/>
    <mergeCell ref="O3:P3"/>
    <mergeCell ref="G3:J3"/>
    <mergeCell ref="A5:B5"/>
    <mergeCell ref="A2:Q2"/>
    <mergeCell ref="M3:N3"/>
    <mergeCell ref="C3:D3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Q200"/>
  <sheetViews>
    <sheetView workbookViewId="0"/>
  </sheetViews>
  <sheetFormatPr baseColWidth="10" defaultColWidth="14" defaultRowHeight="14" x14ac:dyDescent="0.2"/>
  <cols>
    <col min="1" max="1" width="15" customWidth="1"/>
    <col min="2" max="2" width="6" customWidth="1"/>
    <col min="3" max="3" width="19" customWidth="1"/>
    <col min="4" max="4" width="11" customWidth="1"/>
    <col min="5" max="5" width="15" customWidth="1"/>
    <col min="6" max="9" width="17" customWidth="1"/>
    <col min="10" max="10" width="12" customWidth="1"/>
    <col min="11" max="11" width="16" customWidth="1"/>
    <col min="12" max="12" width="27" customWidth="1"/>
    <col min="13" max="14" width="18" customWidth="1"/>
    <col min="15" max="16" width="15" customWidth="1"/>
    <col min="17" max="17" width="12" customWidth="1"/>
    <col min="18" max="20" width="11" customWidth="1"/>
  </cols>
  <sheetData>
    <row r="1" spans="1:17" ht="33" customHeight="1" x14ac:dyDescent="0.2">
      <c r="A1" s="158" t="s">
        <v>446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1.75" customHeight="1" x14ac:dyDescent="0.2">
      <c r="A2" s="146" t="s">
        <v>412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.75" customHeight="1" x14ac:dyDescent="0.2">
      <c r="A3" s="157" t="s">
        <v>413</v>
      </c>
      <c r="B3" s="143"/>
      <c r="C3" s="156" t="s">
        <v>414</v>
      </c>
      <c r="D3" s="143"/>
      <c r="E3" s="159" t="s">
        <v>415</v>
      </c>
      <c r="F3" s="143"/>
      <c r="G3" s="154" t="s">
        <v>416</v>
      </c>
      <c r="H3" s="143"/>
      <c r="I3" s="143"/>
      <c r="J3" s="143"/>
      <c r="K3" s="22" t="s">
        <v>417</v>
      </c>
      <c r="L3" s="23" t="s">
        <v>418</v>
      </c>
      <c r="M3" s="153" t="s">
        <v>419</v>
      </c>
      <c r="N3" s="143"/>
      <c r="O3" s="153" t="s">
        <v>419</v>
      </c>
      <c r="P3" s="143"/>
      <c r="Q3" s="24" t="s">
        <v>420</v>
      </c>
    </row>
    <row r="4" spans="1:17" ht="36" customHeight="1" x14ac:dyDescent="0.2">
      <c r="A4" s="25" t="s">
        <v>421</v>
      </c>
      <c r="B4" s="25" t="s">
        <v>422</v>
      </c>
      <c r="C4" s="26" t="s">
        <v>423</v>
      </c>
      <c r="D4" s="26" t="s">
        <v>424</v>
      </c>
      <c r="E4" s="27" t="s">
        <v>425</v>
      </c>
      <c r="F4" s="27" t="s">
        <v>426</v>
      </c>
      <c r="G4" s="28" t="s">
        <v>427</v>
      </c>
      <c r="H4" s="28" t="s">
        <v>428</v>
      </c>
      <c r="I4" s="28" t="s">
        <v>429</v>
      </c>
      <c r="J4" s="28" t="s">
        <v>430</v>
      </c>
      <c r="K4" s="29" t="s">
        <v>431</v>
      </c>
      <c r="L4" s="30" t="s">
        <v>432</v>
      </c>
      <c r="M4" s="31" t="s">
        <v>433</v>
      </c>
      <c r="N4" s="31" t="s">
        <v>434</v>
      </c>
      <c r="O4" s="31" t="s">
        <v>435</v>
      </c>
      <c r="P4" s="31" t="s">
        <v>436</v>
      </c>
      <c r="Q4" s="31" t="s">
        <v>437</v>
      </c>
    </row>
    <row r="5" spans="1:17" ht="21.75" customHeight="1" x14ac:dyDescent="0.2">
      <c r="A5" s="155" t="s">
        <v>438</v>
      </c>
      <c r="B5" s="143"/>
      <c r="C5" s="32"/>
      <c r="D5" s="33"/>
      <c r="E5" s="33"/>
      <c r="F5" s="33"/>
      <c r="G5" s="34"/>
      <c r="H5" s="34"/>
      <c r="I5" s="34"/>
      <c r="J5" s="33"/>
      <c r="K5" s="33"/>
      <c r="L5" s="33"/>
      <c r="M5" s="35"/>
      <c r="N5" s="35"/>
      <c r="O5" s="36"/>
      <c r="P5" s="36"/>
      <c r="Q5" s="37"/>
    </row>
    <row r="6" spans="1:17" ht="21.75" customHeight="1" x14ac:dyDescent="0.2">
      <c r="A6" s="38">
        <v>45931</v>
      </c>
      <c r="B6" s="39" t="s">
        <v>441</v>
      </c>
      <c r="C6" s="40">
        <v>45010927</v>
      </c>
      <c r="D6" s="40">
        <v>88</v>
      </c>
      <c r="E6" s="40"/>
      <c r="F6" s="40"/>
      <c r="G6" s="40">
        <v>8633814</v>
      </c>
      <c r="H6" s="40">
        <v>7409030</v>
      </c>
      <c r="I6" s="40">
        <v>3053185</v>
      </c>
      <c r="J6" s="40">
        <v>56</v>
      </c>
      <c r="K6" s="40">
        <v>4639334</v>
      </c>
      <c r="L6" s="41"/>
      <c r="M6" s="5">
        <f t="shared" ref="M6:M36" si="0">IF(SUM(G6:I6)&gt;0,SUM(G6:I6),"")</f>
        <v>19096029</v>
      </c>
      <c r="N6" s="5">
        <f t="shared" ref="N6:N36" si="1">IF(N(C6)+N(M6)&gt;0,N(C6)+N(M6),"")</f>
        <v>64106956</v>
      </c>
      <c r="O6" s="5">
        <f t="shared" ref="O6:O36" si="2">IFERROR(IF(D6&gt;0,C6/D6,""),"")</f>
        <v>511487.80681818182</v>
      </c>
      <c r="P6" s="5">
        <f t="shared" ref="P6:P36" si="3">IFERROR(IF(J6&gt;0,M6/J6,""),"")</f>
        <v>341000.51785714284</v>
      </c>
      <c r="Q6" s="16" t="str">
        <f t="shared" ref="Q6:Q36" si="4">IFERROR(IF(E6&gt;0,D6/E6,""),"")</f>
        <v/>
      </c>
    </row>
    <row r="7" spans="1:17" ht="21.75" customHeight="1" x14ac:dyDescent="0.2">
      <c r="A7" s="38">
        <v>45932</v>
      </c>
      <c r="B7" s="39" t="s">
        <v>442</v>
      </c>
      <c r="C7" s="40">
        <v>58008442</v>
      </c>
      <c r="D7" s="40">
        <v>140</v>
      </c>
      <c r="E7" s="40"/>
      <c r="F7" s="40"/>
      <c r="G7" s="40">
        <v>17493440</v>
      </c>
      <c r="H7" s="40">
        <v>5845048</v>
      </c>
      <c r="I7" s="40">
        <v>2381135</v>
      </c>
      <c r="J7" s="40">
        <v>71</v>
      </c>
      <c r="K7" s="40">
        <v>231481</v>
      </c>
      <c r="L7" s="41"/>
      <c r="M7" s="5">
        <f t="shared" si="0"/>
        <v>25719623</v>
      </c>
      <c r="N7" s="5">
        <f t="shared" si="1"/>
        <v>83728065</v>
      </c>
      <c r="O7" s="5">
        <f t="shared" si="2"/>
        <v>414346.01428571431</v>
      </c>
      <c r="P7" s="5">
        <f t="shared" si="3"/>
        <v>362248.21126760566</v>
      </c>
      <c r="Q7" s="16" t="str">
        <f t="shared" si="4"/>
        <v/>
      </c>
    </row>
    <row r="8" spans="1:17" ht="21.75" customHeight="1" x14ac:dyDescent="0.2">
      <c r="A8" s="38">
        <v>45933</v>
      </c>
      <c r="B8" s="39" t="s">
        <v>443</v>
      </c>
      <c r="C8" s="40">
        <v>49601544</v>
      </c>
      <c r="D8" s="40">
        <v>115</v>
      </c>
      <c r="E8" s="40"/>
      <c r="F8" s="40"/>
      <c r="G8" s="40">
        <v>8370298</v>
      </c>
      <c r="H8" s="40">
        <v>5441235</v>
      </c>
      <c r="I8" s="40">
        <v>2403172</v>
      </c>
      <c r="J8" s="40">
        <v>75</v>
      </c>
      <c r="K8" s="40">
        <v>2990725</v>
      </c>
      <c r="L8" s="41"/>
      <c r="M8" s="5">
        <f t="shared" si="0"/>
        <v>16214705</v>
      </c>
      <c r="N8" s="5">
        <f t="shared" si="1"/>
        <v>65816249</v>
      </c>
      <c r="O8" s="5">
        <f t="shared" si="2"/>
        <v>431317.77391304349</v>
      </c>
      <c r="P8" s="5">
        <f t="shared" si="3"/>
        <v>216196.06666666668</v>
      </c>
      <c r="Q8" s="16" t="str">
        <f t="shared" si="4"/>
        <v/>
      </c>
    </row>
    <row r="9" spans="1:17" ht="21.75" customHeight="1" x14ac:dyDescent="0.2">
      <c r="A9" s="38">
        <v>45934</v>
      </c>
      <c r="B9" s="39" t="s">
        <v>444</v>
      </c>
      <c r="C9" s="40">
        <v>61264067</v>
      </c>
      <c r="D9" s="40">
        <v>144</v>
      </c>
      <c r="E9" s="40"/>
      <c r="F9" s="40"/>
      <c r="G9" s="40">
        <v>10959619</v>
      </c>
      <c r="H9" s="40">
        <v>8020160</v>
      </c>
      <c r="I9" s="40">
        <v>5712537</v>
      </c>
      <c r="J9" s="40">
        <v>90</v>
      </c>
      <c r="K9" s="40">
        <v>259259</v>
      </c>
      <c r="L9" s="41"/>
      <c r="M9" s="5">
        <f t="shared" si="0"/>
        <v>24692316</v>
      </c>
      <c r="N9" s="5">
        <f t="shared" si="1"/>
        <v>85956383</v>
      </c>
      <c r="O9" s="5">
        <f t="shared" si="2"/>
        <v>425444.90972222225</v>
      </c>
      <c r="P9" s="5">
        <f t="shared" si="3"/>
        <v>274359.06666666665</v>
      </c>
      <c r="Q9" s="16" t="str">
        <f t="shared" si="4"/>
        <v/>
      </c>
    </row>
    <row r="10" spans="1:17" ht="21.75" customHeight="1" x14ac:dyDescent="0.2">
      <c r="A10" s="38">
        <v>45935</v>
      </c>
      <c r="B10" s="39" t="s">
        <v>445</v>
      </c>
      <c r="C10" s="40">
        <v>45157076</v>
      </c>
      <c r="D10" s="40">
        <v>94</v>
      </c>
      <c r="E10" s="40"/>
      <c r="F10" s="40"/>
      <c r="G10" s="40">
        <v>11523563</v>
      </c>
      <c r="H10" s="40">
        <v>4457011</v>
      </c>
      <c r="I10" s="40">
        <v>3321838</v>
      </c>
      <c r="J10" s="40">
        <v>72</v>
      </c>
      <c r="K10" s="40"/>
      <c r="L10" s="41"/>
      <c r="M10" s="5">
        <f t="shared" si="0"/>
        <v>19302412</v>
      </c>
      <c r="N10" s="5">
        <f t="shared" si="1"/>
        <v>64459488</v>
      </c>
      <c r="O10" s="5">
        <f t="shared" si="2"/>
        <v>480394.42553191487</v>
      </c>
      <c r="P10" s="5">
        <f t="shared" si="3"/>
        <v>268089.05555555556</v>
      </c>
      <c r="Q10" s="16" t="str">
        <f t="shared" si="4"/>
        <v/>
      </c>
    </row>
    <row r="11" spans="1:17" ht="21.75" customHeight="1" x14ac:dyDescent="0.2">
      <c r="A11" s="42">
        <v>45936</v>
      </c>
      <c r="B11" s="43" t="s">
        <v>439</v>
      </c>
      <c r="C11" s="40">
        <v>51694731</v>
      </c>
      <c r="D11" s="40">
        <v>118</v>
      </c>
      <c r="E11" s="40"/>
      <c r="F11" s="40"/>
      <c r="G11" s="40">
        <v>4617677</v>
      </c>
      <c r="H11" s="40">
        <v>3110004</v>
      </c>
      <c r="I11" s="40">
        <v>1429954</v>
      </c>
      <c r="J11" s="40">
        <v>37</v>
      </c>
      <c r="K11" s="40">
        <v>3377158</v>
      </c>
      <c r="L11" s="41"/>
      <c r="M11" s="5">
        <f t="shared" si="0"/>
        <v>9157635</v>
      </c>
      <c r="N11" s="5">
        <f t="shared" si="1"/>
        <v>60852366</v>
      </c>
      <c r="O11" s="5">
        <f t="shared" si="2"/>
        <v>438090.94067796611</v>
      </c>
      <c r="P11" s="5">
        <f t="shared" si="3"/>
        <v>247503.64864864864</v>
      </c>
      <c r="Q11" s="16" t="str">
        <f t="shared" si="4"/>
        <v/>
      </c>
    </row>
    <row r="12" spans="1:17" ht="21.75" customHeight="1" x14ac:dyDescent="0.2">
      <c r="A12" s="42">
        <v>45937</v>
      </c>
      <c r="B12" s="43" t="s">
        <v>440</v>
      </c>
      <c r="C12" s="40">
        <v>39795110</v>
      </c>
      <c r="D12" s="40">
        <v>80</v>
      </c>
      <c r="E12" s="40"/>
      <c r="F12" s="40"/>
      <c r="G12" s="40">
        <v>11169060</v>
      </c>
      <c r="H12" s="40">
        <v>2084014</v>
      </c>
      <c r="I12" s="40">
        <v>4552574</v>
      </c>
      <c r="J12" s="40">
        <v>66</v>
      </c>
      <c r="K12" s="40">
        <v>648148</v>
      </c>
      <c r="L12" s="41"/>
      <c r="M12" s="5">
        <f t="shared" si="0"/>
        <v>17805648</v>
      </c>
      <c r="N12" s="5">
        <f t="shared" si="1"/>
        <v>57600758</v>
      </c>
      <c r="O12" s="5">
        <f t="shared" si="2"/>
        <v>497438.875</v>
      </c>
      <c r="P12" s="5">
        <f t="shared" si="3"/>
        <v>269782.54545454547</v>
      </c>
      <c r="Q12" s="16" t="str">
        <f t="shared" si="4"/>
        <v/>
      </c>
    </row>
    <row r="13" spans="1:17" ht="21.75" customHeight="1" x14ac:dyDescent="0.2">
      <c r="A13" s="38">
        <v>45938</v>
      </c>
      <c r="B13" s="39" t="s">
        <v>441</v>
      </c>
      <c r="C13" s="40">
        <v>45887750</v>
      </c>
      <c r="D13" s="40">
        <v>113</v>
      </c>
      <c r="E13" s="40"/>
      <c r="F13" s="40"/>
      <c r="G13" s="40">
        <v>5852671</v>
      </c>
      <c r="H13" s="40">
        <v>7328017</v>
      </c>
      <c r="I13" s="40">
        <v>1549194</v>
      </c>
      <c r="J13" s="40">
        <v>50</v>
      </c>
      <c r="K13" s="40">
        <v>762117</v>
      </c>
      <c r="L13" s="41"/>
      <c r="M13" s="5">
        <f t="shared" si="0"/>
        <v>14729882</v>
      </c>
      <c r="N13" s="5">
        <f t="shared" si="1"/>
        <v>60617632</v>
      </c>
      <c r="O13" s="5">
        <f t="shared" si="2"/>
        <v>406086.2831858407</v>
      </c>
      <c r="P13" s="5">
        <f t="shared" si="3"/>
        <v>294597.64</v>
      </c>
      <c r="Q13" s="16" t="str">
        <f t="shared" si="4"/>
        <v/>
      </c>
    </row>
    <row r="14" spans="1:17" ht="21.75" customHeight="1" x14ac:dyDescent="0.2">
      <c r="A14" s="38">
        <v>45939</v>
      </c>
      <c r="B14" s="39" t="s">
        <v>442</v>
      </c>
      <c r="C14" s="40">
        <v>46210499</v>
      </c>
      <c r="D14" s="40">
        <v>122</v>
      </c>
      <c r="E14" s="40"/>
      <c r="F14" s="40"/>
      <c r="G14" s="40">
        <v>11618778</v>
      </c>
      <c r="H14" s="40">
        <v>4602012</v>
      </c>
      <c r="I14" s="40">
        <v>3268913</v>
      </c>
      <c r="J14" s="40">
        <v>73</v>
      </c>
      <c r="K14" s="40">
        <v>1119295</v>
      </c>
      <c r="L14" s="41"/>
      <c r="M14" s="5">
        <f t="shared" si="0"/>
        <v>19489703</v>
      </c>
      <c r="N14" s="5">
        <f t="shared" si="1"/>
        <v>65700202</v>
      </c>
      <c r="O14" s="5">
        <f t="shared" si="2"/>
        <v>378774.58196721313</v>
      </c>
      <c r="P14" s="5">
        <f t="shared" si="3"/>
        <v>266982.23287671234</v>
      </c>
      <c r="Q14" s="16" t="str">
        <f t="shared" si="4"/>
        <v/>
      </c>
    </row>
    <row r="15" spans="1:17" ht="21.75" customHeight="1" x14ac:dyDescent="0.2">
      <c r="A15" s="38">
        <v>45940</v>
      </c>
      <c r="B15" s="39" t="s">
        <v>443</v>
      </c>
      <c r="C15" s="40">
        <v>63115431</v>
      </c>
      <c r="D15" s="40">
        <v>151</v>
      </c>
      <c r="E15" s="40"/>
      <c r="F15" s="40"/>
      <c r="G15" s="40">
        <v>9994773</v>
      </c>
      <c r="H15" s="40">
        <v>6855007</v>
      </c>
      <c r="I15" s="40">
        <v>2338358</v>
      </c>
      <c r="J15" s="40">
        <v>86</v>
      </c>
      <c r="K15" s="40">
        <v>7349175</v>
      </c>
      <c r="L15" s="41"/>
      <c r="M15" s="5">
        <f t="shared" si="0"/>
        <v>19188138</v>
      </c>
      <c r="N15" s="5">
        <f t="shared" si="1"/>
        <v>82303569</v>
      </c>
      <c r="O15" s="5">
        <f t="shared" si="2"/>
        <v>417982.9867549669</v>
      </c>
      <c r="P15" s="5">
        <f t="shared" si="3"/>
        <v>223117.88372093023</v>
      </c>
      <c r="Q15" s="16" t="str">
        <f t="shared" si="4"/>
        <v/>
      </c>
    </row>
    <row r="16" spans="1:17" ht="21.75" customHeight="1" x14ac:dyDescent="0.2">
      <c r="A16" s="38">
        <v>45941</v>
      </c>
      <c r="B16" s="39" t="s">
        <v>444</v>
      </c>
      <c r="C16" s="40">
        <v>43361508</v>
      </c>
      <c r="D16" s="40">
        <v>95</v>
      </c>
      <c r="E16" s="40"/>
      <c r="F16" s="40"/>
      <c r="G16" s="40">
        <v>14862245</v>
      </c>
      <c r="H16" s="40">
        <v>8419609</v>
      </c>
      <c r="I16" s="40">
        <v>2925329</v>
      </c>
      <c r="J16" s="40">
        <v>103</v>
      </c>
      <c r="K16" s="40">
        <v>868800</v>
      </c>
      <c r="L16" s="41"/>
      <c r="M16" s="5">
        <f t="shared" si="0"/>
        <v>26207183</v>
      </c>
      <c r="N16" s="5">
        <f t="shared" si="1"/>
        <v>69568691</v>
      </c>
      <c r="O16" s="5">
        <f t="shared" si="2"/>
        <v>456436.92631578946</v>
      </c>
      <c r="P16" s="5">
        <f t="shared" si="3"/>
        <v>254438.66990291263</v>
      </c>
      <c r="Q16" s="16" t="str">
        <f t="shared" si="4"/>
        <v/>
      </c>
    </row>
    <row r="17" spans="1:17" ht="21.75" customHeight="1" x14ac:dyDescent="0.2">
      <c r="A17" s="38">
        <v>45942</v>
      </c>
      <c r="B17" s="39" t="s">
        <v>445</v>
      </c>
      <c r="C17" s="40">
        <v>38404085</v>
      </c>
      <c r="D17" s="40">
        <v>98</v>
      </c>
      <c r="E17" s="40"/>
      <c r="F17" s="40"/>
      <c r="G17" s="40">
        <v>10787852</v>
      </c>
      <c r="H17" s="40">
        <v>8777029</v>
      </c>
      <c r="I17" s="40">
        <v>5361360</v>
      </c>
      <c r="J17" s="40">
        <v>90</v>
      </c>
      <c r="K17" s="40">
        <v>1007407</v>
      </c>
      <c r="L17" s="41"/>
      <c r="M17" s="5">
        <f t="shared" si="0"/>
        <v>24926241</v>
      </c>
      <c r="N17" s="5">
        <f t="shared" si="1"/>
        <v>63330326</v>
      </c>
      <c r="O17" s="5">
        <f t="shared" si="2"/>
        <v>391878.41836734692</v>
      </c>
      <c r="P17" s="5">
        <f t="shared" si="3"/>
        <v>276958.23333333334</v>
      </c>
      <c r="Q17" s="16" t="str">
        <f t="shared" si="4"/>
        <v/>
      </c>
    </row>
    <row r="18" spans="1:17" ht="21.75" customHeight="1" x14ac:dyDescent="0.2">
      <c r="A18" s="42">
        <v>45943</v>
      </c>
      <c r="B18" s="43" t="s">
        <v>439</v>
      </c>
      <c r="C18" s="40">
        <v>30501930</v>
      </c>
      <c r="D18" s="40">
        <v>78</v>
      </c>
      <c r="E18" s="40"/>
      <c r="F18" s="40"/>
      <c r="G18" s="40">
        <v>3761961</v>
      </c>
      <c r="H18" s="40">
        <v>2757010</v>
      </c>
      <c r="I18" s="40">
        <v>1915863</v>
      </c>
      <c r="J18" s="40">
        <v>41</v>
      </c>
      <c r="K18" s="40">
        <v>1012859</v>
      </c>
      <c r="L18" s="41"/>
      <c r="M18" s="5">
        <f t="shared" si="0"/>
        <v>8434834</v>
      </c>
      <c r="N18" s="5">
        <f t="shared" si="1"/>
        <v>38936764</v>
      </c>
      <c r="O18" s="5">
        <f t="shared" si="2"/>
        <v>391050.38461538462</v>
      </c>
      <c r="P18" s="5">
        <f t="shared" si="3"/>
        <v>205727.65853658537</v>
      </c>
      <c r="Q18" s="16" t="str">
        <f t="shared" si="4"/>
        <v/>
      </c>
    </row>
    <row r="19" spans="1:17" ht="21.75" customHeight="1" x14ac:dyDescent="0.2">
      <c r="A19" s="42">
        <v>45944</v>
      </c>
      <c r="B19" s="43" t="s">
        <v>440</v>
      </c>
      <c r="C19" s="40">
        <v>47037132</v>
      </c>
      <c r="D19" s="40">
        <v>123</v>
      </c>
      <c r="E19" s="40"/>
      <c r="F19" s="40"/>
      <c r="G19" s="40">
        <v>7133409</v>
      </c>
      <c r="H19" s="40">
        <v>2047008</v>
      </c>
      <c r="I19" s="40">
        <v>2730829</v>
      </c>
      <c r="J19" s="40">
        <v>41</v>
      </c>
      <c r="K19" s="40">
        <v>1820646</v>
      </c>
      <c r="L19" s="41"/>
      <c r="M19" s="5">
        <f t="shared" si="0"/>
        <v>11911246</v>
      </c>
      <c r="N19" s="5">
        <f t="shared" si="1"/>
        <v>58948378</v>
      </c>
      <c r="O19" s="5">
        <f t="shared" si="2"/>
        <v>382415.70731707319</v>
      </c>
      <c r="P19" s="5">
        <f t="shared" si="3"/>
        <v>290518.19512195123</v>
      </c>
      <c r="Q19" s="16" t="str">
        <f t="shared" si="4"/>
        <v/>
      </c>
    </row>
    <row r="20" spans="1:17" ht="21.75" customHeight="1" x14ac:dyDescent="0.2">
      <c r="A20" s="38">
        <v>45945</v>
      </c>
      <c r="B20" s="39" t="s">
        <v>441</v>
      </c>
      <c r="C20" s="40">
        <v>55649153</v>
      </c>
      <c r="D20" s="40">
        <v>135</v>
      </c>
      <c r="E20" s="40"/>
      <c r="F20" s="40"/>
      <c r="G20" s="40">
        <v>9567799</v>
      </c>
      <c r="H20" s="40">
        <v>6190018</v>
      </c>
      <c r="I20" s="40">
        <v>2432192</v>
      </c>
      <c r="J20" s="40">
        <v>61</v>
      </c>
      <c r="K20" s="40">
        <v>1064814</v>
      </c>
      <c r="L20" s="41"/>
      <c r="M20" s="5">
        <f t="shared" si="0"/>
        <v>18190009</v>
      </c>
      <c r="N20" s="5">
        <f t="shared" si="1"/>
        <v>73839162</v>
      </c>
      <c r="O20" s="5">
        <f t="shared" si="2"/>
        <v>412215.94814814813</v>
      </c>
      <c r="P20" s="5">
        <f t="shared" si="3"/>
        <v>298196.86885245901</v>
      </c>
      <c r="Q20" s="16" t="str">
        <f t="shared" si="4"/>
        <v/>
      </c>
    </row>
    <row r="21" spans="1:17" ht="21.75" customHeight="1" x14ac:dyDescent="0.2">
      <c r="A21" s="38">
        <v>45946</v>
      </c>
      <c r="B21" s="39" t="s">
        <v>442</v>
      </c>
      <c r="C21" s="40">
        <v>50156379</v>
      </c>
      <c r="D21" s="40">
        <v>129</v>
      </c>
      <c r="E21" s="40"/>
      <c r="F21" s="40"/>
      <c r="G21" s="40">
        <v>10855316</v>
      </c>
      <c r="H21" s="40">
        <v>7121017</v>
      </c>
      <c r="I21" s="40">
        <v>3567138</v>
      </c>
      <c r="J21" s="40">
        <v>76</v>
      </c>
      <c r="K21" s="40">
        <v>509259</v>
      </c>
      <c r="L21" s="41"/>
      <c r="M21" s="5">
        <f t="shared" si="0"/>
        <v>21543471</v>
      </c>
      <c r="N21" s="5">
        <f t="shared" si="1"/>
        <v>71699850</v>
      </c>
      <c r="O21" s="5">
        <f t="shared" si="2"/>
        <v>388809.13953488372</v>
      </c>
      <c r="P21" s="5">
        <f t="shared" si="3"/>
        <v>283466.7236842105</v>
      </c>
      <c r="Q21" s="16" t="str">
        <f t="shared" si="4"/>
        <v/>
      </c>
    </row>
    <row r="22" spans="1:17" ht="21.75" customHeight="1" x14ac:dyDescent="0.2">
      <c r="A22" s="38">
        <v>45947</v>
      </c>
      <c r="B22" s="39" t="s">
        <v>443</v>
      </c>
      <c r="C22" s="40">
        <v>39413081</v>
      </c>
      <c r="D22" s="40">
        <v>103</v>
      </c>
      <c r="E22" s="40"/>
      <c r="F22" s="40"/>
      <c r="G22" s="40">
        <v>5789883</v>
      </c>
      <c r="H22" s="40">
        <v>7305022</v>
      </c>
      <c r="I22" s="40">
        <v>5099994</v>
      </c>
      <c r="J22" s="40">
        <v>74</v>
      </c>
      <c r="K22" s="40">
        <v>2728304</v>
      </c>
      <c r="L22" s="41"/>
      <c r="M22" s="5">
        <f t="shared" si="0"/>
        <v>18194899</v>
      </c>
      <c r="N22" s="5">
        <f t="shared" si="1"/>
        <v>57607980</v>
      </c>
      <c r="O22" s="5">
        <f t="shared" si="2"/>
        <v>382651.27184466022</v>
      </c>
      <c r="P22" s="5">
        <f t="shared" si="3"/>
        <v>245877.01351351352</v>
      </c>
      <c r="Q22" s="16" t="str">
        <f t="shared" si="4"/>
        <v/>
      </c>
    </row>
    <row r="23" spans="1:17" ht="21.75" customHeight="1" x14ac:dyDescent="0.2">
      <c r="A23" s="38">
        <v>45948</v>
      </c>
      <c r="B23" s="39" t="s">
        <v>444</v>
      </c>
      <c r="C23" s="40">
        <v>46272506</v>
      </c>
      <c r="D23" s="40">
        <v>112</v>
      </c>
      <c r="E23" s="40"/>
      <c r="F23" s="40"/>
      <c r="G23" s="40">
        <v>13734819</v>
      </c>
      <c r="H23" s="40">
        <v>7032017</v>
      </c>
      <c r="I23" s="40">
        <v>3290837</v>
      </c>
      <c r="J23" s="40">
        <v>89</v>
      </c>
      <c r="K23" s="40"/>
      <c r="L23" s="41"/>
      <c r="M23" s="5">
        <f t="shared" si="0"/>
        <v>24057673</v>
      </c>
      <c r="N23" s="5">
        <f t="shared" si="1"/>
        <v>70330179</v>
      </c>
      <c r="O23" s="5">
        <f t="shared" si="2"/>
        <v>413147.375</v>
      </c>
      <c r="P23" s="5">
        <f t="shared" si="3"/>
        <v>270310.93258426967</v>
      </c>
      <c r="Q23" s="16" t="str">
        <f t="shared" si="4"/>
        <v/>
      </c>
    </row>
    <row r="24" spans="1:17" ht="21.75" customHeight="1" x14ac:dyDescent="0.2">
      <c r="A24" s="38">
        <v>45949</v>
      </c>
      <c r="B24" s="39" t="s">
        <v>445</v>
      </c>
      <c r="C24" s="40">
        <v>34450984</v>
      </c>
      <c r="D24" s="40">
        <v>93</v>
      </c>
      <c r="E24" s="40"/>
      <c r="F24" s="40"/>
      <c r="G24" s="40">
        <v>5545576</v>
      </c>
      <c r="H24" s="40">
        <v>4479018</v>
      </c>
      <c r="I24" s="40">
        <v>4556150</v>
      </c>
      <c r="J24" s="40">
        <v>58</v>
      </c>
      <c r="K24" s="40">
        <v>324074</v>
      </c>
      <c r="L24" s="41"/>
      <c r="M24" s="5">
        <f t="shared" si="0"/>
        <v>14580744</v>
      </c>
      <c r="N24" s="5">
        <f t="shared" si="1"/>
        <v>49031728</v>
      </c>
      <c r="O24" s="5">
        <f t="shared" si="2"/>
        <v>370440.68817204301</v>
      </c>
      <c r="P24" s="5">
        <f t="shared" si="3"/>
        <v>251392.13793103449</v>
      </c>
      <c r="Q24" s="16" t="str">
        <f t="shared" si="4"/>
        <v/>
      </c>
    </row>
    <row r="25" spans="1:17" ht="21.75" customHeight="1" x14ac:dyDescent="0.2">
      <c r="A25" s="42">
        <v>45950</v>
      </c>
      <c r="B25" s="43" t="s">
        <v>439</v>
      </c>
      <c r="C25" s="40">
        <v>38832798</v>
      </c>
      <c r="D25" s="40">
        <v>93</v>
      </c>
      <c r="E25" s="40"/>
      <c r="F25" s="40"/>
      <c r="G25" s="40">
        <v>8825547</v>
      </c>
      <c r="H25" s="40">
        <v>1832002</v>
      </c>
      <c r="I25" s="40">
        <v>2457713</v>
      </c>
      <c r="J25" s="40">
        <v>45</v>
      </c>
      <c r="K25" s="40">
        <v>185185</v>
      </c>
      <c r="L25" s="41"/>
      <c r="M25" s="5">
        <f t="shared" si="0"/>
        <v>13115262</v>
      </c>
      <c r="N25" s="5">
        <f t="shared" si="1"/>
        <v>51948060</v>
      </c>
      <c r="O25" s="5">
        <f t="shared" si="2"/>
        <v>417556.96774193546</v>
      </c>
      <c r="P25" s="5">
        <f t="shared" si="3"/>
        <v>291450.26666666666</v>
      </c>
      <c r="Q25" s="16" t="str">
        <f t="shared" si="4"/>
        <v/>
      </c>
    </row>
    <row r="26" spans="1:17" ht="21.75" customHeight="1" x14ac:dyDescent="0.2">
      <c r="A26" s="42">
        <v>45951</v>
      </c>
      <c r="B26" s="43" t="s">
        <v>440</v>
      </c>
      <c r="C26" s="40">
        <v>44302785</v>
      </c>
      <c r="D26" s="40">
        <v>110</v>
      </c>
      <c r="E26" s="40"/>
      <c r="F26" s="40"/>
      <c r="G26" s="40">
        <v>12161723</v>
      </c>
      <c r="H26" s="40">
        <v>3232005</v>
      </c>
      <c r="I26" s="40">
        <v>2261693</v>
      </c>
      <c r="J26" s="40">
        <v>55</v>
      </c>
      <c r="K26" s="40"/>
      <c r="L26" s="41"/>
      <c r="M26" s="5">
        <f t="shared" si="0"/>
        <v>17655421</v>
      </c>
      <c r="N26" s="5">
        <f t="shared" si="1"/>
        <v>61958206</v>
      </c>
      <c r="O26" s="5">
        <f t="shared" si="2"/>
        <v>402752.59090909088</v>
      </c>
      <c r="P26" s="5">
        <f t="shared" si="3"/>
        <v>321007.65454545454</v>
      </c>
      <c r="Q26" s="16" t="str">
        <f t="shared" si="4"/>
        <v/>
      </c>
    </row>
    <row r="27" spans="1:17" ht="21.75" customHeight="1" x14ac:dyDescent="0.2">
      <c r="A27" s="38">
        <v>45952</v>
      </c>
      <c r="B27" s="39" t="s">
        <v>441</v>
      </c>
      <c r="C27" s="40">
        <v>41505430</v>
      </c>
      <c r="D27" s="40">
        <v>96</v>
      </c>
      <c r="E27" s="40"/>
      <c r="F27" s="40"/>
      <c r="G27" s="40">
        <v>10594670</v>
      </c>
      <c r="H27" s="40">
        <v>6844015</v>
      </c>
      <c r="I27" s="40">
        <v>3053957</v>
      </c>
      <c r="J27" s="40">
        <v>65</v>
      </c>
      <c r="K27" s="40">
        <v>2720000</v>
      </c>
      <c r="L27" s="41"/>
      <c r="M27" s="5">
        <f t="shared" si="0"/>
        <v>20492642</v>
      </c>
      <c r="N27" s="5">
        <f t="shared" si="1"/>
        <v>61998072</v>
      </c>
      <c r="O27" s="5">
        <f t="shared" si="2"/>
        <v>432348.22916666669</v>
      </c>
      <c r="P27" s="5">
        <f t="shared" si="3"/>
        <v>315271.41538461536</v>
      </c>
      <c r="Q27" s="16" t="str">
        <f t="shared" si="4"/>
        <v/>
      </c>
    </row>
    <row r="28" spans="1:17" ht="21.75" customHeight="1" x14ac:dyDescent="0.2">
      <c r="A28" s="38">
        <v>45953</v>
      </c>
      <c r="B28" s="39" t="s">
        <v>442</v>
      </c>
      <c r="C28" s="40">
        <v>43735282</v>
      </c>
      <c r="D28" s="40">
        <v>106</v>
      </c>
      <c r="E28" s="40"/>
      <c r="F28" s="40"/>
      <c r="G28" s="40">
        <v>7914946</v>
      </c>
      <c r="H28" s="40">
        <v>4136019</v>
      </c>
      <c r="I28" s="40">
        <v>2622403</v>
      </c>
      <c r="J28" s="40">
        <v>49</v>
      </c>
      <c r="K28" s="40">
        <v>1957600</v>
      </c>
      <c r="L28" s="41"/>
      <c r="M28" s="5">
        <f t="shared" si="0"/>
        <v>14673368</v>
      </c>
      <c r="N28" s="5">
        <f t="shared" si="1"/>
        <v>58408650</v>
      </c>
      <c r="O28" s="5">
        <f t="shared" si="2"/>
        <v>412597</v>
      </c>
      <c r="P28" s="5">
        <f t="shared" si="3"/>
        <v>299456.48979591834</v>
      </c>
      <c r="Q28" s="16" t="str">
        <f t="shared" si="4"/>
        <v/>
      </c>
    </row>
    <row r="29" spans="1:17" ht="21.75" customHeight="1" x14ac:dyDescent="0.2">
      <c r="A29" s="38">
        <v>45954</v>
      </c>
      <c r="B29" s="39" t="s">
        <v>443</v>
      </c>
      <c r="C29" s="40">
        <v>47394192</v>
      </c>
      <c r="D29" s="40">
        <v>121</v>
      </c>
      <c r="E29" s="40"/>
      <c r="F29" s="40"/>
      <c r="G29" s="40">
        <v>6988414</v>
      </c>
      <c r="H29" s="40">
        <v>9919051</v>
      </c>
      <c r="I29" s="40">
        <v>2122731</v>
      </c>
      <c r="J29" s="40">
        <v>62</v>
      </c>
      <c r="K29" s="40">
        <v>259259</v>
      </c>
      <c r="L29" s="41"/>
      <c r="M29" s="5">
        <f t="shared" si="0"/>
        <v>19030196</v>
      </c>
      <c r="N29" s="5">
        <f t="shared" si="1"/>
        <v>66424388</v>
      </c>
      <c r="O29" s="5">
        <f t="shared" si="2"/>
        <v>391687.53719008266</v>
      </c>
      <c r="P29" s="5">
        <f t="shared" si="3"/>
        <v>306938.6451612903</v>
      </c>
      <c r="Q29" s="16" t="str">
        <f t="shared" si="4"/>
        <v/>
      </c>
    </row>
    <row r="30" spans="1:17" ht="21.75" customHeight="1" x14ac:dyDescent="0.2">
      <c r="A30" s="38">
        <v>45955</v>
      </c>
      <c r="B30" s="39" t="s">
        <v>444</v>
      </c>
      <c r="C30" s="40">
        <v>39190083</v>
      </c>
      <c r="D30" s="40">
        <v>98</v>
      </c>
      <c r="E30" s="40"/>
      <c r="F30" s="40"/>
      <c r="G30" s="40">
        <v>9397319</v>
      </c>
      <c r="H30" s="40">
        <v>7912539</v>
      </c>
      <c r="I30" s="40">
        <v>3912415</v>
      </c>
      <c r="J30" s="40">
        <v>91</v>
      </c>
      <c r="K30" s="40">
        <v>5492877</v>
      </c>
      <c r="L30" s="41"/>
      <c r="M30" s="5">
        <f t="shared" si="0"/>
        <v>21222273</v>
      </c>
      <c r="N30" s="5">
        <f t="shared" si="1"/>
        <v>60412356</v>
      </c>
      <c r="O30" s="5">
        <f t="shared" si="2"/>
        <v>399898.80612244899</v>
      </c>
      <c r="P30" s="5">
        <f t="shared" si="3"/>
        <v>233211.7912087912</v>
      </c>
      <c r="Q30" s="16" t="str">
        <f t="shared" si="4"/>
        <v/>
      </c>
    </row>
    <row r="31" spans="1:17" ht="21.75" customHeight="1" x14ac:dyDescent="0.2">
      <c r="A31" s="38">
        <v>45956</v>
      </c>
      <c r="B31" s="39" t="s">
        <v>445</v>
      </c>
      <c r="C31" s="40">
        <v>29838803</v>
      </c>
      <c r="D31" s="40">
        <v>80</v>
      </c>
      <c r="E31" s="40"/>
      <c r="F31" s="40"/>
      <c r="G31" s="40">
        <v>8534055</v>
      </c>
      <c r="H31" s="40">
        <v>5791518</v>
      </c>
      <c r="I31" s="40">
        <v>2989530</v>
      </c>
      <c r="J31" s="40">
        <v>64</v>
      </c>
      <c r="K31" s="40">
        <v>296296</v>
      </c>
      <c r="L31" s="41"/>
      <c r="M31" s="5">
        <f t="shared" si="0"/>
        <v>17315103</v>
      </c>
      <c r="N31" s="5">
        <f t="shared" si="1"/>
        <v>47153906</v>
      </c>
      <c r="O31" s="5">
        <f t="shared" si="2"/>
        <v>372985.03749999998</v>
      </c>
      <c r="P31" s="5">
        <f t="shared" si="3"/>
        <v>270548.484375</v>
      </c>
      <c r="Q31" s="16" t="str">
        <f t="shared" si="4"/>
        <v/>
      </c>
    </row>
    <row r="32" spans="1:17" ht="21.75" customHeight="1" x14ac:dyDescent="0.2">
      <c r="A32" s="42">
        <v>45957</v>
      </c>
      <c r="B32" s="43" t="s">
        <v>439</v>
      </c>
      <c r="C32" s="40">
        <v>42781227</v>
      </c>
      <c r="D32" s="40">
        <v>93</v>
      </c>
      <c r="E32" s="40"/>
      <c r="F32" s="40"/>
      <c r="G32" s="40">
        <v>7607171</v>
      </c>
      <c r="H32" s="40">
        <v>5336011</v>
      </c>
      <c r="I32" s="40">
        <v>2195092</v>
      </c>
      <c r="J32" s="40">
        <v>50</v>
      </c>
      <c r="K32" s="40">
        <v>1622172</v>
      </c>
      <c r="L32" s="41"/>
      <c r="M32" s="5">
        <f t="shared" si="0"/>
        <v>15138274</v>
      </c>
      <c r="N32" s="5">
        <f t="shared" si="1"/>
        <v>57919501</v>
      </c>
      <c r="O32" s="5">
        <f t="shared" si="2"/>
        <v>460013.19354838709</v>
      </c>
      <c r="P32" s="5">
        <f t="shared" si="3"/>
        <v>302765.48</v>
      </c>
      <c r="Q32" s="16" t="str">
        <f t="shared" si="4"/>
        <v/>
      </c>
    </row>
    <row r="33" spans="1:17" ht="21.75" customHeight="1" x14ac:dyDescent="0.2">
      <c r="A33" s="42">
        <v>45958</v>
      </c>
      <c r="B33" s="43" t="s">
        <v>440</v>
      </c>
      <c r="C33" s="40">
        <v>42127035</v>
      </c>
      <c r="D33" s="40">
        <v>87</v>
      </c>
      <c r="E33" s="40"/>
      <c r="F33" s="40"/>
      <c r="G33" s="40">
        <v>8714382</v>
      </c>
      <c r="H33" s="40">
        <v>5786008</v>
      </c>
      <c r="I33" s="40">
        <v>1874195</v>
      </c>
      <c r="J33" s="40">
        <v>53</v>
      </c>
      <c r="K33" s="40">
        <v>4551019</v>
      </c>
      <c r="L33" s="41"/>
      <c r="M33" s="5">
        <f t="shared" si="0"/>
        <v>16374585</v>
      </c>
      <c r="N33" s="5">
        <f t="shared" si="1"/>
        <v>58501620</v>
      </c>
      <c r="O33" s="5">
        <f t="shared" si="2"/>
        <v>484218.79310344829</v>
      </c>
      <c r="P33" s="5">
        <f t="shared" si="3"/>
        <v>308954.43396226416</v>
      </c>
      <c r="Q33" s="16" t="str">
        <f t="shared" si="4"/>
        <v/>
      </c>
    </row>
    <row r="34" spans="1:17" ht="21.75" customHeight="1" x14ac:dyDescent="0.2">
      <c r="A34" s="38">
        <v>45959</v>
      </c>
      <c r="B34" s="39" t="s">
        <v>441</v>
      </c>
      <c r="C34" s="40">
        <v>55797480</v>
      </c>
      <c r="D34" s="40">
        <v>110</v>
      </c>
      <c r="E34" s="40"/>
      <c r="F34" s="40"/>
      <c r="G34" s="40">
        <v>10340391</v>
      </c>
      <c r="H34" s="40">
        <v>7818001</v>
      </c>
      <c r="I34" s="40">
        <v>2247429</v>
      </c>
      <c r="J34" s="40">
        <v>78</v>
      </c>
      <c r="K34" s="40">
        <v>15734022</v>
      </c>
      <c r="L34" s="41"/>
      <c r="M34" s="5">
        <f t="shared" si="0"/>
        <v>20405821</v>
      </c>
      <c r="N34" s="5">
        <f t="shared" si="1"/>
        <v>76203301</v>
      </c>
      <c r="O34" s="5">
        <f t="shared" si="2"/>
        <v>507249.81818181818</v>
      </c>
      <c r="P34" s="5">
        <f t="shared" si="3"/>
        <v>261613.08974358975</v>
      </c>
      <c r="Q34" s="16" t="str">
        <f t="shared" si="4"/>
        <v/>
      </c>
    </row>
    <row r="35" spans="1:17" ht="21.75" customHeight="1" x14ac:dyDescent="0.2">
      <c r="A35" s="38">
        <v>45960</v>
      </c>
      <c r="B35" s="39" t="s">
        <v>442</v>
      </c>
      <c r="C35" s="40">
        <v>52517367</v>
      </c>
      <c r="D35" s="40">
        <v>127</v>
      </c>
      <c r="E35" s="40"/>
      <c r="F35" s="40"/>
      <c r="G35" s="40">
        <v>11386488</v>
      </c>
      <c r="H35" s="40">
        <v>4258011</v>
      </c>
      <c r="I35" s="40">
        <v>2307008</v>
      </c>
      <c r="J35" s="40">
        <v>70</v>
      </c>
      <c r="K35" s="40">
        <v>2536000</v>
      </c>
      <c r="L35" s="41"/>
      <c r="M35" s="5">
        <f t="shared" si="0"/>
        <v>17951507</v>
      </c>
      <c r="N35" s="5">
        <f t="shared" si="1"/>
        <v>70468874</v>
      </c>
      <c r="O35" s="5">
        <f t="shared" si="2"/>
        <v>413522.57480314962</v>
      </c>
      <c r="P35" s="5">
        <f t="shared" si="3"/>
        <v>256450.1</v>
      </c>
      <c r="Q35" s="16" t="str">
        <f t="shared" si="4"/>
        <v/>
      </c>
    </row>
    <row r="36" spans="1:17" ht="18.75" customHeight="1" x14ac:dyDescent="0.2">
      <c r="A36" s="105">
        <v>45961</v>
      </c>
      <c r="B36" t="s">
        <v>443</v>
      </c>
      <c r="C36">
        <v>35890098</v>
      </c>
      <c r="D36">
        <v>100</v>
      </c>
      <c r="G36">
        <v>7876186</v>
      </c>
      <c r="H36">
        <v>3915025</v>
      </c>
      <c r="I36">
        <v>4457534</v>
      </c>
      <c r="J36">
        <v>70</v>
      </c>
      <c r="K36">
        <v>1028572</v>
      </c>
      <c r="M36">
        <f t="shared" si="0"/>
        <v>16248745</v>
      </c>
      <c r="N36">
        <f t="shared" si="1"/>
        <v>52138843</v>
      </c>
      <c r="O36">
        <f t="shared" si="2"/>
        <v>358900.98</v>
      </c>
      <c r="P36">
        <f t="shared" si="3"/>
        <v>232124.92857142858</v>
      </c>
      <c r="Q36" t="str">
        <f t="shared" si="4"/>
        <v/>
      </c>
    </row>
    <row r="37" spans="1:17" ht="18.75" customHeight="1" x14ac:dyDescent="0.2"/>
    <row r="38" spans="1:17" ht="18.75" customHeight="1" x14ac:dyDescent="0.2"/>
    <row r="39" spans="1:17" ht="18.75" customHeight="1" x14ac:dyDescent="0.2"/>
    <row r="40" spans="1:17" ht="18.75" customHeight="1" x14ac:dyDescent="0.2"/>
    <row r="41" spans="1:17" ht="18.75" customHeight="1" x14ac:dyDescent="0.2"/>
    <row r="42" spans="1:17" ht="18.75" customHeight="1" x14ac:dyDescent="0.2"/>
    <row r="43" spans="1:17" ht="18.75" customHeight="1" x14ac:dyDescent="0.2"/>
    <row r="44" spans="1:17" ht="18.75" customHeight="1" x14ac:dyDescent="0.2"/>
    <row r="45" spans="1:17" ht="18.75" customHeight="1" x14ac:dyDescent="0.2"/>
    <row r="46" spans="1:17" ht="18.75" customHeight="1" x14ac:dyDescent="0.2"/>
    <row r="47" spans="1:17" ht="18.75" customHeight="1" x14ac:dyDescent="0.2"/>
    <row r="48" spans="1:17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9">
    <mergeCell ref="A1:Q1"/>
    <mergeCell ref="E3:F3"/>
    <mergeCell ref="O3:P3"/>
    <mergeCell ref="G3:J3"/>
    <mergeCell ref="A5:B5"/>
    <mergeCell ref="A2:Q2"/>
    <mergeCell ref="M3:N3"/>
    <mergeCell ref="C3:D3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Q200"/>
  <sheetViews>
    <sheetView workbookViewId="0"/>
  </sheetViews>
  <sheetFormatPr baseColWidth="10" defaultColWidth="14" defaultRowHeight="14" x14ac:dyDescent="0.2"/>
  <cols>
    <col min="1" max="1" width="15" customWidth="1"/>
    <col min="2" max="2" width="6" customWidth="1"/>
    <col min="3" max="3" width="19" customWidth="1"/>
    <col min="4" max="4" width="11" customWidth="1"/>
    <col min="5" max="5" width="15" customWidth="1"/>
    <col min="6" max="9" width="17" customWidth="1"/>
    <col min="10" max="10" width="12" customWidth="1"/>
    <col min="11" max="11" width="16" customWidth="1"/>
    <col min="12" max="12" width="27" customWidth="1"/>
    <col min="13" max="14" width="18" customWidth="1"/>
    <col min="15" max="16" width="15" customWidth="1"/>
    <col min="17" max="17" width="12" customWidth="1"/>
    <col min="18" max="20" width="11" customWidth="1"/>
  </cols>
  <sheetData>
    <row r="1" spans="1:17" ht="33" customHeight="1" x14ac:dyDescent="0.2">
      <c r="A1" s="158" t="s">
        <v>447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1.75" customHeight="1" x14ac:dyDescent="0.2">
      <c r="A2" s="146" t="s">
        <v>412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.75" customHeight="1" x14ac:dyDescent="0.2">
      <c r="A3" s="157" t="s">
        <v>413</v>
      </c>
      <c r="B3" s="143"/>
      <c r="C3" s="156" t="s">
        <v>414</v>
      </c>
      <c r="D3" s="143"/>
      <c r="E3" s="159" t="s">
        <v>415</v>
      </c>
      <c r="F3" s="143"/>
      <c r="G3" s="154" t="s">
        <v>416</v>
      </c>
      <c r="H3" s="143"/>
      <c r="I3" s="143"/>
      <c r="J3" s="143"/>
      <c r="K3" s="22" t="s">
        <v>417</v>
      </c>
      <c r="L3" s="23" t="s">
        <v>418</v>
      </c>
      <c r="M3" s="153" t="s">
        <v>419</v>
      </c>
      <c r="N3" s="143"/>
      <c r="O3" s="153" t="s">
        <v>419</v>
      </c>
      <c r="P3" s="143"/>
      <c r="Q3" s="24" t="s">
        <v>420</v>
      </c>
    </row>
    <row r="4" spans="1:17" ht="36" customHeight="1" x14ac:dyDescent="0.2">
      <c r="A4" s="25" t="s">
        <v>421</v>
      </c>
      <c r="B4" s="25" t="s">
        <v>422</v>
      </c>
      <c r="C4" s="26" t="s">
        <v>423</v>
      </c>
      <c r="D4" s="26" t="s">
        <v>424</v>
      </c>
      <c r="E4" s="27" t="s">
        <v>425</v>
      </c>
      <c r="F4" s="27" t="s">
        <v>426</v>
      </c>
      <c r="G4" s="28" t="s">
        <v>427</v>
      </c>
      <c r="H4" s="28" t="s">
        <v>428</v>
      </c>
      <c r="I4" s="28" t="s">
        <v>429</v>
      </c>
      <c r="J4" s="28" t="s">
        <v>430</v>
      </c>
      <c r="K4" s="29" t="s">
        <v>431</v>
      </c>
      <c r="L4" s="30" t="s">
        <v>432</v>
      </c>
      <c r="M4" s="31" t="s">
        <v>433</v>
      </c>
      <c r="N4" s="31" t="s">
        <v>434</v>
      </c>
      <c r="O4" s="31" t="s">
        <v>435</v>
      </c>
      <c r="P4" s="31" t="s">
        <v>436</v>
      </c>
      <c r="Q4" s="31" t="s">
        <v>437</v>
      </c>
    </row>
    <row r="5" spans="1:17" ht="21.75" customHeight="1" x14ac:dyDescent="0.2">
      <c r="A5" s="155" t="s">
        <v>438</v>
      </c>
      <c r="B5" s="143"/>
      <c r="C5" s="32"/>
      <c r="D5" s="33"/>
      <c r="E5" s="33"/>
      <c r="F5" s="33"/>
      <c r="G5" s="34"/>
      <c r="H5" s="34"/>
      <c r="I5" s="34"/>
      <c r="J5" s="33"/>
      <c r="K5" s="33"/>
      <c r="L5" s="33"/>
      <c r="M5" s="35"/>
      <c r="N5" s="35"/>
      <c r="O5" s="36"/>
      <c r="P5" s="36"/>
      <c r="Q5" s="37"/>
    </row>
    <row r="6" spans="1:17" ht="21.75" customHeight="1" x14ac:dyDescent="0.2">
      <c r="A6" s="38">
        <v>45962</v>
      </c>
      <c r="B6" s="39" t="s">
        <v>444</v>
      </c>
      <c r="C6" s="40">
        <v>47479052</v>
      </c>
      <c r="D6" s="40">
        <v>116</v>
      </c>
      <c r="E6" s="40"/>
      <c r="F6" s="40"/>
      <c r="G6" s="40">
        <v>9657531</v>
      </c>
      <c r="H6" s="40">
        <v>5461954</v>
      </c>
      <c r="I6" s="40">
        <v>2094151</v>
      </c>
      <c r="J6" s="40">
        <v>71</v>
      </c>
      <c r="K6" s="40">
        <v>1028800</v>
      </c>
      <c r="L6" s="41"/>
      <c r="M6" s="5">
        <f t="shared" ref="M6:M35" si="0">IF(SUM(G6:I6)&gt;0,SUM(G6:I6),"")</f>
        <v>17213636</v>
      </c>
      <c r="N6" s="5">
        <f t="shared" ref="N6:N35" si="1">IF(N(C6)+N(M6)&gt;0,N(C6)+N(M6),"")</f>
        <v>64692688</v>
      </c>
      <c r="O6" s="5">
        <f t="shared" ref="O6:O35" si="2">IFERROR(IF(D6&gt;0,C6/D6,""),"")</f>
        <v>409302.1724137931</v>
      </c>
      <c r="P6" s="5">
        <f t="shared" ref="P6:P35" si="3">IFERROR(IF(J6&gt;0,M6/J6,""),"")</f>
        <v>242445.57746478874</v>
      </c>
      <c r="Q6" s="16" t="str">
        <f t="shared" ref="Q6:Q35" si="4">IFERROR(IF(E6&gt;0,D6/E6,""),"")</f>
        <v/>
      </c>
    </row>
    <row r="7" spans="1:17" ht="21.75" customHeight="1" x14ac:dyDescent="0.2">
      <c r="A7" s="38">
        <v>45963</v>
      </c>
      <c r="B7" s="39" t="s">
        <v>445</v>
      </c>
      <c r="C7" s="40">
        <v>44821039</v>
      </c>
      <c r="D7" s="40">
        <v>90</v>
      </c>
      <c r="E7" s="40"/>
      <c r="F7" s="40"/>
      <c r="G7" s="40">
        <v>9507674</v>
      </c>
      <c r="H7" s="40">
        <v>2917006</v>
      </c>
      <c r="I7" s="40">
        <v>4138514</v>
      </c>
      <c r="J7" s="40">
        <v>59</v>
      </c>
      <c r="K7" s="40">
        <v>7380800</v>
      </c>
      <c r="L7" s="41"/>
      <c r="M7" s="5">
        <f t="shared" si="0"/>
        <v>16563194</v>
      </c>
      <c r="N7" s="5">
        <f t="shared" si="1"/>
        <v>61384233</v>
      </c>
      <c r="O7" s="5">
        <f t="shared" si="2"/>
        <v>498011.54444444447</v>
      </c>
      <c r="P7" s="5">
        <f t="shared" si="3"/>
        <v>280732.10169491527</v>
      </c>
      <c r="Q7" s="16" t="str">
        <f t="shared" si="4"/>
        <v/>
      </c>
    </row>
    <row r="8" spans="1:17" ht="21.75" customHeight="1" x14ac:dyDescent="0.2">
      <c r="A8" s="38">
        <v>45964</v>
      </c>
      <c r="B8" s="39" t="s">
        <v>439</v>
      </c>
      <c r="C8" s="40">
        <v>37521052</v>
      </c>
      <c r="D8" s="40">
        <v>91</v>
      </c>
      <c r="E8" s="40"/>
      <c r="F8" s="40"/>
      <c r="G8" s="40">
        <v>4192924</v>
      </c>
      <c r="H8" s="40">
        <v>1253011</v>
      </c>
      <c r="I8" s="40">
        <v>1699970</v>
      </c>
      <c r="J8" s="40">
        <v>26</v>
      </c>
      <c r="K8" s="40">
        <v>1256000</v>
      </c>
      <c r="L8" s="41"/>
      <c r="M8" s="5">
        <f t="shared" si="0"/>
        <v>7145905</v>
      </c>
      <c r="N8" s="5">
        <f t="shared" si="1"/>
        <v>44666957</v>
      </c>
      <c r="O8" s="5">
        <f t="shared" si="2"/>
        <v>412319.25274725276</v>
      </c>
      <c r="P8" s="5">
        <f t="shared" si="3"/>
        <v>274842.5</v>
      </c>
      <c r="Q8" s="16" t="str">
        <f t="shared" si="4"/>
        <v/>
      </c>
    </row>
    <row r="9" spans="1:17" ht="21.75" customHeight="1" x14ac:dyDescent="0.2">
      <c r="A9" s="38">
        <v>45965</v>
      </c>
      <c r="B9" s="39" t="s">
        <v>440</v>
      </c>
      <c r="C9" s="40">
        <v>50467342</v>
      </c>
      <c r="D9" s="40">
        <v>111</v>
      </c>
      <c r="E9" s="40"/>
      <c r="F9" s="40"/>
      <c r="G9" s="40">
        <v>10944333</v>
      </c>
      <c r="H9" s="40">
        <v>5103957</v>
      </c>
      <c r="I9" s="40">
        <v>3439002</v>
      </c>
      <c r="J9" s="40">
        <v>60</v>
      </c>
      <c r="K9" s="40">
        <v>2463411</v>
      </c>
      <c r="L9" s="41"/>
      <c r="M9" s="5">
        <f t="shared" si="0"/>
        <v>19487292</v>
      </c>
      <c r="N9" s="5">
        <f t="shared" si="1"/>
        <v>69954634</v>
      </c>
      <c r="O9" s="5">
        <f t="shared" si="2"/>
        <v>454660.73873873876</v>
      </c>
      <c r="P9" s="5">
        <f t="shared" si="3"/>
        <v>324788.2</v>
      </c>
      <c r="Q9" s="16" t="str">
        <f t="shared" si="4"/>
        <v/>
      </c>
    </row>
    <row r="10" spans="1:17" ht="21.75" customHeight="1" x14ac:dyDescent="0.2">
      <c r="A10" s="38">
        <v>45966</v>
      </c>
      <c r="B10" s="39" t="s">
        <v>441</v>
      </c>
      <c r="C10" s="40">
        <v>49212582</v>
      </c>
      <c r="D10" s="40">
        <v>118</v>
      </c>
      <c r="E10" s="40"/>
      <c r="F10" s="40"/>
      <c r="G10" s="40">
        <v>9454879</v>
      </c>
      <c r="H10" s="40">
        <v>5255018</v>
      </c>
      <c r="I10" s="40">
        <v>2162967</v>
      </c>
      <c r="J10" s="40">
        <v>66</v>
      </c>
      <c r="K10" s="40">
        <v>944973</v>
      </c>
      <c r="L10" s="41"/>
      <c r="M10" s="5">
        <f t="shared" si="0"/>
        <v>16872864</v>
      </c>
      <c r="N10" s="5">
        <f t="shared" si="1"/>
        <v>66085446</v>
      </c>
      <c r="O10" s="5">
        <f t="shared" si="2"/>
        <v>417055.77966101695</v>
      </c>
      <c r="P10" s="5">
        <f t="shared" si="3"/>
        <v>255649.45454545456</v>
      </c>
      <c r="Q10" s="16" t="str">
        <f t="shared" si="4"/>
        <v/>
      </c>
    </row>
    <row r="11" spans="1:17" ht="21.75" customHeight="1" x14ac:dyDescent="0.2">
      <c r="A11" s="42">
        <v>45967</v>
      </c>
      <c r="B11" s="43" t="s">
        <v>442</v>
      </c>
      <c r="C11" s="40">
        <v>60027007</v>
      </c>
      <c r="D11" s="40">
        <v>126</v>
      </c>
      <c r="E11" s="40"/>
      <c r="F11" s="40"/>
      <c r="G11" s="40">
        <v>11104091</v>
      </c>
      <c r="H11" s="40">
        <v>9389119</v>
      </c>
      <c r="I11" s="40">
        <v>4991001</v>
      </c>
      <c r="J11" s="40">
        <v>90</v>
      </c>
      <c r="K11" s="40">
        <v>814815</v>
      </c>
      <c r="L11" s="41"/>
      <c r="M11" s="5">
        <f t="shared" si="0"/>
        <v>25484211</v>
      </c>
      <c r="N11" s="5">
        <f t="shared" si="1"/>
        <v>85511218</v>
      </c>
      <c r="O11" s="5">
        <f t="shared" si="2"/>
        <v>476404.81746031746</v>
      </c>
      <c r="P11" s="5">
        <f t="shared" si="3"/>
        <v>283157.90000000002</v>
      </c>
      <c r="Q11" s="16" t="str">
        <f t="shared" si="4"/>
        <v/>
      </c>
    </row>
    <row r="12" spans="1:17" ht="21.75" customHeight="1" x14ac:dyDescent="0.2">
      <c r="A12" s="42">
        <v>45968</v>
      </c>
      <c r="B12" s="43" t="s">
        <v>443</v>
      </c>
      <c r="C12" s="40">
        <v>58404733</v>
      </c>
      <c r="D12" s="40">
        <v>153</v>
      </c>
      <c r="E12" s="40"/>
      <c r="F12" s="40"/>
      <c r="G12" s="40">
        <v>6636002</v>
      </c>
      <c r="H12" s="40">
        <v>7247511</v>
      </c>
      <c r="I12" s="40">
        <v>3067400</v>
      </c>
      <c r="J12" s="40">
        <v>73</v>
      </c>
      <c r="K12" s="40">
        <v>1560355</v>
      </c>
      <c r="L12" s="41"/>
      <c r="M12" s="5">
        <f t="shared" si="0"/>
        <v>16950913</v>
      </c>
      <c r="N12" s="5">
        <f t="shared" si="1"/>
        <v>75355646</v>
      </c>
      <c r="O12" s="5">
        <f t="shared" si="2"/>
        <v>381730.28104575165</v>
      </c>
      <c r="P12" s="5">
        <f t="shared" si="3"/>
        <v>232204.28767123289</v>
      </c>
      <c r="Q12" s="16" t="str">
        <f t="shared" si="4"/>
        <v/>
      </c>
    </row>
    <row r="13" spans="1:17" ht="21.75" customHeight="1" x14ac:dyDescent="0.2">
      <c r="A13" s="38">
        <v>45969</v>
      </c>
      <c r="B13" s="39" t="s">
        <v>444</v>
      </c>
      <c r="C13" s="40">
        <v>49122507</v>
      </c>
      <c r="D13" s="40">
        <v>130</v>
      </c>
      <c r="E13" s="40"/>
      <c r="F13" s="40"/>
      <c r="G13" s="40">
        <v>10064479</v>
      </c>
      <c r="H13" s="40">
        <v>11675253</v>
      </c>
      <c r="I13" s="40">
        <v>3642643</v>
      </c>
      <c r="J13" s="40">
        <v>101</v>
      </c>
      <c r="K13" s="40">
        <v>985767</v>
      </c>
      <c r="L13" s="41"/>
      <c r="M13" s="5">
        <f t="shared" si="0"/>
        <v>25382375</v>
      </c>
      <c r="N13" s="5">
        <f t="shared" si="1"/>
        <v>74504882</v>
      </c>
      <c r="O13" s="5">
        <f t="shared" si="2"/>
        <v>377865.43846153846</v>
      </c>
      <c r="P13" s="5">
        <f t="shared" si="3"/>
        <v>251310.64356435643</v>
      </c>
      <c r="Q13" s="16" t="str">
        <f t="shared" si="4"/>
        <v/>
      </c>
    </row>
    <row r="14" spans="1:17" ht="21.75" customHeight="1" x14ac:dyDescent="0.2">
      <c r="A14" s="38">
        <v>45970</v>
      </c>
      <c r="B14" s="39" t="s">
        <v>445</v>
      </c>
      <c r="C14" s="40">
        <v>33572771</v>
      </c>
      <c r="D14" s="40">
        <v>92</v>
      </c>
      <c r="E14" s="40"/>
      <c r="F14" s="40"/>
      <c r="G14" s="40">
        <v>8721076</v>
      </c>
      <c r="H14" s="40">
        <v>3423006</v>
      </c>
      <c r="I14" s="40">
        <v>2801231</v>
      </c>
      <c r="J14" s="40">
        <v>68</v>
      </c>
      <c r="K14" s="40">
        <v>1714972</v>
      </c>
      <c r="L14" s="41"/>
      <c r="M14" s="5">
        <f t="shared" si="0"/>
        <v>14945313</v>
      </c>
      <c r="N14" s="5">
        <f t="shared" si="1"/>
        <v>48518084</v>
      </c>
      <c r="O14" s="5">
        <f t="shared" si="2"/>
        <v>364921.42391304346</v>
      </c>
      <c r="P14" s="5">
        <f t="shared" si="3"/>
        <v>219784.01470588235</v>
      </c>
      <c r="Q14" s="16" t="str">
        <f t="shared" si="4"/>
        <v/>
      </c>
    </row>
    <row r="15" spans="1:17" ht="21.75" customHeight="1" x14ac:dyDescent="0.2">
      <c r="A15" s="38">
        <v>45971</v>
      </c>
      <c r="B15" s="39" t="s">
        <v>439</v>
      </c>
      <c r="C15" s="40">
        <v>46977598</v>
      </c>
      <c r="D15" s="40">
        <v>112</v>
      </c>
      <c r="E15" s="40"/>
      <c r="F15" s="40"/>
      <c r="G15" s="40">
        <v>6171972</v>
      </c>
      <c r="H15" s="40">
        <v>3156024</v>
      </c>
      <c r="I15" s="40">
        <v>4083355</v>
      </c>
      <c r="J15" s="40">
        <v>58</v>
      </c>
      <c r="K15" s="40">
        <v>185185</v>
      </c>
      <c r="L15" s="41"/>
      <c r="M15" s="5">
        <f t="shared" si="0"/>
        <v>13411351</v>
      </c>
      <c r="N15" s="5">
        <f t="shared" si="1"/>
        <v>60388949</v>
      </c>
      <c r="O15" s="5">
        <f t="shared" si="2"/>
        <v>419442.83928571426</v>
      </c>
      <c r="P15" s="5">
        <f t="shared" si="3"/>
        <v>231230.18965517241</v>
      </c>
      <c r="Q15" s="16" t="str">
        <f t="shared" si="4"/>
        <v/>
      </c>
    </row>
    <row r="16" spans="1:17" ht="21.75" customHeight="1" x14ac:dyDescent="0.2">
      <c r="A16" s="38">
        <v>45972</v>
      </c>
      <c r="B16" s="39" t="s">
        <v>440</v>
      </c>
      <c r="C16" s="40">
        <v>56799581</v>
      </c>
      <c r="D16" s="40">
        <v>132</v>
      </c>
      <c r="E16" s="40"/>
      <c r="F16" s="40"/>
      <c r="G16" s="40">
        <v>13151171</v>
      </c>
      <c r="H16" s="40">
        <v>8384742</v>
      </c>
      <c r="I16" s="40">
        <v>4054912</v>
      </c>
      <c r="J16" s="40">
        <v>68</v>
      </c>
      <c r="K16" s="40">
        <v>2635200</v>
      </c>
      <c r="L16" s="41"/>
      <c r="M16" s="5">
        <f t="shared" si="0"/>
        <v>25590825</v>
      </c>
      <c r="N16" s="5">
        <f t="shared" si="1"/>
        <v>82390406</v>
      </c>
      <c r="O16" s="5">
        <f t="shared" si="2"/>
        <v>430299.85606060608</v>
      </c>
      <c r="P16" s="5">
        <f t="shared" si="3"/>
        <v>376335.6617647059</v>
      </c>
      <c r="Q16" s="16" t="str">
        <f t="shared" si="4"/>
        <v/>
      </c>
    </row>
    <row r="17" spans="1:17" ht="21.75" customHeight="1" x14ac:dyDescent="0.2">
      <c r="A17" s="38">
        <v>45973</v>
      </c>
      <c r="B17" s="39" t="s">
        <v>441</v>
      </c>
      <c r="C17" s="40">
        <v>47954694</v>
      </c>
      <c r="D17" s="40">
        <v>102</v>
      </c>
      <c r="E17" s="40"/>
      <c r="F17" s="40"/>
      <c r="G17" s="40">
        <v>6815983</v>
      </c>
      <c r="H17" s="40">
        <v>5357012</v>
      </c>
      <c r="I17" s="40">
        <v>3774543</v>
      </c>
      <c r="J17" s="40">
        <v>60</v>
      </c>
      <c r="K17" s="40">
        <v>8266438</v>
      </c>
      <c r="L17" s="41"/>
      <c r="M17" s="5">
        <f t="shared" si="0"/>
        <v>15947538</v>
      </c>
      <c r="N17" s="5">
        <f t="shared" si="1"/>
        <v>63902232</v>
      </c>
      <c r="O17" s="5">
        <f t="shared" si="2"/>
        <v>470144.0588235294</v>
      </c>
      <c r="P17" s="5">
        <f t="shared" si="3"/>
        <v>265792.3</v>
      </c>
      <c r="Q17" s="16" t="str">
        <f t="shared" si="4"/>
        <v/>
      </c>
    </row>
    <row r="18" spans="1:17" ht="21.75" customHeight="1" x14ac:dyDescent="0.2">
      <c r="A18" s="42">
        <v>45974</v>
      </c>
      <c r="B18" s="43" t="s">
        <v>442</v>
      </c>
      <c r="C18" s="40">
        <v>50035288</v>
      </c>
      <c r="D18" s="40">
        <v>119</v>
      </c>
      <c r="E18" s="40"/>
      <c r="F18" s="40"/>
      <c r="G18" s="40">
        <v>7009202</v>
      </c>
      <c r="H18" s="40">
        <v>7098023</v>
      </c>
      <c r="I18" s="40">
        <v>4038610</v>
      </c>
      <c r="J18" s="40">
        <v>68</v>
      </c>
      <c r="K18" s="40">
        <v>5921379</v>
      </c>
      <c r="L18" s="41"/>
      <c r="M18" s="5">
        <f t="shared" si="0"/>
        <v>18145835</v>
      </c>
      <c r="N18" s="5">
        <f t="shared" si="1"/>
        <v>68181123</v>
      </c>
      <c r="O18" s="5">
        <f t="shared" si="2"/>
        <v>420464.60504201683</v>
      </c>
      <c r="P18" s="5">
        <f t="shared" si="3"/>
        <v>266850.51470588235</v>
      </c>
      <c r="Q18" s="16" t="str">
        <f t="shared" si="4"/>
        <v/>
      </c>
    </row>
    <row r="19" spans="1:17" ht="21.75" customHeight="1" x14ac:dyDescent="0.2">
      <c r="A19" s="42">
        <v>45975</v>
      </c>
      <c r="B19" s="43" t="s">
        <v>443</v>
      </c>
      <c r="C19" s="40">
        <v>58933664</v>
      </c>
      <c r="D19" s="40">
        <v>139</v>
      </c>
      <c r="E19" s="40"/>
      <c r="F19" s="40"/>
      <c r="G19" s="40">
        <v>12051372</v>
      </c>
      <c r="H19" s="40">
        <v>9324160</v>
      </c>
      <c r="I19" s="40">
        <v>5112832</v>
      </c>
      <c r="J19" s="40">
        <v>104</v>
      </c>
      <c r="K19" s="40">
        <v>231482</v>
      </c>
      <c r="L19" s="41"/>
      <c r="M19" s="5">
        <f t="shared" si="0"/>
        <v>26488364</v>
      </c>
      <c r="N19" s="5">
        <f t="shared" si="1"/>
        <v>85422028</v>
      </c>
      <c r="O19" s="5">
        <f t="shared" si="2"/>
        <v>423983.19424460432</v>
      </c>
      <c r="P19" s="5">
        <f t="shared" si="3"/>
        <v>254695.80769230769</v>
      </c>
      <c r="Q19" s="16" t="str">
        <f t="shared" si="4"/>
        <v/>
      </c>
    </row>
    <row r="20" spans="1:17" ht="21.75" customHeight="1" x14ac:dyDescent="0.2">
      <c r="A20" s="38">
        <v>45976</v>
      </c>
      <c r="B20" s="39" t="s">
        <v>444</v>
      </c>
      <c r="C20" s="40">
        <v>42959257</v>
      </c>
      <c r="D20" s="40">
        <v>104</v>
      </c>
      <c r="E20" s="40"/>
      <c r="F20" s="40"/>
      <c r="G20" s="40">
        <v>15619017</v>
      </c>
      <c r="H20" s="40">
        <v>8474008</v>
      </c>
      <c r="I20" s="40">
        <v>5119079</v>
      </c>
      <c r="J20" s="40">
        <v>109</v>
      </c>
      <c r="K20" s="40">
        <v>2262630</v>
      </c>
      <c r="L20" s="41"/>
      <c r="M20" s="5">
        <f t="shared" si="0"/>
        <v>29212104</v>
      </c>
      <c r="N20" s="5">
        <f t="shared" si="1"/>
        <v>72171361</v>
      </c>
      <c r="O20" s="5">
        <f t="shared" si="2"/>
        <v>413069.77884615387</v>
      </c>
      <c r="P20" s="5">
        <f t="shared" si="3"/>
        <v>268000.95412844035</v>
      </c>
      <c r="Q20" s="16" t="str">
        <f t="shared" si="4"/>
        <v/>
      </c>
    </row>
    <row r="21" spans="1:17" ht="21.75" customHeight="1" x14ac:dyDescent="0.2">
      <c r="A21" s="38">
        <v>45977</v>
      </c>
      <c r="B21" s="39" t="s">
        <v>445</v>
      </c>
      <c r="C21" s="40">
        <v>34137320</v>
      </c>
      <c r="D21" s="40">
        <v>87</v>
      </c>
      <c r="E21" s="40"/>
      <c r="F21" s="40"/>
      <c r="G21" s="40">
        <v>7576500</v>
      </c>
      <c r="H21" s="40">
        <v>5916016</v>
      </c>
      <c r="I21" s="40">
        <v>5316449</v>
      </c>
      <c r="J21" s="40">
        <v>74</v>
      </c>
      <c r="K21" s="40">
        <v>444445</v>
      </c>
      <c r="L21" s="41"/>
      <c r="M21" s="5">
        <f t="shared" si="0"/>
        <v>18808965</v>
      </c>
      <c r="N21" s="5">
        <f t="shared" si="1"/>
        <v>52946285</v>
      </c>
      <c r="O21" s="5">
        <f t="shared" si="2"/>
        <v>392382.98850574711</v>
      </c>
      <c r="P21" s="5">
        <f t="shared" si="3"/>
        <v>254175.20270270269</v>
      </c>
      <c r="Q21" s="16" t="str">
        <f t="shared" si="4"/>
        <v/>
      </c>
    </row>
    <row r="22" spans="1:17" ht="21.75" customHeight="1" x14ac:dyDescent="0.2">
      <c r="A22" s="38">
        <v>45978</v>
      </c>
      <c r="B22" s="39" t="s">
        <v>439</v>
      </c>
      <c r="C22" s="40">
        <v>41086060</v>
      </c>
      <c r="D22" s="40">
        <v>100</v>
      </c>
      <c r="E22" s="40"/>
      <c r="F22" s="40"/>
      <c r="G22" s="40">
        <v>5947917</v>
      </c>
      <c r="H22" s="40">
        <v>1858006</v>
      </c>
      <c r="I22" s="40">
        <v>2763111</v>
      </c>
      <c r="J22" s="40">
        <v>44</v>
      </c>
      <c r="K22" s="40">
        <v>1916000</v>
      </c>
      <c r="L22" s="41"/>
      <c r="M22" s="5">
        <f t="shared" si="0"/>
        <v>10569034</v>
      </c>
      <c r="N22" s="5">
        <f t="shared" si="1"/>
        <v>51655094</v>
      </c>
      <c r="O22" s="5">
        <f t="shared" si="2"/>
        <v>410860.6</v>
      </c>
      <c r="P22" s="5">
        <f t="shared" si="3"/>
        <v>240205.31818181818</v>
      </c>
      <c r="Q22" s="16" t="str">
        <f t="shared" si="4"/>
        <v/>
      </c>
    </row>
    <row r="23" spans="1:17" ht="21.75" customHeight="1" x14ac:dyDescent="0.2">
      <c r="A23" s="38">
        <v>45979</v>
      </c>
      <c r="B23" s="39" t="s">
        <v>440</v>
      </c>
      <c r="C23" s="40">
        <v>43987545</v>
      </c>
      <c r="D23" s="40">
        <v>103</v>
      </c>
      <c r="E23" s="40"/>
      <c r="F23" s="40"/>
      <c r="G23" s="40">
        <v>11951918</v>
      </c>
      <c r="H23" s="40">
        <v>3677010</v>
      </c>
      <c r="I23" s="40">
        <v>1491415</v>
      </c>
      <c r="J23" s="40">
        <v>56</v>
      </c>
      <c r="K23" s="40">
        <v>753600</v>
      </c>
      <c r="L23" s="41"/>
      <c r="M23" s="5">
        <f t="shared" si="0"/>
        <v>17120343</v>
      </c>
      <c r="N23" s="5">
        <f t="shared" si="1"/>
        <v>61107888</v>
      </c>
      <c r="O23" s="5">
        <f t="shared" si="2"/>
        <v>427063.54368932039</v>
      </c>
      <c r="P23" s="5">
        <f t="shared" si="3"/>
        <v>305720.41071428574</v>
      </c>
      <c r="Q23" s="16" t="str">
        <f t="shared" si="4"/>
        <v/>
      </c>
    </row>
    <row r="24" spans="1:17" ht="21.75" customHeight="1" x14ac:dyDescent="0.2">
      <c r="A24" s="38">
        <v>45980</v>
      </c>
      <c r="B24" s="39" t="s">
        <v>441</v>
      </c>
      <c r="C24" s="40">
        <v>51729180</v>
      </c>
      <c r="D24" s="40">
        <v>124</v>
      </c>
      <c r="E24" s="40"/>
      <c r="F24" s="40"/>
      <c r="G24" s="40">
        <v>12314489</v>
      </c>
      <c r="H24" s="40">
        <v>4803017</v>
      </c>
      <c r="I24" s="40">
        <v>4183673</v>
      </c>
      <c r="J24" s="40">
        <v>80</v>
      </c>
      <c r="K24" s="40">
        <v>5492640</v>
      </c>
      <c r="L24" s="41"/>
      <c r="M24" s="5">
        <f t="shared" si="0"/>
        <v>21301179</v>
      </c>
      <c r="N24" s="5">
        <f t="shared" si="1"/>
        <v>73030359</v>
      </c>
      <c r="O24" s="5">
        <f t="shared" si="2"/>
        <v>417170.80645161291</v>
      </c>
      <c r="P24" s="5">
        <f t="shared" si="3"/>
        <v>266264.73749999999</v>
      </c>
      <c r="Q24" s="16" t="str">
        <f t="shared" si="4"/>
        <v/>
      </c>
    </row>
    <row r="25" spans="1:17" ht="21.75" customHeight="1" x14ac:dyDescent="0.2">
      <c r="A25" s="42">
        <v>45981</v>
      </c>
      <c r="B25" s="43" t="s">
        <v>442</v>
      </c>
      <c r="C25" s="40">
        <v>48954223</v>
      </c>
      <c r="D25" s="40">
        <v>125</v>
      </c>
      <c r="E25" s="40"/>
      <c r="F25" s="40"/>
      <c r="G25" s="40">
        <v>7837443</v>
      </c>
      <c r="H25" s="40">
        <v>7792005</v>
      </c>
      <c r="I25" s="40">
        <v>8543908</v>
      </c>
      <c r="J25" s="40">
        <v>80</v>
      </c>
      <c r="K25" s="40">
        <v>1989525</v>
      </c>
      <c r="L25" s="41"/>
      <c r="M25" s="5">
        <f t="shared" si="0"/>
        <v>24173356</v>
      </c>
      <c r="N25" s="5">
        <f t="shared" si="1"/>
        <v>73127579</v>
      </c>
      <c r="O25" s="5">
        <f t="shared" si="2"/>
        <v>391633.78399999999</v>
      </c>
      <c r="P25" s="5">
        <f t="shared" si="3"/>
        <v>302166.95</v>
      </c>
      <c r="Q25" s="16" t="str">
        <f t="shared" si="4"/>
        <v/>
      </c>
    </row>
    <row r="26" spans="1:17" ht="21.75" customHeight="1" x14ac:dyDescent="0.2">
      <c r="A26" s="42">
        <v>45982</v>
      </c>
      <c r="B26" s="43" t="s">
        <v>443</v>
      </c>
      <c r="C26" s="40">
        <v>49924577</v>
      </c>
      <c r="D26" s="40">
        <v>118</v>
      </c>
      <c r="E26" s="40"/>
      <c r="F26" s="40"/>
      <c r="G26" s="40">
        <v>11050962</v>
      </c>
      <c r="H26" s="40">
        <v>9479029</v>
      </c>
      <c r="I26" s="40">
        <v>3975110</v>
      </c>
      <c r="J26" s="40">
        <v>94</v>
      </c>
      <c r="K26" s="40">
        <v>2887619</v>
      </c>
      <c r="L26" s="41"/>
      <c r="M26" s="5">
        <f t="shared" si="0"/>
        <v>24505101</v>
      </c>
      <c r="N26" s="5">
        <f t="shared" si="1"/>
        <v>74429678</v>
      </c>
      <c r="O26" s="5">
        <f t="shared" si="2"/>
        <v>423089.63559322036</v>
      </c>
      <c r="P26" s="5">
        <f t="shared" si="3"/>
        <v>260692.56382978722</v>
      </c>
      <c r="Q26" s="16" t="str">
        <f t="shared" si="4"/>
        <v/>
      </c>
    </row>
    <row r="27" spans="1:17" ht="21.75" customHeight="1" x14ac:dyDescent="0.2">
      <c r="A27" s="38">
        <v>45983</v>
      </c>
      <c r="B27" s="39" t="s">
        <v>444</v>
      </c>
      <c r="C27" s="40">
        <v>34397955</v>
      </c>
      <c r="D27" s="40">
        <v>92</v>
      </c>
      <c r="E27" s="40"/>
      <c r="F27" s="40"/>
      <c r="G27" s="40">
        <v>11895164</v>
      </c>
      <c r="H27" s="40">
        <v>3951009</v>
      </c>
      <c r="I27" s="40">
        <v>4188385</v>
      </c>
      <c r="J27" s="40">
        <v>90</v>
      </c>
      <c r="K27" s="40"/>
      <c r="L27" s="41"/>
      <c r="M27" s="5">
        <f t="shared" si="0"/>
        <v>20034558</v>
      </c>
      <c r="N27" s="5">
        <f t="shared" si="1"/>
        <v>54432513</v>
      </c>
      <c r="O27" s="5">
        <f t="shared" si="2"/>
        <v>373890.8152173913</v>
      </c>
      <c r="P27" s="5">
        <f t="shared" si="3"/>
        <v>222606.2</v>
      </c>
      <c r="Q27" s="16" t="str">
        <f t="shared" si="4"/>
        <v/>
      </c>
    </row>
    <row r="28" spans="1:17" ht="21.75" customHeight="1" x14ac:dyDescent="0.2">
      <c r="A28" s="38">
        <v>45984</v>
      </c>
      <c r="B28" s="39" t="s">
        <v>445</v>
      </c>
      <c r="C28" s="40">
        <v>34989519</v>
      </c>
      <c r="D28" s="40">
        <v>85</v>
      </c>
      <c r="E28" s="40"/>
      <c r="F28" s="40"/>
      <c r="G28" s="40">
        <v>14327436</v>
      </c>
      <c r="H28" s="40">
        <v>3550015</v>
      </c>
      <c r="I28" s="40">
        <v>4095413</v>
      </c>
      <c r="J28" s="40">
        <v>81</v>
      </c>
      <c r="K28" s="40">
        <v>629600</v>
      </c>
      <c r="L28" s="41"/>
      <c r="M28" s="5">
        <f t="shared" si="0"/>
        <v>21972864</v>
      </c>
      <c r="N28" s="5">
        <f t="shared" si="1"/>
        <v>56962383</v>
      </c>
      <c r="O28" s="5">
        <f t="shared" si="2"/>
        <v>411641.4</v>
      </c>
      <c r="P28" s="5">
        <f t="shared" si="3"/>
        <v>271269.9259259259</v>
      </c>
      <c r="Q28" s="16" t="str">
        <f t="shared" si="4"/>
        <v/>
      </c>
    </row>
    <row r="29" spans="1:17" ht="21.75" customHeight="1" x14ac:dyDescent="0.2">
      <c r="A29" s="38">
        <v>45985</v>
      </c>
      <c r="B29" s="39" t="s">
        <v>439</v>
      </c>
      <c r="C29" s="40">
        <v>44241336</v>
      </c>
      <c r="D29" s="40">
        <v>88</v>
      </c>
      <c r="E29" s="40"/>
      <c r="F29" s="40"/>
      <c r="G29" s="40">
        <v>8497514</v>
      </c>
      <c r="H29" s="40">
        <v>4962016</v>
      </c>
      <c r="I29" s="40">
        <v>4671301</v>
      </c>
      <c r="J29" s="40">
        <v>61</v>
      </c>
      <c r="K29" s="40">
        <v>7711141</v>
      </c>
      <c r="L29" s="41"/>
      <c r="M29" s="5">
        <f t="shared" si="0"/>
        <v>18130831</v>
      </c>
      <c r="N29" s="5">
        <f t="shared" si="1"/>
        <v>62372167</v>
      </c>
      <c r="O29" s="5">
        <f t="shared" si="2"/>
        <v>502742.45454545453</v>
      </c>
      <c r="P29" s="5">
        <f t="shared" si="3"/>
        <v>297226.73770491802</v>
      </c>
      <c r="Q29" s="16" t="str">
        <f t="shared" si="4"/>
        <v/>
      </c>
    </row>
    <row r="30" spans="1:17" ht="21.75" customHeight="1" x14ac:dyDescent="0.2">
      <c r="A30" s="38">
        <v>45986</v>
      </c>
      <c r="B30" s="39" t="s">
        <v>440</v>
      </c>
      <c r="C30" s="40">
        <v>64843824</v>
      </c>
      <c r="D30" s="40">
        <v>137</v>
      </c>
      <c r="E30" s="40"/>
      <c r="F30" s="40"/>
      <c r="G30" s="40">
        <v>7114980</v>
      </c>
      <c r="H30" s="40">
        <v>4628024</v>
      </c>
      <c r="I30" s="40">
        <v>4863072</v>
      </c>
      <c r="J30" s="40">
        <v>67</v>
      </c>
      <c r="K30" s="40">
        <v>4251200</v>
      </c>
      <c r="L30" s="41"/>
      <c r="M30" s="5">
        <f t="shared" si="0"/>
        <v>16606076</v>
      </c>
      <c r="N30" s="5">
        <f t="shared" si="1"/>
        <v>81449900</v>
      </c>
      <c r="O30" s="5">
        <f t="shared" si="2"/>
        <v>473312.58394160582</v>
      </c>
      <c r="P30" s="5">
        <f t="shared" si="3"/>
        <v>247851.88059701491</v>
      </c>
      <c r="Q30" s="16" t="str">
        <f t="shared" si="4"/>
        <v/>
      </c>
    </row>
    <row r="31" spans="1:17" ht="21.75" customHeight="1" x14ac:dyDescent="0.2">
      <c r="A31" s="38">
        <v>45987</v>
      </c>
      <c r="B31" s="39" t="s">
        <v>441</v>
      </c>
      <c r="C31" s="40">
        <v>45696695</v>
      </c>
      <c r="D31" s="40">
        <v>119</v>
      </c>
      <c r="E31" s="40"/>
      <c r="F31" s="40"/>
      <c r="G31" s="40">
        <v>14793011</v>
      </c>
      <c r="H31" s="40">
        <v>7416341</v>
      </c>
      <c r="I31" s="40">
        <v>4042941</v>
      </c>
      <c r="J31" s="40">
        <v>85</v>
      </c>
      <c r="K31" s="40">
        <v>502400</v>
      </c>
      <c r="L31" s="41"/>
      <c r="M31" s="5">
        <f t="shared" si="0"/>
        <v>26252293</v>
      </c>
      <c r="N31" s="5">
        <f t="shared" si="1"/>
        <v>71948988</v>
      </c>
      <c r="O31" s="5">
        <f t="shared" si="2"/>
        <v>384005.84033613448</v>
      </c>
      <c r="P31" s="5">
        <f t="shared" si="3"/>
        <v>308850.50588235294</v>
      </c>
      <c r="Q31" s="16" t="str">
        <f t="shared" si="4"/>
        <v/>
      </c>
    </row>
    <row r="32" spans="1:17" ht="21.75" customHeight="1" x14ac:dyDescent="0.2">
      <c r="A32" s="42">
        <v>45988</v>
      </c>
      <c r="B32" s="43" t="s">
        <v>442</v>
      </c>
      <c r="C32" s="40">
        <v>60753329</v>
      </c>
      <c r="D32" s="40">
        <v>158</v>
      </c>
      <c r="E32" s="40"/>
      <c r="F32" s="40"/>
      <c r="G32" s="40">
        <v>17658520</v>
      </c>
      <c r="H32" s="40">
        <v>4878001</v>
      </c>
      <c r="I32" s="40">
        <v>4975380</v>
      </c>
      <c r="J32" s="40">
        <v>94</v>
      </c>
      <c r="K32" s="40">
        <v>1352874</v>
      </c>
      <c r="L32" s="41"/>
      <c r="M32" s="5">
        <f t="shared" si="0"/>
        <v>27511901</v>
      </c>
      <c r="N32" s="5">
        <f t="shared" si="1"/>
        <v>88265230</v>
      </c>
      <c r="O32" s="5">
        <f t="shared" si="2"/>
        <v>384514.74050632911</v>
      </c>
      <c r="P32" s="5">
        <f t="shared" si="3"/>
        <v>292679.79787234042</v>
      </c>
      <c r="Q32" s="16" t="str">
        <f t="shared" si="4"/>
        <v/>
      </c>
    </row>
    <row r="33" spans="1:17" ht="21.75" customHeight="1" x14ac:dyDescent="0.2">
      <c r="A33" s="42">
        <v>45989</v>
      </c>
      <c r="B33" s="43" t="s">
        <v>443</v>
      </c>
      <c r="C33" s="40">
        <v>62827222</v>
      </c>
      <c r="D33" s="40">
        <v>145</v>
      </c>
      <c r="E33" s="40"/>
      <c r="F33" s="40"/>
      <c r="G33" s="40">
        <v>17413291</v>
      </c>
      <c r="H33" s="40">
        <v>9434058</v>
      </c>
      <c r="I33" s="40">
        <v>7139249</v>
      </c>
      <c r="J33" s="40">
        <v>115</v>
      </c>
      <c r="K33" s="40">
        <v>6860979</v>
      </c>
      <c r="L33" s="41"/>
      <c r="M33" s="5">
        <f t="shared" si="0"/>
        <v>33986598</v>
      </c>
      <c r="N33" s="5">
        <f t="shared" si="1"/>
        <v>96813820</v>
      </c>
      <c r="O33" s="5">
        <f t="shared" si="2"/>
        <v>433291.18620689656</v>
      </c>
      <c r="P33" s="5">
        <f t="shared" si="3"/>
        <v>295535.63478260871</v>
      </c>
      <c r="Q33" s="16" t="str">
        <f t="shared" si="4"/>
        <v/>
      </c>
    </row>
    <row r="34" spans="1:17" ht="21.75" customHeight="1" x14ac:dyDescent="0.2">
      <c r="A34" s="38">
        <v>45990</v>
      </c>
      <c r="B34" s="39" t="s">
        <v>444</v>
      </c>
      <c r="C34" s="40">
        <v>56163940</v>
      </c>
      <c r="D34" s="40">
        <v>150</v>
      </c>
      <c r="E34" s="40"/>
      <c r="F34" s="40"/>
      <c r="G34" s="40">
        <v>12169877</v>
      </c>
      <c r="H34" s="40">
        <v>8166029</v>
      </c>
      <c r="I34" s="40">
        <v>5901888</v>
      </c>
      <c r="J34" s="40">
        <v>116</v>
      </c>
      <c r="K34" s="40">
        <v>2136281</v>
      </c>
      <c r="L34" s="41"/>
      <c r="M34" s="5">
        <f t="shared" si="0"/>
        <v>26237794</v>
      </c>
      <c r="N34" s="5">
        <f t="shared" si="1"/>
        <v>82401734</v>
      </c>
      <c r="O34" s="5">
        <f t="shared" si="2"/>
        <v>374426.26666666666</v>
      </c>
      <c r="P34" s="5">
        <f t="shared" si="3"/>
        <v>226187.87931034484</v>
      </c>
      <c r="Q34" s="16" t="str">
        <f t="shared" si="4"/>
        <v/>
      </c>
    </row>
    <row r="35" spans="1:17" ht="21.75" customHeight="1" x14ac:dyDescent="0.2">
      <c r="A35" s="38">
        <v>45991</v>
      </c>
      <c r="B35" s="39" t="s">
        <v>445</v>
      </c>
      <c r="C35" s="40">
        <v>45037191</v>
      </c>
      <c r="D35" s="40">
        <v>113</v>
      </c>
      <c r="E35" s="40"/>
      <c r="F35" s="40"/>
      <c r="G35" s="40">
        <v>13629146</v>
      </c>
      <c r="H35" s="40">
        <v>4748004</v>
      </c>
      <c r="I35" s="40">
        <v>2738968</v>
      </c>
      <c r="J35" s="40">
        <v>78</v>
      </c>
      <c r="K35" s="40">
        <v>138889</v>
      </c>
      <c r="L35" s="41"/>
      <c r="M35" s="5">
        <f t="shared" si="0"/>
        <v>21116118</v>
      </c>
      <c r="N35" s="5">
        <f t="shared" si="1"/>
        <v>66153309</v>
      </c>
      <c r="O35" s="5">
        <f t="shared" si="2"/>
        <v>398559.21238938055</v>
      </c>
      <c r="P35" s="5">
        <f t="shared" si="3"/>
        <v>270719.46153846156</v>
      </c>
      <c r="Q35" s="16" t="str">
        <f t="shared" si="4"/>
        <v/>
      </c>
    </row>
    <row r="36" spans="1:17" ht="18.75" customHeight="1" x14ac:dyDescent="0.2"/>
    <row r="37" spans="1:17" ht="18.75" customHeight="1" x14ac:dyDescent="0.2"/>
    <row r="38" spans="1:17" ht="18.75" customHeight="1" x14ac:dyDescent="0.2"/>
    <row r="39" spans="1:17" ht="18.75" customHeight="1" x14ac:dyDescent="0.2"/>
    <row r="40" spans="1:17" ht="18.75" customHeight="1" x14ac:dyDescent="0.2"/>
    <row r="41" spans="1:17" ht="18.75" customHeight="1" x14ac:dyDescent="0.2"/>
    <row r="42" spans="1:17" ht="18.75" customHeight="1" x14ac:dyDescent="0.2"/>
    <row r="43" spans="1:17" ht="18.75" customHeight="1" x14ac:dyDescent="0.2"/>
    <row r="44" spans="1:17" ht="18.75" customHeight="1" x14ac:dyDescent="0.2"/>
    <row r="45" spans="1:17" ht="18.75" customHeight="1" x14ac:dyDescent="0.2"/>
    <row r="46" spans="1:17" ht="18.75" customHeight="1" x14ac:dyDescent="0.2"/>
    <row r="47" spans="1:17" ht="18.75" customHeight="1" x14ac:dyDescent="0.2"/>
    <row r="48" spans="1:17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9">
    <mergeCell ref="A1:Q1"/>
    <mergeCell ref="E3:F3"/>
    <mergeCell ref="O3:P3"/>
    <mergeCell ref="G3:J3"/>
    <mergeCell ref="A5:B5"/>
    <mergeCell ref="A2:Q2"/>
    <mergeCell ref="M3:N3"/>
    <mergeCell ref="C3:D3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Q200"/>
  <sheetViews>
    <sheetView workbookViewId="0">
      <selection sqref="A1:Q1"/>
    </sheetView>
  </sheetViews>
  <sheetFormatPr baseColWidth="10" defaultColWidth="14" defaultRowHeight="14" x14ac:dyDescent="0.2"/>
  <cols>
    <col min="1" max="1" width="15" customWidth="1"/>
    <col min="2" max="2" width="6" customWidth="1"/>
    <col min="3" max="3" width="19" customWidth="1"/>
    <col min="4" max="4" width="11" customWidth="1"/>
    <col min="5" max="5" width="15" customWidth="1"/>
    <col min="6" max="9" width="17" customWidth="1"/>
    <col min="10" max="10" width="12" customWidth="1"/>
    <col min="11" max="11" width="16" customWidth="1"/>
    <col min="12" max="12" width="27" customWidth="1"/>
    <col min="13" max="14" width="18" customWidth="1"/>
    <col min="15" max="16" width="15" customWidth="1"/>
    <col min="17" max="17" width="12" customWidth="1"/>
    <col min="18" max="20" width="11" customWidth="1"/>
  </cols>
  <sheetData>
    <row r="1" spans="1:17" ht="33" customHeight="1" x14ac:dyDescent="0.2">
      <c r="A1" s="158" t="s">
        <v>448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1.75" customHeight="1" x14ac:dyDescent="0.2">
      <c r="A2" s="146" t="s">
        <v>412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.75" customHeight="1" x14ac:dyDescent="0.2">
      <c r="A3" s="157" t="s">
        <v>413</v>
      </c>
      <c r="B3" s="143"/>
      <c r="C3" s="156" t="s">
        <v>414</v>
      </c>
      <c r="D3" s="143"/>
      <c r="E3" s="159" t="s">
        <v>415</v>
      </c>
      <c r="F3" s="143"/>
      <c r="G3" s="154" t="s">
        <v>416</v>
      </c>
      <c r="H3" s="143"/>
      <c r="I3" s="143"/>
      <c r="J3" s="143"/>
      <c r="K3" s="22" t="s">
        <v>417</v>
      </c>
      <c r="L3" s="23" t="s">
        <v>418</v>
      </c>
      <c r="M3" s="153" t="s">
        <v>419</v>
      </c>
      <c r="N3" s="143"/>
      <c r="O3" s="153" t="s">
        <v>419</v>
      </c>
      <c r="P3" s="143"/>
      <c r="Q3" s="24" t="s">
        <v>420</v>
      </c>
    </row>
    <row r="4" spans="1:17" ht="36" customHeight="1" x14ac:dyDescent="0.2">
      <c r="A4" s="25" t="s">
        <v>421</v>
      </c>
      <c r="B4" s="25" t="s">
        <v>422</v>
      </c>
      <c r="C4" s="26" t="s">
        <v>423</v>
      </c>
      <c r="D4" s="26" t="s">
        <v>424</v>
      </c>
      <c r="E4" s="27" t="s">
        <v>425</v>
      </c>
      <c r="F4" s="27" t="s">
        <v>426</v>
      </c>
      <c r="G4" s="28" t="s">
        <v>427</v>
      </c>
      <c r="H4" s="28" t="s">
        <v>428</v>
      </c>
      <c r="I4" s="28" t="s">
        <v>429</v>
      </c>
      <c r="J4" s="28" t="s">
        <v>430</v>
      </c>
      <c r="K4" s="29" t="s">
        <v>431</v>
      </c>
      <c r="L4" s="30" t="s">
        <v>432</v>
      </c>
      <c r="M4" s="31" t="s">
        <v>433</v>
      </c>
      <c r="N4" s="31" t="s">
        <v>434</v>
      </c>
      <c r="O4" s="31" t="s">
        <v>435</v>
      </c>
      <c r="P4" s="31" t="s">
        <v>436</v>
      </c>
      <c r="Q4" s="31" t="s">
        <v>437</v>
      </c>
    </row>
    <row r="5" spans="1:17" ht="21.75" customHeight="1" x14ac:dyDescent="0.2">
      <c r="A5" s="155" t="s">
        <v>438</v>
      </c>
      <c r="B5" s="143"/>
      <c r="C5" s="32"/>
      <c r="D5" s="33"/>
      <c r="E5" s="33"/>
      <c r="F5" s="33"/>
      <c r="G5" s="34"/>
      <c r="H5" s="34"/>
      <c r="I5" s="34"/>
      <c r="J5" s="33"/>
      <c r="K5" s="33"/>
      <c r="L5" s="33"/>
      <c r="M5" s="35"/>
      <c r="N5" s="35"/>
      <c r="O5" s="36"/>
      <c r="P5" s="36"/>
      <c r="Q5" s="37"/>
    </row>
    <row r="6" spans="1:17" ht="21.75" customHeight="1" x14ac:dyDescent="0.2">
      <c r="A6" s="38">
        <v>45992</v>
      </c>
      <c r="B6" s="39" t="s">
        <v>439</v>
      </c>
      <c r="C6" s="40">
        <v>45020711</v>
      </c>
      <c r="D6" s="40">
        <v>86</v>
      </c>
      <c r="E6" s="40"/>
      <c r="F6" s="40"/>
      <c r="G6" s="40">
        <v>6040002</v>
      </c>
      <c r="H6" s="40">
        <v>2779005</v>
      </c>
      <c r="I6" s="40">
        <v>1577438</v>
      </c>
      <c r="J6" s="40">
        <v>42</v>
      </c>
      <c r="K6" s="40">
        <v>10475495</v>
      </c>
      <c r="L6" s="41"/>
      <c r="M6" s="5">
        <f t="shared" ref="M6:M36" si="0">IF(SUM(G6:I6)&gt;0,SUM(G6:I6),"")</f>
        <v>10396445</v>
      </c>
      <c r="N6" s="5">
        <f t="shared" ref="N6:N36" si="1">IF(N(C6)+N(M6)&gt;0,N(C6)+N(M6),"")</f>
        <v>55417156</v>
      </c>
      <c r="O6" s="5">
        <f t="shared" ref="O6:O36" si="2">IFERROR(IF(D6&gt;0,C6/D6,""),"")</f>
        <v>523496.63953488372</v>
      </c>
      <c r="P6" s="5">
        <f t="shared" ref="P6:P36" si="3">IFERROR(IF(J6&gt;0,M6/J6,""),"")</f>
        <v>247534.40476190476</v>
      </c>
      <c r="Q6" s="16" t="str">
        <f t="shared" ref="Q6:Q36" si="4">IFERROR(IF(E6&gt;0,D6/E6,""),"")</f>
        <v/>
      </c>
    </row>
    <row r="7" spans="1:17" ht="21.75" customHeight="1" x14ac:dyDescent="0.2">
      <c r="A7" s="38">
        <v>45993</v>
      </c>
      <c r="B7" s="39" t="s">
        <v>440</v>
      </c>
      <c r="C7" s="40">
        <v>53475125</v>
      </c>
      <c r="D7" s="40">
        <v>121</v>
      </c>
      <c r="E7" s="40"/>
      <c r="F7" s="40"/>
      <c r="G7" s="40">
        <v>11543936</v>
      </c>
      <c r="H7" s="40">
        <v>2448018</v>
      </c>
      <c r="I7" s="40">
        <v>2999915</v>
      </c>
      <c r="J7" s="40">
        <v>54</v>
      </c>
      <c r="K7" s="40">
        <v>3200000</v>
      </c>
      <c r="L7" s="41"/>
      <c r="M7" s="5">
        <f t="shared" si="0"/>
        <v>16991869</v>
      </c>
      <c r="N7" s="5">
        <f t="shared" si="1"/>
        <v>70466994</v>
      </c>
      <c r="O7" s="5">
        <f t="shared" si="2"/>
        <v>441943.18181818182</v>
      </c>
      <c r="P7" s="5">
        <f t="shared" si="3"/>
        <v>314664.24074074073</v>
      </c>
      <c r="Q7" s="16" t="str">
        <f t="shared" si="4"/>
        <v/>
      </c>
    </row>
    <row r="8" spans="1:17" ht="21.75" customHeight="1" x14ac:dyDescent="0.2">
      <c r="A8" s="38">
        <v>45994</v>
      </c>
      <c r="B8" s="39" t="s">
        <v>441</v>
      </c>
      <c r="C8" s="40">
        <v>52732636</v>
      </c>
      <c r="D8" s="40">
        <v>117</v>
      </c>
      <c r="E8" s="40"/>
      <c r="F8" s="40"/>
      <c r="G8" s="40">
        <v>7441507</v>
      </c>
      <c r="H8" s="40">
        <v>4226023</v>
      </c>
      <c r="I8" s="40">
        <v>4348011</v>
      </c>
      <c r="J8" s="40">
        <v>61</v>
      </c>
      <c r="K8" s="40">
        <v>2171200</v>
      </c>
      <c r="L8" s="41"/>
      <c r="M8" s="5">
        <f t="shared" si="0"/>
        <v>16015541</v>
      </c>
      <c r="N8" s="5">
        <f t="shared" si="1"/>
        <v>68748177</v>
      </c>
      <c r="O8" s="5">
        <f t="shared" si="2"/>
        <v>450706.29059829062</v>
      </c>
      <c r="P8" s="5">
        <f t="shared" si="3"/>
        <v>262549.85245901637</v>
      </c>
      <c r="Q8" s="16" t="str">
        <f t="shared" si="4"/>
        <v/>
      </c>
    </row>
    <row r="9" spans="1:17" ht="21.75" customHeight="1" x14ac:dyDescent="0.2">
      <c r="A9" s="38">
        <v>45995</v>
      </c>
      <c r="B9" s="39" t="s">
        <v>442</v>
      </c>
      <c r="C9" s="40">
        <v>44254621</v>
      </c>
      <c r="D9" s="40">
        <v>98</v>
      </c>
      <c r="E9" s="40"/>
      <c r="F9" s="40"/>
      <c r="G9" s="40">
        <v>14201097</v>
      </c>
      <c r="H9" s="40">
        <v>5686012</v>
      </c>
      <c r="I9" s="40">
        <v>3045926</v>
      </c>
      <c r="J9" s="40">
        <v>91</v>
      </c>
      <c r="K9" s="40">
        <v>551037</v>
      </c>
      <c r="L9" s="41"/>
      <c r="M9" s="5">
        <f t="shared" si="0"/>
        <v>22933035</v>
      </c>
      <c r="N9" s="5">
        <f t="shared" si="1"/>
        <v>67187656</v>
      </c>
      <c r="O9" s="5">
        <f t="shared" si="2"/>
        <v>451577.76530612243</v>
      </c>
      <c r="P9" s="5">
        <f t="shared" si="3"/>
        <v>252011.37362637362</v>
      </c>
      <c r="Q9" s="16" t="str">
        <f t="shared" si="4"/>
        <v/>
      </c>
    </row>
    <row r="10" spans="1:17" ht="21.75" customHeight="1" x14ac:dyDescent="0.2">
      <c r="A10" s="38">
        <v>45996</v>
      </c>
      <c r="B10" s="39" t="s">
        <v>443</v>
      </c>
      <c r="C10" s="40">
        <v>48002681</v>
      </c>
      <c r="D10" s="40">
        <v>116</v>
      </c>
      <c r="E10" s="40"/>
      <c r="F10" s="40"/>
      <c r="G10" s="40">
        <v>13714286</v>
      </c>
      <c r="H10" s="40">
        <v>7682027</v>
      </c>
      <c r="I10" s="40">
        <v>4757941</v>
      </c>
      <c r="J10" s="40">
        <v>99</v>
      </c>
      <c r="K10" s="40">
        <v>4274972</v>
      </c>
      <c r="L10" s="41"/>
      <c r="M10" s="5">
        <f t="shared" si="0"/>
        <v>26154254</v>
      </c>
      <c r="N10" s="5">
        <f t="shared" si="1"/>
        <v>74156935</v>
      </c>
      <c r="O10" s="5">
        <f t="shared" si="2"/>
        <v>413816.21551724139</v>
      </c>
      <c r="P10" s="5">
        <f t="shared" si="3"/>
        <v>264184.38383838383</v>
      </c>
      <c r="Q10" s="16" t="str">
        <f t="shared" si="4"/>
        <v/>
      </c>
    </row>
    <row r="11" spans="1:17" ht="21.75" customHeight="1" x14ac:dyDescent="0.2">
      <c r="A11" s="42">
        <v>45997</v>
      </c>
      <c r="B11" s="43" t="s">
        <v>444</v>
      </c>
      <c r="C11" s="40">
        <v>38647128</v>
      </c>
      <c r="D11" s="40">
        <v>95</v>
      </c>
      <c r="E11" s="40"/>
      <c r="F11" s="40"/>
      <c r="G11" s="40">
        <v>14455707</v>
      </c>
      <c r="H11" s="40">
        <v>11348542</v>
      </c>
      <c r="I11" s="40">
        <v>8723830</v>
      </c>
      <c r="J11" s="40">
        <v>136</v>
      </c>
      <c r="K11" s="40">
        <v>1857600</v>
      </c>
      <c r="L11" s="41"/>
      <c r="M11" s="5">
        <f t="shared" si="0"/>
        <v>34528079</v>
      </c>
      <c r="N11" s="5">
        <f t="shared" si="1"/>
        <v>73175207</v>
      </c>
      <c r="O11" s="5">
        <f t="shared" si="2"/>
        <v>406811.87368421053</v>
      </c>
      <c r="P11" s="5">
        <f t="shared" si="3"/>
        <v>253882.9338235294</v>
      </c>
      <c r="Q11" s="16" t="str">
        <f t="shared" si="4"/>
        <v/>
      </c>
    </row>
    <row r="12" spans="1:17" ht="21.75" customHeight="1" x14ac:dyDescent="0.2">
      <c r="A12" s="42">
        <v>45998</v>
      </c>
      <c r="B12" s="43" t="s">
        <v>445</v>
      </c>
      <c r="C12" s="40">
        <v>41728875</v>
      </c>
      <c r="D12" s="40">
        <v>112</v>
      </c>
      <c r="E12" s="40"/>
      <c r="F12" s="40"/>
      <c r="G12" s="40">
        <v>14353575</v>
      </c>
      <c r="H12" s="40">
        <v>6256016</v>
      </c>
      <c r="I12" s="40">
        <v>3840130</v>
      </c>
      <c r="J12" s="40">
        <v>86</v>
      </c>
      <c r="K12" s="40">
        <v>1244340</v>
      </c>
      <c r="L12" s="41"/>
      <c r="M12" s="5">
        <f t="shared" si="0"/>
        <v>24449721</v>
      </c>
      <c r="N12" s="5">
        <f t="shared" si="1"/>
        <v>66178596</v>
      </c>
      <c r="O12" s="5">
        <f t="shared" si="2"/>
        <v>372579.24107142858</v>
      </c>
      <c r="P12" s="5">
        <f t="shared" si="3"/>
        <v>284299.08139534883</v>
      </c>
      <c r="Q12" s="16" t="str">
        <f t="shared" si="4"/>
        <v/>
      </c>
    </row>
    <row r="13" spans="1:17" ht="21.75" customHeight="1" x14ac:dyDescent="0.2">
      <c r="A13" s="38">
        <v>45999</v>
      </c>
      <c r="B13" s="39" t="s">
        <v>439</v>
      </c>
      <c r="C13" s="40">
        <v>33332635</v>
      </c>
      <c r="D13" s="40">
        <v>70</v>
      </c>
      <c r="E13" s="40"/>
      <c r="F13" s="40"/>
      <c r="G13" s="40">
        <v>10259014</v>
      </c>
      <c r="H13" s="40">
        <v>6904555</v>
      </c>
      <c r="I13" s="40">
        <v>1594281</v>
      </c>
      <c r="J13" s="40">
        <v>55</v>
      </c>
      <c r="K13" s="40">
        <v>7472458</v>
      </c>
      <c r="L13" s="41"/>
      <c r="M13" s="5">
        <f t="shared" si="0"/>
        <v>18757850</v>
      </c>
      <c r="N13" s="5">
        <f t="shared" si="1"/>
        <v>52090485</v>
      </c>
      <c r="O13" s="5">
        <f t="shared" si="2"/>
        <v>476180.5</v>
      </c>
      <c r="P13" s="5">
        <f t="shared" si="3"/>
        <v>341051.81818181818</v>
      </c>
      <c r="Q13" s="16" t="str">
        <f t="shared" si="4"/>
        <v/>
      </c>
    </row>
    <row r="14" spans="1:17" ht="21.75" customHeight="1" x14ac:dyDescent="0.2">
      <c r="A14" s="38">
        <v>46000</v>
      </c>
      <c r="B14" s="39" t="s">
        <v>440</v>
      </c>
      <c r="C14" s="40">
        <v>56618375</v>
      </c>
      <c r="D14" s="40">
        <v>116</v>
      </c>
      <c r="E14" s="40"/>
      <c r="F14" s="40"/>
      <c r="G14" s="40">
        <v>17487196</v>
      </c>
      <c r="H14" s="40">
        <v>4983015</v>
      </c>
      <c r="I14" s="40">
        <v>2586169</v>
      </c>
      <c r="J14" s="40">
        <v>85</v>
      </c>
      <c r="K14" s="40">
        <v>686400</v>
      </c>
      <c r="L14" s="41"/>
      <c r="M14" s="5">
        <f t="shared" si="0"/>
        <v>25056380</v>
      </c>
      <c r="N14" s="5">
        <f t="shared" si="1"/>
        <v>81674755</v>
      </c>
      <c r="O14" s="5">
        <f t="shared" si="2"/>
        <v>488089.43965517241</v>
      </c>
      <c r="P14" s="5">
        <f t="shared" si="3"/>
        <v>294780.9411764706</v>
      </c>
      <c r="Q14" s="16" t="str">
        <f t="shared" si="4"/>
        <v/>
      </c>
    </row>
    <row r="15" spans="1:17" ht="21.75" customHeight="1" x14ac:dyDescent="0.2">
      <c r="A15" s="38">
        <v>46001</v>
      </c>
      <c r="B15" s="39" t="s">
        <v>441</v>
      </c>
      <c r="C15" s="40">
        <v>47094926</v>
      </c>
      <c r="D15" s="40">
        <v>113</v>
      </c>
      <c r="E15" s="40"/>
      <c r="F15" s="40"/>
      <c r="G15" s="40">
        <v>11865091</v>
      </c>
      <c r="H15" s="40">
        <v>9099536</v>
      </c>
      <c r="I15" s="40">
        <v>4065185</v>
      </c>
      <c r="J15" s="40">
        <v>79</v>
      </c>
      <c r="K15" s="40">
        <v>555559</v>
      </c>
      <c r="L15" s="41"/>
      <c r="M15" s="5">
        <f t="shared" si="0"/>
        <v>25029812</v>
      </c>
      <c r="N15" s="5">
        <f t="shared" si="1"/>
        <v>72124738</v>
      </c>
      <c r="O15" s="5">
        <f t="shared" si="2"/>
        <v>416769.25663716812</v>
      </c>
      <c r="P15" s="5">
        <f t="shared" si="3"/>
        <v>316833.06329113926</v>
      </c>
      <c r="Q15" s="16" t="str">
        <f t="shared" si="4"/>
        <v/>
      </c>
    </row>
    <row r="16" spans="1:17" ht="21.75" customHeight="1" x14ac:dyDescent="0.2">
      <c r="A16" s="38">
        <v>46002</v>
      </c>
      <c r="B16" s="39" t="s">
        <v>442</v>
      </c>
      <c r="C16" s="40">
        <v>51119403</v>
      </c>
      <c r="D16" s="40">
        <v>116</v>
      </c>
      <c r="E16" s="40"/>
      <c r="F16" s="40"/>
      <c r="G16" s="40">
        <v>15286488</v>
      </c>
      <c r="H16" s="40">
        <v>6212016</v>
      </c>
      <c r="I16" s="40">
        <v>5758149</v>
      </c>
      <c r="J16" s="40">
        <v>95</v>
      </c>
      <c r="K16" s="40">
        <v>3017039</v>
      </c>
      <c r="L16" s="41"/>
      <c r="M16" s="5">
        <f t="shared" si="0"/>
        <v>27256653</v>
      </c>
      <c r="N16" s="5">
        <f t="shared" si="1"/>
        <v>78376056</v>
      </c>
      <c r="O16" s="5">
        <f t="shared" si="2"/>
        <v>440684.50862068968</v>
      </c>
      <c r="P16" s="5">
        <f t="shared" si="3"/>
        <v>286912.13684210525</v>
      </c>
      <c r="Q16" s="16" t="str">
        <f t="shared" si="4"/>
        <v/>
      </c>
    </row>
    <row r="17" spans="1:17" ht="21.75" customHeight="1" x14ac:dyDescent="0.2">
      <c r="A17" s="38">
        <v>46003</v>
      </c>
      <c r="B17" s="39" t="s">
        <v>443</v>
      </c>
      <c r="C17" s="40">
        <v>53829137</v>
      </c>
      <c r="D17" s="40">
        <v>143</v>
      </c>
      <c r="E17" s="40"/>
      <c r="F17" s="40"/>
      <c r="G17" s="40">
        <v>14987854</v>
      </c>
      <c r="H17" s="40">
        <v>6453357</v>
      </c>
      <c r="I17" s="40">
        <v>5763081</v>
      </c>
      <c r="J17" s="40">
        <v>93</v>
      </c>
      <c r="K17" s="40">
        <v>1301096</v>
      </c>
      <c r="L17" s="41"/>
      <c r="M17" s="5">
        <f t="shared" si="0"/>
        <v>27204292</v>
      </c>
      <c r="N17" s="5">
        <f t="shared" si="1"/>
        <v>81033429</v>
      </c>
      <c r="O17" s="5">
        <f t="shared" si="2"/>
        <v>376427.53146853147</v>
      </c>
      <c r="P17" s="5">
        <f t="shared" si="3"/>
        <v>292519.26881720428</v>
      </c>
      <c r="Q17" s="16" t="str">
        <f t="shared" si="4"/>
        <v/>
      </c>
    </row>
    <row r="18" spans="1:17" ht="21.75" customHeight="1" x14ac:dyDescent="0.2">
      <c r="A18" s="42">
        <v>46004</v>
      </c>
      <c r="B18" s="43" t="s">
        <v>444</v>
      </c>
      <c r="C18" s="40">
        <v>47733077</v>
      </c>
      <c r="D18" s="40">
        <v>130</v>
      </c>
      <c r="E18" s="40"/>
      <c r="F18" s="40"/>
      <c r="G18" s="40">
        <v>19014662</v>
      </c>
      <c r="H18" s="40">
        <v>7307517</v>
      </c>
      <c r="I18" s="40">
        <v>8850265</v>
      </c>
      <c r="J18" s="40">
        <v>126</v>
      </c>
      <c r="K18" s="40">
        <v>1288059</v>
      </c>
      <c r="L18" s="41"/>
      <c r="M18" s="5">
        <f t="shared" si="0"/>
        <v>35172444</v>
      </c>
      <c r="N18" s="5">
        <f t="shared" si="1"/>
        <v>82905521</v>
      </c>
      <c r="O18" s="5">
        <f t="shared" si="2"/>
        <v>367177.5153846154</v>
      </c>
      <c r="P18" s="5">
        <f t="shared" si="3"/>
        <v>279146.38095238095</v>
      </c>
      <c r="Q18" s="16" t="str">
        <f t="shared" si="4"/>
        <v/>
      </c>
    </row>
    <row r="19" spans="1:17" ht="21.75" customHeight="1" x14ac:dyDescent="0.2">
      <c r="A19" s="42">
        <v>46005</v>
      </c>
      <c r="B19" s="43" t="s">
        <v>445</v>
      </c>
      <c r="C19" s="40">
        <v>41435138</v>
      </c>
      <c r="D19" s="40">
        <v>95</v>
      </c>
      <c r="E19" s="40"/>
      <c r="F19" s="40"/>
      <c r="G19" s="40">
        <v>15588856</v>
      </c>
      <c r="H19" s="40">
        <v>6897997</v>
      </c>
      <c r="I19" s="40">
        <v>4743390</v>
      </c>
      <c r="J19" s="40">
        <v>96</v>
      </c>
      <c r="K19" s="40">
        <v>502400</v>
      </c>
      <c r="L19" s="41"/>
      <c r="M19" s="5">
        <f t="shared" si="0"/>
        <v>27230243</v>
      </c>
      <c r="N19" s="5">
        <f t="shared" si="1"/>
        <v>68665381</v>
      </c>
      <c r="O19" s="5">
        <f t="shared" si="2"/>
        <v>436159.34736842103</v>
      </c>
      <c r="P19" s="5">
        <f t="shared" si="3"/>
        <v>283648.36458333331</v>
      </c>
      <c r="Q19" s="16" t="str">
        <f t="shared" si="4"/>
        <v/>
      </c>
    </row>
    <row r="20" spans="1:17" ht="21.75" customHeight="1" x14ac:dyDescent="0.2">
      <c r="A20" s="38">
        <v>46006</v>
      </c>
      <c r="B20" s="39" t="s">
        <v>439</v>
      </c>
      <c r="C20" s="40">
        <v>41698022</v>
      </c>
      <c r="D20" s="40">
        <v>93</v>
      </c>
      <c r="E20" s="40"/>
      <c r="F20" s="40"/>
      <c r="G20" s="40">
        <v>8565662</v>
      </c>
      <c r="H20" s="40">
        <v>4055518</v>
      </c>
      <c r="I20" s="40">
        <v>3562710</v>
      </c>
      <c r="J20" s="40">
        <v>47</v>
      </c>
      <c r="K20" s="40">
        <v>919066</v>
      </c>
      <c r="L20" s="41"/>
      <c r="M20" s="5">
        <f t="shared" si="0"/>
        <v>16183890</v>
      </c>
      <c r="N20" s="5">
        <f t="shared" si="1"/>
        <v>57881912</v>
      </c>
      <c r="O20" s="5">
        <f t="shared" si="2"/>
        <v>448365.82795698923</v>
      </c>
      <c r="P20" s="5">
        <f t="shared" si="3"/>
        <v>344338.08510638296</v>
      </c>
      <c r="Q20" s="16" t="str">
        <f t="shared" si="4"/>
        <v/>
      </c>
    </row>
    <row r="21" spans="1:17" ht="21.75" customHeight="1" x14ac:dyDescent="0.2">
      <c r="A21" s="38">
        <v>46007</v>
      </c>
      <c r="B21" s="39" t="s">
        <v>440</v>
      </c>
      <c r="C21" s="40">
        <v>52852703</v>
      </c>
      <c r="D21" s="40">
        <v>110</v>
      </c>
      <c r="E21" s="40"/>
      <c r="F21" s="40"/>
      <c r="G21" s="40">
        <v>11127768</v>
      </c>
      <c r="H21" s="40">
        <v>7421026</v>
      </c>
      <c r="I21" s="40">
        <v>3624867</v>
      </c>
      <c r="J21" s="40">
        <v>70</v>
      </c>
      <c r="K21" s="40">
        <v>10362516</v>
      </c>
      <c r="L21" s="41"/>
      <c r="M21" s="5">
        <f t="shared" si="0"/>
        <v>22173661</v>
      </c>
      <c r="N21" s="5">
        <f t="shared" si="1"/>
        <v>75026364</v>
      </c>
      <c r="O21" s="5">
        <f t="shared" si="2"/>
        <v>480479.11818181816</v>
      </c>
      <c r="P21" s="5">
        <f t="shared" si="3"/>
        <v>316766.58571428573</v>
      </c>
      <c r="Q21" s="16" t="str">
        <f t="shared" si="4"/>
        <v/>
      </c>
    </row>
    <row r="22" spans="1:17" ht="21.75" customHeight="1" x14ac:dyDescent="0.2">
      <c r="A22" s="38">
        <v>46008</v>
      </c>
      <c r="B22" s="39" t="s">
        <v>441</v>
      </c>
      <c r="C22" s="40">
        <v>49659065</v>
      </c>
      <c r="D22" s="40">
        <v>115</v>
      </c>
      <c r="E22" s="40"/>
      <c r="F22" s="40"/>
      <c r="G22" s="40">
        <v>12595240</v>
      </c>
      <c r="H22" s="40">
        <v>3931000</v>
      </c>
      <c r="I22" s="40">
        <v>4572643</v>
      </c>
      <c r="J22" s="40">
        <v>70</v>
      </c>
      <c r="K22" s="40">
        <v>3200000</v>
      </c>
      <c r="L22" s="41"/>
      <c r="M22" s="5">
        <f t="shared" si="0"/>
        <v>21098883</v>
      </c>
      <c r="N22" s="5">
        <f t="shared" si="1"/>
        <v>70757948</v>
      </c>
      <c r="O22" s="5">
        <f t="shared" si="2"/>
        <v>431817.95652173914</v>
      </c>
      <c r="P22" s="5">
        <f t="shared" si="3"/>
        <v>301412.61428571428</v>
      </c>
      <c r="Q22" s="16" t="str">
        <f t="shared" si="4"/>
        <v/>
      </c>
    </row>
    <row r="23" spans="1:17" ht="21.75" customHeight="1" x14ac:dyDescent="0.2">
      <c r="A23" s="38">
        <v>46009</v>
      </c>
      <c r="B23" s="39" t="s">
        <v>442</v>
      </c>
      <c r="C23" s="40">
        <v>62449331</v>
      </c>
      <c r="D23" s="40">
        <v>151</v>
      </c>
      <c r="E23" s="40"/>
      <c r="F23" s="40"/>
      <c r="G23" s="40">
        <v>15186983</v>
      </c>
      <c r="H23" s="40">
        <v>7781005</v>
      </c>
      <c r="I23" s="40">
        <v>6529673</v>
      </c>
      <c r="J23" s="40">
        <v>94</v>
      </c>
      <c r="K23" s="40"/>
      <c r="L23" s="41"/>
      <c r="M23" s="5">
        <f t="shared" si="0"/>
        <v>29497661</v>
      </c>
      <c r="N23" s="5">
        <f t="shared" si="1"/>
        <v>91946992</v>
      </c>
      <c r="O23" s="5">
        <f t="shared" si="2"/>
        <v>413571.72847682121</v>
      </c>
      <c r="P23" s="5">
        <f t="shared" si="3"/>
        <v>313804.90425531915</v>
      </c>
      <c r="Q23" s="16" t="str">
        <f t="shared" si="4"/>
        <v/>
      </c>
    </row>
    <row r="24" spans="1:17" ht="21.75" customHeight="1" x14ac:dyDescent="0.2">
      <c r="A24" s="38">
        <v>46010</v>
      </c>
      <c r="B24" s="39" t="s">
        <v>443</v>
      </c>
      <c r="C24" s="40">
        <v>48714273</v>
      </c>
      <c r="D24" s="40">
        <v>111</v>
      </c>
      <c r="E24" s="40"/>
      <c r="F24" s="40"/>
      <c r="G24" s="40">
        <v>14376995</v>
      </c>
      <c r="H24" s="40">
        <v>9782005</v>
      </c>
      <c r="I24" s="40">
        <v>8101719</v>
      </c>
      <c r="J24" s="40">
        <v>97</v>
      </c>
      <c r="K24" s="40">
        <v>1796172</v>
      </c>
      <c r="L24" s="41"/>
      <c r="M24" s="5">
        <f t="shared" si="0"/>
        <v>32260719</v>
      </c>
      <c r="N24" s="5">
        <f t="shared" si="1"/>
        <v>80974992</v>
      </c>
      <c r="O24" s="5">
        <f t="shared" si="2"/>
        <v>438867.32432432432</v>
      </c>
      <c r="P24" s="5">
        <f t="shared" si="3"/>
        <v>332584.73195876286</v>
      </c>
      <c r="Q24" s="16" t="str">
        <f t="shared" si="4"/>
        <v/>
      </c>
    </row>
    <row r="25" spans="1:17" ht="21.75" customHeight="1" x14ac:dyDescent="0.2">
      <c r="A25" s="42">
        <v>46011</v>
      </c>
      <c r="B25" s="43" t="s">
        <v>444</v>
      </c>
      <c r="C25" s="40">
        <v>50795744</v>
      </c>
      <c r="D25" s="40">
        <v>135</v>
      </c>
      <c r="E25" s="40"/>
      <c r="F25" s="40"/>
      <c r="G25" s="40">
        <v>17759999</v>
      </c>
      <c r="H25" s="40">
        <v>7124988</v>
      </c>
      <c r="I25" s="40">
        <v>9636220</v>
      </c>
      <c r="J25" s="40">
        <v>118</v>
      </c>
      <c r="K25" s="40">
        <v>375000</v>
      </c>
      <c r="L25" s="41"/>
      <c r="M25" s="5">
        <f t="shared" si="0"/>
        <v>34521207</v>
      </c>
      <c r="N25" s="5">
        <f t="shared" si="1"/>
        <v>85316951</v>
      </c>
      <c r="O25" s="5">
        <f t="shared" si="2"/>
        <v>376264.77037037036</v>
      </c>
      <c r="P25" s="5">
        <f t="shared" si="3"/>
        <v>292552.60169491527</v>
      </c>
      <c r="Q25" s="16" t="str">
        <f t="shared" si="4"/>
        <v/>
      </c>
    </row>
    <row r="26" spans="1:17" ht="21.75" customHeight="1" x14ac:dyDescent="0.2">
      <c r="A26" s="42">
        <v>46012</v>
      </c>
      <c r="B26" s="43" t="s">
        <v>445</v>
      </c>
      <c r="C26" s="40">
        <v>55920248</v>
      </c>
      <c r="D26" s="40">
        <v>134</v>
      </c>
      <c r="E26" s="40"/>
      <c r="F26" s="40"/>
      <c r="G26" s="40">
        <v>17424989</v>
      </c>
      <c r="H26" s="40">
        <v>7755989</v>
      </c>
      <c r="I26" s="40">
        <v>7071219</v>
      </c>
      <c r="J26" s="40">
        <v>97</v>
      </c>
      <c r="K26" s="40">
        <v>518518</v>
      </c>
      <c r="L26" s="41"/>
      <c r="M26" s="5">
        <f t="shared" si="0"/>
        <v>32252197</v>
      </c>
      <c r="N26" s="5">
        <f t="shared" si="1"/>
        <v>88172445</v>
      </c>
      <c r="O26" s="5">
        <f t="shared" si="2"/>
        <v>417315.28358208953</v>
      </c>
      <c r="P26" s="5">
        <f t="shared" si="3"/>
        <v>332496.87628865981</v>
      </c>
      <c r="Q26" s="16" t="str">
        <f t="shared" si="4"/>
        <v/>
      </c>
    </row>
    <row r="27" spans="1:17" ht="21.75" customHeight="1" x14ac:dyDescent="0.2">
      <c r="A27" s="38">
        <v>46013</v>
      </c>
      <c r="B27" s="39" t="s">
        <v>439</v>
      </c>
      <c r="C27" s="40">
        <v>46980276</v>
      </c>
      <c r="D27" s="40">
        <v>106</v>
      </c>
      <c r="E27" s="40"/>
      <c r="F27" s="40"/>
      <c r="G27" s="40">
        <v>6457997</v>
      </c>
      <c r="H27" s="40">
        <v>2384448</v>
      </c>
      <c r="I27" s="40">
        <v>1667650</v>
      </c>
      <c r="J27" s="40">
        <v>42</v>
      </c>
      <c r="K27" s="40">
        <v>1142400</v>
      </c>
      <c r="L27" s="41"/>
      <c r="M27" s="5">
        <f t="shared" si="0"/>
        <v>10510095</v>
      </c>
      <c r="N27" s="5">
        <f t="shared" si="1"/>
        <v>57490371</v>
      </c>
      <c r="O27" s="5">
        <f t="shared" si="2"/>
        <v>443210.15094339621</v>
      </c>
      <c r="P27" s="5">
        <f t="shared" si="3"/>
        <v>250240.35714285713</v>
      </c>
      <c r="Q27" s="16" t="str">
        <f t="shared" si="4"/>
        <v/>
      </c>
    </row>
    <row r="28" spans="1:17" ht="21.75" customHeight="1" x14ac:dyDescent="0.2">
      <c r="A28" s="38">
        <v>46014</v>
      </c>
      <c r="B28" s="39" t="s">
        <v>440</v>
      </c>
      <c r="C28" s="40">
        <v>51451657</v>
      </c>
      <c r="D28" s="40">
        <v>111</v>
      </c>
      <c r="E28" s="40"/>
      <c r="F28" s="40"/>
      <c r="G28" s="40">
        <v>15652224</v>
      </c>
      <c r="H28" s="40">
        <v>6664999</v>
      </c>
      <c r="I28" s="40">
        <v>6391994</v>
      </c>
      <c r="J28" s="40">
        <v>85</v>
      </c>
      <c r="K28" s="40">
        <v>2635430</v>
      </c>
      <c r="L28" s="41"/>
      <c r="M28" s="5">
        <f t="shared" si="0"/>
        <v>28709217</v>
      </c>
      <c r="N28" s="5">
        <f t="shared" si="1"/>
        <v>80160874</v>
      </c>
      <c r="O28" s="5">
        <f t="shared" si="2"/>
        <v>463528.44144144142</v>
      </c>
      <c r="P28" s="5">
        <f t="shared" si="3"/>
        <v>337755.49411764706</v>
      </c>
      <c r="Q28" s="16" t="str">
        <f t="shared" si="4"/>
        <v/>
      </c>
    </row>
    <row r="29" spans="1:17" ht="21.75" customHeight="1" x14ac:dyDescent="0.2">
      <c r="A29" s="38">
        <v>46015</v>
      </c>
      <c r="B29" s="39" t="s">
        <v>441</v>
      </c>
      <c r="C29" s="40">
        <v>53098053</v>
      </c>
      <c r="D29" s="40">
        <v>112</v>
      </c>
      <c r="E29" s="40"/>
      <c r="F29" s="40"/>
      <c r="G29" s="40">
        <v>9858995</v>
      </c>
      <c r="H29" s="40">
        <v>8762998</v>
      </c>
      <c r="I29" s="40">
        <v>5304037</v>
      </c>
      <c r="J29" s="40">
        <v>89</v>
      </c>
      <c r="K29" s="40">
        <v>753600</v>
      </c>
      <c r="L29" s="41"/>
      <c r="M29" s="5">
        <f t="shared" si="0"/>
        <v>23926030</v>
      </c>
      <c r="N29" s="5">
        <f t="shared" si="1"/>
        <v>77024083</v>
      </c>
      <c r="O29" s="5">
        <f t="shared" si="2"/>
        <v>474089.75892857142</v>
      </c>
      <c r="P29" s="5">
        <f t="shared" si="3"/>
        <v>268831.79775280901</v>
      </c>
      <c r="Q29" s="16" t="str">
        <f t="shared" si="4"/>
        <v/>
      </c>
    </row>
    <row r="30" spans="1:17" ht="21.75" customHeight="1" x14ac:dyDescent="0.2">
      <c r="A30" s="38">
        <v>46016</v>
      </c>
      <c r="B30" s="39" t="s">
        <v>442</v>
      </c>
      <c r="C30" s="40">
        <v>61644741</v>
      </c>
      <c r="D30" s="40">
        <v>137</v>
      </c>
      <c r="E30" s="40"/>
      <c r="F30" s="40"/>
      <c r="G30" s="40">
        <v>15208062</v>
      </c>
      <c r="H30" s="40">
        <v>6618000</v>
      </c>
      <c r="I30" s="40">
        <v>6348998</v>
      </c>
      <c r="J30" s="40">
        <v>82</v>
      </c>
      <c r="K30" s="40">
        <v>259259</v>
      </c>
      <c r="L30" s="41"/>
      <c r="M30" s="5">
        <f t="shared" si="0"/>
        <v>28175060</v>
      </c>
      <c r="N30" s="5">
        <f t="shared" si="1"/>
        <v>89819801</v>
      </c>
      <c r="O30" s="5">
        <f t="shared" si="2"/>
        <v>449961.61313868611</v>
      </c>
      <c r="P30" s="5">
        <f t="shared" si="3"/>
        <v>343598.29268292681</v>
      </c>
      <c r="Q30" s="16" t="str">
        <f t="shared" si="4"/>
        <v/>
      </c>
    </row>
    <row r="31" spans="1:17" ht="21.75" customHeight="1" x14ac:dyDescent="0.2">
      <c r="A31" s="38">
        <v>46017</v>
      </c>
      <c r="B31" s="39" t="s">
        <v>443</v>
      </c>
      <c r="C31" s="40">
        <v>61877513</v>
      </c>
      <c r="D31" s="40">
        <v>143</v>
      </c>
      <c r="E31" s="40"/>
      <c r="F31" s="40"/>
      <c r="G31" s="40">
        <v>20741501</v>
      </c>
      <c r="H31" s="40">
        <v>11478834</v>
      </c>
      <c r="I31" s="40">
        <v>11817995</v>
      </c>
      <c r="J31" s="40">
        <v>146</v>
      </c>
      <c r="K31" s="40">
        <v>1820000</v>
      </c>
      <c r="L31" s="41"/>
      <c r="M31" s="5">
        <f t="shared" si="0"/>
        <v>44038330</v>
      </c>
      <c r="N31" s="5">
        <f t="shared" si="1"/>
        <v>105915843</v>
      </c>
      <c r="O31" s="5">
        <f t="shared" si="2"/>
        <v>432709.88111888111</v>
      </c>
      <c r="P31" s="5">
        <f t="shared" si="3"/>
        <v>301632.39726027398</v>
      </c>
      <c r="Q31" s="16" t="str">
        <f t="shared" si="4"/>
        <v/>
      </c>
    </row>
    <row r="32" spans="1:17" ht="21.75" customHeight="1" x14ac:dyDescent="0.2">
      <c r="A32" s="42">
        <v>46018</v>
      </c>
      <c r="B32" s="43" t="s">
        <v>444</v>
      </c>
      <c r="C32" s="40">
        <v>48321039</v>
      </c>
      <c r="D32" s="40">
        <v>116</v>
      </c>
      <c r="E32" s="40"/>
      <c r="F32" s="40"/>
      <c r="G32" s="40">
        <v>16132991</v>
      </c>
      <c r="H32" s="40">
        <v>7724502</v>
      </c>
      <c r="I32" s="40">
        <v>9496996</v>
      </c>
      <c r="J32" s="40">
        <v>110</v>
      </c>
      <c r="K32" s="40">
        <v>1004800</v>
      </c>
      <c r="L32" s="41"/>
      <c r="M32" s="5">
        <f t="shared" si="0"/>
        <v>33354489</v>
      </c>
      <c r="N32" s="5">
        <f t="shared" si="1"/>
        <v>81675528</v>
      </c>
      <c r="O32" s="5">
        <f t="shared" si="2"/>
        <v>416560.68103448278</v>
      </c>
      <c r="P32" s="5">
        <f t="shared" si="3"/>
        <v>303222.62727272726</v>
      </c>
      <c r="Q32" s="16" t="str">
        <f t="shared" si="4"/>
        <v/>
      </c>
    </row>
    <row r="33" spans="1:17" ht="21.75" customHeight="1" x14ac:dyDescent="0.2">
      <c r="A33" s="42">
        <v>46019</v>
      </c>
      <c r="B33" s="43" t="s">
        <v>445</v>
      </c>
      <c r="C33" s="40">
        <v>30080503</v>
      </c>
      <c r="D33" s="40">
        <v>71</v>
      </c>
      <c r="E33" s="40"/>
      <c r="F33" s="40"/>
      <c r="G33" s="40">
        <v>17184990</v>
      </c>
      <c r="H33" s="40">
        <v>8477983</v>
      </c>
      <c r="I33" s="40">
        <v>4265997</v>
      </c>
      <c r="J33" s="40">
        <v>91</v>
      </c>
      <c r="K33" s="40">
        <v>259259</v>
      </c>
      <c r="L33" s="41"/>
      <c r="M33" s="5">
        <f t="shared" si="0"/>
        <v>29928970</v>
      </c>
      <c r="N33" s="5">
        <f t="shared" si="1"/>
        <v>60009473</v>
      </c>
      <c r="O33" s="5">
        <f t="shared" si="2"/>
        <v>423669.05633802817</v>
      </c>
      <c r="P33" s="5">
        <f t="shared" si="3"/>
        <v>328889.78021978022</v>
      </c>
      <c r="Q33" s="16" t="str">
        <f t="shared" si="4"/>
        <v/>
      </c>
    </row>
    <row r="34" spans="1:17" ht="21.75" customHeight="1" x14ac:dyDescent="0.2">
      <c r="A34" s="38">
        <v>46020</v>
      </c>
      <c r="B34" s="39" t="s">
        <v>439</v>
      </c>
      <c r="C34" s="40">
        <v>57282818</v>
      </c>
      <c r="D34" s="40">
        <v>123</v>
      </c>
      <c r="E34" s="40"/>
      <c r="F34" s="40"/>
      <c r="G34" s="40">
        <v>10157468</v>
      </c>
      <c r="H34" s="40">
        <v>5945498</v>
      </c>
      <c r="I34" s="40">
        <v>4318996</v>
      </c>
      <c r="J34" s="40">
        <v>63</v>
      </c>
      <c r="K34" s="40">
        <v>3897660</v>
      </c>
      <c r="L34" s="41"/>
      <c r="M34" s="5">
        <f t="shared" si="0"/>
        <v>20421962</v>
      </c>
      <c r="N34" s="5">
        <f t="shared" si="1"/>
        <v>77704780</v>
      </c>
      <c r="O34" s="5">
        <f t="shared" si="2"/>
        <v>465713.96747967479</v>
      </c>
      <c r="P34" s="5">
        <f t="shared" si="3"/>
        <v>324158.12698412698</v>
      </c>
      <c r="Q34" s="16" t="str">
        <f t="shared" si="4"/>
        <v/>
      </c>
    </row>
    <row r="35" spans="1:17" ht="21.75" customHeight="1" x14ac:dyDescent="0.2">
      <c r="A35" s="38">
        <v>46021</v>
      </c>
      <c r="B35" s="39" t="s">
        <v>440</v>
      </c>
      <c r="C35" s="40">
        <v>49456025</v>
      </c>
      <c r="D35" s="40">
        <v>110</v>
      </c>
      <c r="E35" s="40"/>
      <c r="F35" s="40"/>
      <c r="G35" s="40">
        <v>17250994</v>
      </c>
      <c r="H35" s="40">
        <v>7305002</v>
      </c>
      <c r="I35" s="40">
        <v>3205002</v>
      </c>
      <c r="J35" s="40">
        <v>88</v>
      </c>
      <c r="K35" s="40">
        <v>502400</v>
      </c>
      <c r="L35" s="41"/>
      <c r="M35" s="5">
        <f t="shared" si="0"/>
        <v>27760998</v>
      </c>
      <c r="N35" s="5">
        <f t="shared" si="1"/>
        <v>77217023</v>
      </c>
      <c r="O35" s="5">
        <f t="shared" si="2"/>
        <v>449600.22727272729</v>
      </c>
      <c r="P35" s="5">
        <f t="shared" si="3"/>
        <v>315465.88636363635</v>
      </c>
      <c r="Q35" s="16" t="str">
        <f t="shared" si="4"/>
        <v/>
      </c>
    </row>
    <row r="36" spans="1:17" ht="18.75" customHeight="1" x14ac:dyDescent="0.2">
      <c r="A36" s="105">
        <v>46022</v>
      </c>
      <c r="B36" t="s">
        <v>441</v>
      </c>
      <c r="C36">
        <v>67110157</v>
      </c>
      <c r="D36">
        <v>142</v>
      </c>
      <c r="G36">
        <v>13131500</v>
      </c>
      <c r="H36">
        <v>8548971</v>
      </c>
      <c r="I36">
        <v>4323552</v>
      </c>
      <c r="J36">
        <v>103</v>
      </c>
      <c r="K36">
        <v>2216117</v>
      </c>
      <c r="M36">
        <f t="shared" si="0"/>
        <v>26004023</v>
      </c>
      <c r="N36">
        <f t="shared" si="1"/>
        <v>93114180</v>
      </c>
      <c r="O36">
        <f t="shared" si="2"/>
        <v>472606.73943661974</v>
      </c>
      <c r="P36">
        <f t="shared" si="3"/>
        <v>252466.24271844659</v>
      </c>
      <c r="Q36" t="str">
        <f t="shared" si="4"/>
        <v/>
      </c>
    </row>
    <row r="37" spans="1:17" ht="18.75" customHeight="1" x14ac:dyDescent="0.2"/>
    <row r="38" spans="1:17" ht="18.75" customHeight="1" x14ac:dyDescent="0.2"/>
    <row r="39" spans="1:17" ht="18.75" customHeight="1" x14ac:dyDescent="0.2"/>
    <row r="40" spans="1:17" ht="18.75" customHeight="1" x14ac:dyDescent="0.2"/>
    <row r="41" spans="1:17" ht="18.75" customHeight="1" x14ac:dyDescent="0.2"/>
    <row r="42" spans="1:17" ht="18.75" customHeight="1" x14ac:dyDescent="0.2"/>
    <row r="43" spans="1:17" ht="18.75" customHeight="1" x14ac:dyDescent="0.2"/>
    <row r="44" spans="1:17" ht="18.75" customHeight="1" x14ac:dyDescent="0.2"/>
    <row r="45" spans="1:17" ht="18.75" customHeight="1" x14ac:dyDescent="0.2"/>
    <row r="46" spans="1:17" ht="18.75" customHeight="1" x14ac:dyDescent="0.2"/>
    <row r="47" spans="1:17" ht="18.75" customHeight="1" x14ac:dyDescent="0.2"/>
    <row r="48" spans="1:17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9">
    <mergeCell ref="A1:Q1"/>
    <mergeCell ref="E3:F3"/>
    <mergeCell ref="O3:P3"/>
    <mergeCell ref="G3:J3"/>
    <mergeCell ref="A5:B5"/>
    <mergeCell ref="A2:Q2"/>
    <mergeCell ref="M3:N3"/>
    <mergeCell ref="C3:D3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Q200"/>
  <sheetViews>
    <sheetView workbookViewId="0"/>
  </sheetViews>
  <sheetFormatPr baseColWidth="10" defaultColWidth="14" defaultRowHeight="14" x14ac:dyDescent="0.2"/>
  <cols>
    <col min="1" max="1" width="15" customWidth="1"/>
    <col min="2" max="2" width="6" customWidth="1"/>
    <col min="3" max="3" width="19" customWidth="1"/>
    <col min="4" max="4" width="11" customWidth="1"/>
    <col min="5" max="5" width="15" customWidth="1"/>
    <col min="6" max="9" width="17" customWidth="1"/>
    <col min="10" max="10" width="12" customWidth="1"/>
    <col min="11" max="11" width="16" customWidth="1"/>
    <col min="12" max="12" width="27" customWidth="1"/>
    <col min="13" max="14" width="18" customWidth="1"/>
    <col min="15" max="16" width="15" customWidth="1"/>
    <col min="17" max="17" width="12" customWidth="1"/>
    <col min="18" max="20" width="11" customWidth="1"/>
  </cols>
  <sheetData>
    <row r="1" spans="1:17" ht="33" customHeight="1" x14ac:dyDescent="0.2">
      <c r="A1" s="158" t="s">
        <v>449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1.75" customHeight="1" x14ac:dyDescent="0.2">
      <c r="A2" s="146" t="s">
        <v>412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.75" customHeight="1" x14ac:dyDescent="0.2">
      <c r="A3" s="157" t="s">
        <v>413</v>
      </c>
      <c r="B3" s="143"/>
      <c r="C3" s="156" t="s">
        <v>414</v>
      </c>
      <c r="D3" s="143"/>
      <c r="E3" s="159" t="s">
        <v>415</v>
      </c>
      <c r="F3" s="143"/>
      <c r="G3" s="154" t="s">
        <v>416</v>
      </c>
      <c r="H3" s="143"/>
      <c r="I3" s="143"/>
      <c r="J3" s="143"/>
      <c r="K3" s="22" t="s">
        <v>417</v>
      </c>
      <c r="L3" s="23" t="s">
        <v>418</v>
      </c>
      <c r="M3" s="153" t="s">
        <v>419</v>
      </c>
      <c r="N3" s="143"/>
      <c r="O3" s="153" t="s">
        <v>419</v>
      </c>
      <c r="P3" s="143"/>
      <c r="Q3" s="24" t="s">
        <v>420</v>
      </c>
    </row>
    <row r="4" spans="1:17" ht="36" customHeight="1" x14ac:dyDescent="0.2">
      <c r="A4" s="25" t="s">
        <v>421</v>
      </c>
      <c r="B4" s="25" t="s">
        <v>422</v>
      </c>
      <c r="C4" s="26" t="s">
        <v>423</v>
      </c>
      <c r="D4" s="26" t="s">
        <v>424</v>
      </c>
      <c r="E4" s="27" t="s">
        <v>425</v>
      </c>
      <c r="F4" s="27" t="s">
        <v>426</v>
      </c>
      <c r="G4" s="28" t="s">
        <v>427</v>
      </c>
      <c r="H4" s="28" t="s">
        <v>428</v>
      </c>
      <c r="I4" s="28" t="s">
        <v>429</v>
      </c>
      <c r="J4" s="28" t="s">
        <v>430</v>
      </c>
      <c r="K4" s="29" t="s">
        <v>431</v>
      </c>
      <c r="L4" s="30" t="s">
        <v>432</v>
      </c>
      <c r="M4" s="31" t="s">
        <v>433</v>
      </c>
      <c r="N4" s="31" t="s">
        <v>434</v>
      </c>
      <c r="O4" s="31" t="s">
        <v>435</v>
      </c>
      <c r="P4" s="31" t="s">
        <v>436</v>
      </c>
      <c r="Q4" s="31" t="s">
        <v>437</v>
      </c>
    </row>
    <row r="5" spans="1:17" ht="21.75" customHeight="1" x14ac:dyDescent="0.2">
      <c r="A5" s="155" t="s">
        <v>438</v>
      </c>
      <c r="B5" s="143"/>
      <c r="C5" s="32"/>
      <c r="D5" s="33"/>
      <c r="E5" s="33"/>
      <c r="F5" s="33"/>
      <c r="G5" s="34"/>
      <c r="H5" s="34"/>
      <c r="I5" s="34"/>
      <c r="J5" s="33"/>
      <c r="K5" s="33"/>
      <c r="L5" s="33"/>
      <c r="M5" s="35"/>
      <c r="N5" s="35"/>
      <c r="O5" s="36"/>
      <c r="P5" s="36"/>
      <c r="Q5" s="37"/>
    </row>
    <row r="6" spans="1:17" ht="21.75" customHeight="1" x14ac:dyDescent="0.2">
      <c r="A6" s="38">
        <v>46023</v>
      </c>
      <c r="B6" s="39" t="s">
        <v>442</v>
      </c>
      <c r="C6" s="40">
        <v>25001742</v>
      </c>
      <c r="D6" s="40">
        <v>56</v>
      </c>
      <c r="E6" s="40"/>
      <c r="F6" s="40"/>
      <c r="G6" s="40">
        <v>10564994</v>
      </c>
      <c r="H6" s="40">
        <v>5039000</v>
      </c>
      <c r="I6" s="40"/>
      <c r="J6" s="40">
        <v>52</v>
      </c>
      <c r="K6" s="40">
        <v>1828800</v>
      </c>
      <c r="L6" s="41"/>
      <c r="M6" s="5">
        <f t="shared" ref="M6:M36" si="0">IF(SUM(G6:I6)&gt;0,SUM(G6:I6),"")</f>
        <v>15603994</v>
      </c>
      <c r="N6" s="5">
        <f t="shared" ref="N6:N36" si="1">IF(N(C6)+N(M6)&gt;0,N(C6)+N(M6),"")</f>
        <v>40605736</v>
      </c>
      <c r="O6" s="5">
        <f t="shared" ref="O6:O36" si="2">IFERROR(IF(D6&gt;0,C6/D6,""),"")</f>
        <v>446459.67857142858</v>
      </c>
      <c r="P6" s="5">
        <f t="shared" ref="P6:P36" si="3">IFERROR(IF(J6&gt;0,M6/J6,""),"")</f>
        <v>300076.80769230769</v>
      </c>
      <c r="Q6" s="16" t="str">
        <f t="shared" ref="Q6:Q36" si="4">IFERROR(IF(E6&gt;0,D6/E6,""),"")</f>
        <v/>
      </c>
    </row>
    <row r="7" spans="1:17" ht="21.75" customHeight="1" x14ac:dyDescent="0.2">
      <c r="A7" s="38">
        <v>46024</v>
      </c>
      <c r="B7" s="39" t="s">
        <v>443</v>
      </c>
      <c r="C7" s="40">
        <v>50184036</v>
      </c>
      <c r="D7" s="40">
        <v>114</v>
      </c>
      <c r="E7" s="40"/>
      <c r="F7" s="40"/>
      <c r="G7" s="40">
        <v>15593002</v>
      </c>
      <c r="H7" s="40">
        <v>3400001</v>
      </c>
      <c r="I7" s="40">
        <v>3953000</v>
      </c>
      <c r="J7" s="40">
        <v>67</v>
      </c>
      <c r="K7" s="40">
        <v>1303222</v>
      </c>
      <c r="L7" s="41"/>
      <c r="M7" s="5">
        <f t="shared" si="0"/>
        <v>22946003</v>
      </c>
      <c r="N7" s="5">
        <f t="shared" si="1"/>
        <v>73130039</v>
      </c>
      <c r="O7" s="5">
        <f t="shared" si="2"/>
        <v>440210.84210526315</v>
      </c>
      <c r="P7" s="5">
        <f t="shared" si="3"/>
        <v>342477.65671641793</v>
      </c>
      <c r="Q7" s="16" t="str">
        <f t="shared" si="4"/>
        <v/>
      </c>
    </row>
    <row r="8" spans="1:17" ht="21.75" customHeight="1" x14ac:dyDescent="0.2">
      <c r="A8" s="38">
        <v>46025</v>
      </c>
      <c r="B8" s="39" t="s">
        <v>444</v>
      </c>
      <c r="C8" s="40">
        <v>47734539</v>
      </c>
      <c r="D8" s="40">
        <v>99</v>
      </c>
      <c r="E8" s="40"/>
      <c r="F8" s="40"/>
      <c r="G8" s="40">
        <v>19596996</v>
      </c>
      <c r="H8" s="40">
        <v>7069997</v>
      </c>
      <c r="I8" s="40">
        <v>6322501</v>
      </c>
      <c r="J8" s="40">
        <v>104</v>
      </c>
      <c r="K8" s="40">
        <v>753600</v>
      </c>
      <c r="L8" s="41"/>
      <c r="M8" s="5">
        <f t="shared" si="0"/>
        <v>32989494</v>
      </c>
      <c r="N8" s="5">
        <f t="shared" si="1"/>
        <v>80724033</v>
      </c>
      <c r="O8" s="5">
        <f t="shared" si="2"/>
        <v>482167.06060606061</v>
      </c>
      <c r="P8" s="5">
        <f t="shared" si="3"/>
        <v>317206.67307692306</v>
      </c>
      <c r="Q8" s="16" t="str">
        <f t="shared" si="4"/>
        <v/>
      </c>
    </row>
    <row r="9" spans="1:17" ht="21.75" customHeight="1" x14ac:dyDescent="0.2">
      <c r="A9" s="38">
        <v>46026</v>
      </c>
      <c r="B9" s="39" t="s">
        <v>445</v>
      </c>
      <c r="C9" s="40">
        <v>34958008</v>
      </c>
      <c r="D9" s="40">
        <v>86</v>
      </c>
      <c r="E9" s="40"/>
      <c r="F9" s="40"/>
      <c r="G9" s="40">
        <v>16407993</v>
      </c>
      <c r="H9" s="40">
        <v>6483002</v>
      </c>
      <c r="I9" s="40">
        <v>5469504</v>
      </c>
      <c r="J9" s="40">
        <v>81</v>
      </c>
      <c r="K9" s="40"/>
      <c r="L9" s="41"/>
      <c r="M9" s="5">
        <f t="shared" si="0"/>
        <v>28360499</v>
      </c>
      <c r="N9" s="5">
        <f t="shared" si="1"/>
        <v>63318507</v>
      </c>
      <c r="O9" s="5">
        <f t="shared" si="2"/>
        <v>406488.46511627908</v>
      </c>
      <c r="P9" s="5">
        <f t="shared" si="3"/>
        <v>350129.61728395062</v>
      </c>
      <c r="Q9" s="16" t="str">
        <f t="shared" si="4"/>
        <v/>
      </c>
    </row>
    <row r="10" spans="1:17" ht="21.75" customHeight="1" x14ac:dyDescent="0.2">
      <c r="A10" s="38">
        <v>46027</v>
      </c>
      <c r="B10" s="39" t="s">
        <v>439</v>
      </c>
      <c r="C10" s="40">
        <v>54065334</v>
      </c>
      <c r="D10" s="40">
        <v>95</v>
      </c>
      <c r="E10" s="40"/>
      <c r="F10" s="40"/>
      <c r="G10" s="40">
        <v>11335501</v>
      </c>
      <c r="H10" s="40">
        <v>1326000</v>
      </c>
      <c r="I10" s="40">
        <v>3826014</v>
      </c>
      <c r="J10" s="40">
        <v>54</v>
      </c>
      <c r="K10" s="40">
        <v>8653394</v>
      </c>
      <c r="L10" s="41"/>
      <c r="M10" s="5">
        <f t="shared" si="0"/>
        <v>16487515</v>
      </c>
      <c r="N10" s="5">
        <f t="shared" si="1"/>
        <v>70552849</v>
      </c>
      <c r="O10" s="5">
        <f t="shared" si="2"/>
        <v>569108.77894736838</v>
      </c>
      <c r="P10" s="5">
        <f t="shared" si="3"/>
        <v>305324.35185185185</v>
      </c>
      <c r="Q10" s="16" t="str">
        <f t="shared" si="4"/>
        <v/>
      </c>
    </row>
    <row r="11" spans="1:17" ht="21.75" customHeight="1" x14ac:dyDescent="0.2">
      <c r="A11" s="42">
        <v>46028</v>
      </c>
      <c r="B11" s="43" t="s">
        <v>440</v>
      </c>
      <c r="C11" s="40">
        <v>52726296</v>
      </c>
      <c r="D11" s="40">
        <v>129</v>
      </c>
      <c r="E11" s="40"/>
      <c r="F11" s="40"/>
      <c r="G11" s="40">
        <v>4490007</v>
      </c>
      <c r="H11" s="40">
        <v>4503001</v>
      </c>
      <c r="I11" s="40">
        <v>4728001</v>
      </c>
      <c r="J11" s="40">
        <v>46</v>
      </c>
      <c r="K11" s="40"/>
      <c r="L11" s="41"/>
      <c r="M11" s="5">
        <f t="shared" si="0"/>
        <v>13721009</v>
      </c>
      <c r="N11" s="5">
        <f t="shared" si="1"/>
        <v>66447305</v>
      </c>
      <c r="O11" s="5">
        <f t="shared" si="2"/>
        <v>408730.97674418607</v>
      </c>
      <c r="P11" s="5">
        <f t="shared" si="3"/>
        <v>298282.80434782611</v>
      </c>
      <c r="Q11" s="16" t="str">
        <f t="shared" si="4"/>
        <v/>
      </c>
    </row>
    <row r="12" spans="1:17" ht="21.75" customHeight="1" x14ac:dyDescent="0.2">
      <c r="A12" s="42">
        <v>46029</v>
      </c>
      <c r="B12" s="43" t="s">
        <v>441</v>
      </c>
      <c r="C12" s="40">
        <v>75409220</v>
      </c>
      <c r="D12" s="40">
        <v>139</v>
      </c>
      <c r="E12" s="40"/>
      <c r="F12" s="40"/>
      <c r="G12" s="40">
        <v>13687498</v>
      </c>
      <c r="H12" s="40">
        <v>6330998</v>
      </c>
      <c r="I12" s="40">
        <v>6358013</v>
      </c>
      <c r="J12" s="40">
        <v>86</v>
      </c>
      <c r="K12" s="40">
        <v>2057600</v>
      </c>
      <c r="L12" s="41"/>
      <c r="M12" s="5">
        <f t="shared" si="0"/>
        <v>26376509</v>
      </c>
      <c r="N12" s="5">
        <f t="shared" si="1"/>
        <v>101785729</v>
      </c>
      <c r="O12" s="5">
        <f t="shared" si="2"/>
        <v>542512.37410071946</v>
      </c>
      <c r="P12" s="5">
        <f t="shared" si="3"/>
        <v>306703.59302325582</v>
      </c>
      <c r="Q12" s="16" t="str">
        <f t="shared" si="4"/>
        <v/>
      </c>
    </row>
    <row r="13" spans="1:17" ht="21.75" customHeight="1" x14ac:dyDescent="0.2">
      <c r="A13" s="38">
        <v>46030</v>
      </c>
      <c r="B13" s="39" t="s">
        <v>442</v>
      </c>
      <c r="C13" s="40">
        <v>49039315</v>
      </c>
      <c r="D13" s="40">
        <v>110</v>
      </c>
      <c r="E13" s="40"/>
      <c r="F13" s="40"/>
      <c r="G13" s="40">
        <v>17827537</v>
      </c>
      <c r="H13" s="40">
        <v>4471999</v>
      </c>
      <c r="I13" s="40">
        <v>5427006</v>
      </c>
      <c r="J13" s="40">
        <v>78</v>
      </c>
      <c r="K13" s="40">
        <v>1828800</v>
      </c>
      <c r="L13" s="41"/>
      <c r="M13" s="5">
        <f t="shared" si="0"/>
        <v>27726542</v>
      </c>
      <c r="N13" s="5">
        <f t="shared" si="1"/>
        <v>76765857</v>
      </c>
      <c r="O13" s="5">
        <f t="shared" si="2"/>
        <v>445811.95454545453</v>
      </c>
      <c r="P13" s="5">
        <f t="shared" si="3"/>
        <v>355468.48717948719</v>
      </c>
      <c r="Q13" s="16" t="str">
        <f t="shared" si="4"/>
        <v/>
      </c>
    </row>
    <row r="14" spans="1:17" ht="21.75" customHeight="1" x14ac:dyDescent="0.2">
      <c r="A14" s="38">
        <v>46031</v>
      </c>
      <c r="B14" s="39" t="s">
        <v>443</v>
      </c>
      <c r="C14" s="40">
        <v>45292794</v>
      </c>
      <c r="D14" s="40">
        <v>102</v>
      </c>
      <c r="E14" s="40"/>
      <c r="F14" s="40"/>
      <c r="G14" s="40">
        <v>9798504</v>
      </c>
      <c r="H14" s="40">
        <v>7388998</v>
      </c>
      <c r="I14" s="40">
        <v>9328997</v>
      </c>
      <c r="J14" s="40">
        <v>84</v>
      </c>
      <c r="K14" s="40"/>
      <c r="L14" s="41"/>
      <c r="M14" s="5">
        <f t="shared" si="0"/>
        <v>26516499</v>
      </c>
      <c r="N14" s="5">
        <f t="shared" si="1"/>
        <v>71809293</v>
      </c>
      <c r="O14" s="5">
        <f t="shared" si="2"/>
        <v>444047</v>
      </c>
      <c r="P14" s="5">
        <f t="shared" si="3"/>
        <v>315672.60714285716</v>
      </c>
      <c r="Q14" s="16" t="str">
        <f t="shared" si="4"/>
        <v/>
      </c>
    </row>
    <row r="15" spans="1:17" ht="21.75" customHeight="1" x14ac:dyDescent="0.2">
      <c r="A15" s="38">
        <v>46032</v>
      </c>
      <c r="B15" s="39" t="s">
        <v>444</v>
      </c>
      <c r="C15" s="40">
        <v>54739558</v>
      </c>
      <c r="D15" s="40">
        <v>117</v>
      </c>
      <c r="E15" s="40"/>
      <c r="F15" s="40"/>
      <c r="G15" s="40">
        <v>16620492</v>
      </c>
      <c r="H15" s="40">
        <v>4627999</v>
      </c>
      <c r="I15" s="40">
        <v>7272623</v>
      </c>
      <c r="J15" s="40">
        <v>115</v>
      </c>
      <c r="K15" s="40">
        <v>1782400</v>
      </c>
      <c r="L15" s="41"/>
      <c r="M15" s="5">
        <f t="shared" si="0"/>
        <v>28521114</v>
      </c>
      <c r="N15" s="5">
        <f t="shared" si="1"/>
        <v>83260672</v>
      </c>
      <c r="O15" s="5">
        <f t="shared" si="2"/>
        <v>467859.47008547006</v>
      </c>
      <c r="P15" s="5">
        <f t="shared" si="3"/>
        <v>248009.68695652173</v>
      </c>
      <c r="Q15" s="16" t="str">
        <f t="shared" si="4"/>
        <v/>
      </c>
    </row>
    <row r="16" spans="1:17" ht="21.75" customHeight="1" x14ac:dyDescent="0.2">
      <c r="A16" s="38">
        <v>46033</v>
      </c>
      <c r="B16" s="39" t="s">
        <v>445</v>
      </c>
      <c r="C16" s="40">
        <v>60573074</v>
      </c>
      <c r="D16" s="40">
        <v>146</v>
      </c>
      <c r="E16" s="40"/>
      <c r="F16" s="40"/>
      <c r="G16" s="40">
        <v>19239069</v>
      </c>
      <c r="H16" s="40">
        <v>8141001</v>
      </c>
      <c r="I16" s="40">
        <v>5033998</v>
      </c>
      <c r="J16" s="40">
        <v>98</v>
      </c>
      <c r="K16" s="40">
        <v>1142400</v>
      </c>
      <c r="L16" s="41"/>
      <c r="M16" s="5">
        <f t="shared" si="0"/>
        <v>32414068</v>
      </c>
      <c r="N16" s="5">
        <f t="shared" si="1"/>
        <v>92987142</v>
      </c>
      <c r="O16" s="5">
        <f t="shared" si="2"/>
        <v>414884.0684931507</v>
      </c>
      <c r="P16" s="5">
        <f t="shared" si="3"/>
        <v>330755.79591836734</v>
      </c>
      <c r="Q16" s="16" t="str">
        <f t="shared" si="4"/>
        <v/>
      </c>
    </row>
    <row r="17" spans="1:17" ht="21.75" customHeight="1" x14ac:dyDescent="0.2">
      <c r="A17" s="38">
        <v>46034</v>
      </c>
      <c r="B17" s="39" t="s">
        <v>439</v>
      </c>
      <c r="C17" s="40">
        <v>48543821</v>
      </c>
      <c r="D17" s="40">
        <v>109</v>
      </c>
      <c r="E17" s="40"/>
      <c r="F17" s="40"/>
      <c r="G17" s="40">
        <v>17595993</v>
      </c>
      <c r="H17" s="40">
        <v>5776497</v>
      </c>
      <c r="I17" s="40">
        <v>4447999</v>
      </c>
      <c r="J17" s="40">
        <v>78</v>
      </c>
      <c r="K17" s="40">
        <v>4232770</v>
      </c>
      <c r="L17" s="41"/>
      <c r="M17" s="5">
        <f t="shared" si="0"/>
        <v>27820489</v>
      </c>
      <c r="N17" s="5">
        <f t="shared" si="1"/>
        <v>76364310</v>
      </c>
      <c r="O17" s="5">
        <f t="shared" si="2"/>
        <v>445356.15596330276</v>
      </c>
      <c r="P17" s="5">
        <f t="shared" si="3"/>
        <v>356672.93589743588</v>
      </c>
      <c r="Q17" s="16" t="str">
        <f t="shared" si="4"/>
        <v/>
      </c>
    </row>
    <row r="18" spans="1:17" ht="21.75" customHeight="1" x14ac:dyDescent="0.2">
      <c r="A18" s="42">
        <v>46035</v>
      </c>
      <c r="B18" s="43" t="s">
        <v>440</v>
      </c>
      <c r="C18" s="40">
        <v>47964470</v>
      </c>
      <c r="D18" s="40">
        <v>108</v>
      </c>
      <c r="E18" s="40"/>
      <c r="F18" s="40"/>
      <c r="G18" s="40">
        <v>17710487</v>
      </c>
      <c r="H18" s="40">
        <v>5746503</v>
      </c>
      <c r="I18" s="40">
        <v>4661001</v>
      </c>
      <c r="J18" s="40">
        <v>77</v>
      </c>
      <c r="K18" s="40">
        <v>1715200</v>
      </c>
      <c r="L18" s="41"/>
      <c r="M18" s="5">
        <f t="shared" si="0"/>
        <v>28117991</v>
      </c>
      <c r="N18" s="5">
        <f t="shared" si="1"/>
        <v>76082461</v>
      </c>
      <c r="O18" s="5">
        <f t="shared" si="2"/>
        <v>444115.46296296298</v>
      </c>
      <c r="P18" s="5">
        <f t="shared" si="3"/>
        <v>365168.71428571426</v>
      </c>
      <c r="Q18" s="16" t="str">
        <f t="shared" si="4"/>
        <v/>
      </c>
    </row>
    <row r="19" spans="1:17" ht="21.75" customHeight="1" x14ac:dyDescent="0.2">
      <c r="A19" s="42">
        <v>46036</v>
      </c>
      <c r="B19" s="43" t="s">
        <v>441</v>
      </c>
      <c r="C19" s="40">
        <v>49314490</v>
      </c>
      <c r="D19" s="40">
        <v>111</v>
      </c>
      <c r="E19" s="40"/>
      <c r="F19" s="40"/>
      <c r="G19" s="40">
        <v>15481501</v>
      </c>
      <c r="H19" s="40">
        <v>2766497</v>
      </c>
      <c r="I19" s="40">
        <v>4550999</v>
      </c>
      <c r="J19" s="40">
        <v>81</v>
      </c>
      <c r="K19" s="40">
        <v>3154972</v>
      </c>
      <c r="L19" s="41"/>
      <c r="M19" s="5">
        <f t="shared" si="0"/>
        <v>22798997</v>
      </c>
      <c r="N19" s="5">
        <f t="shared" si="1"/>
        <v>72113487</v>
      </c>
      <c r="O19" s="5">
        <f t="shared" si="2"/>
        <v>444274.68468468467</v>
      </c>
      <c r="P19" s="5">
        <f t="shared" si="3"/>
        <v>281469.09876543208</v>
      </c>
      <c r="Q19" s="16" t="str">
        <f t="shared" si="4"/>
        <v/>
      </c>
    </row>
    <row r="20" spans="1:17" ht="21.75" customHeight="1" x14ac:dyDescent="0.2">
      <c r="A20" s="38">
        <v>46037</v>
      </c>
      <c r="B20" s="39" t="s">
        <v>442</v>
      </c>
      <c r="C20" s="40">
        <v>77788100</v>
      </c>
      <c r="D20" s="40">
        <v>168</v>
      </c>
      <c r="E20" s="40"/>
      <c r="F20" s="40"/>
      <c r="G20" s="40">
        <v>20064490</v>
      </c>
      <c r="H20" s="40">
        <v>7455996</v>
      </c>
      <c r="I20" s="40">
        <v>10940996</v>
      </c>
      <c r="J20" s="40">
        <v>128</v>
      </c>
      <c r="K20" s="40">
        <v>753600</v>
      </c>
      <c r="L20" s="41"/>
      <c r="M20" s="5">
        <f t="shared" si="0"/>
        <v>38461482</v>
      </c>
      <c r="N20" s="5">
        <f t="shared" si="1"/>
        <v>116249582</v>
      </c>
      <c r="O20" s="5">
        <f t="shared" si="2"/>
        <v>463024.40476190473</v>
      </c>
      <c r="P20" s="5">
        <f t="shared" si="3"/>
        <v>300480.328125</v>
      </c>
      <c r="Q20" s="16" t="str">
        <f t="shared" si="4"/>
        <v/>
      </c>
    </row>
    <row r="21" spans="1:17" ht="21.75" customHeight="1" x14ac:dyDescent="0.2">
      <c r="A21" s="38">
        <v>46038</v>
      </c>
      <c r="B21" s="39" t="s">
        <v>443</v>
      </c>
      <c r="C21" s="40">
        <v>66066774</v>
      </c>
      <c r="D21" s="40">
        <v>154</v>
      </c>
      <c r="E21" s="40"/>
      <c r="F21" s="40"/>
      <c r="G21" s="40">
        <v>17309484</v>
      </c>
      <c r="H21" s="40">
        <v>9800498</v>
      </c>
      <c r="I21" s="40">
        <v>8168996</v>
      </c>
      <c r="J21" s="40">
        <v>120</v>
      </c>
      <c r="K21" s="40">
        <v>1028800</v>
      </c>
      <c r="L21" s="41"/>
      <c r="M21" s="5">
        <f t="shared" si="0"/>
        <v>35278978</v>
      </c>
      <c r="N21" s="5">
        <f t="shared" si="1"/>
        <v>101345752</v>
      </c>
      <c r="O21" s="5">
        <f t="shared" si="2"/>
        <v>429005.02597402595</v>
      </c>
      <c r="P21" s="5">
        <f t="shared" si="3"/>
        <v>293991.48333333334</v>
      </c>
      <c r="Q21" s="16" t="str">
        <f t="shared" si="4"/>
        <v/>
      </c>
    </row>
    <row r="22" spans="1:17" ht="21.75" customHeight="1" x14ac:dyDescent="0.2">
      <c r="A22" s="38">
        <v>46039</v>
      </c>
      <c r="B22" s="39" t="s">
        <v>444</v>
      </c>
      <c r="C22" s="40">
        <v>49459538</v>
      </c>
      <c r="D22" s="40">
        <v>124</v>
      </c>
      <c r="E22" s="40"/>
      <c r="F22" s="40"/>
      <c r="G22" s="40">
        <v>19573497</v>
      </c>
      <c r="H22" s="40">
        <v>8697998</v>
      </c>
      <c r="I22" s="40">
        <v>5921493</v>
      </c>
      <c r="J22" s="40">
        <v>113</v>
      </c>
      <c r="K22" s="40">
        <v>400000</v>
      </c>
      <c r="L22" s="41"/>
      <c r="M22" s="5">
        <f t="shared" si="0"/>
        <v>34192988</v>
      </c>
      <c r="N22" s="5">
        <f t="shared" si="1"/>
        <v>83652526</v>
      </c>
      <c r="O22" s="5">
        <f t="shared" si="2"/>
        <v>398867.24193548388</v>
      </c>
      <c r="P22" s="5">
        <f t="shared" si="3"/>
        <v>302592.81415929203</v>
      </c>
      <c r="Q22" s="16" t="str">
        <f t="shared" si="4"/>
        <v/>
      </c>
    </row>
    <row r="23" spans="1:17" ht="21.75" customHeight="1" x14ac:dyDescent="0.2">
      <c r="A23" s="38">
        <v>46040</v>
      </c>
      <c r="B23" s="39" t="s">
        <v>445</v>
      </c>
      <c r="C23" s="40">
        <v>57089954</v>
      </c>
      <c r="D23" s="40">
        <v>112</v>
      </c>
      <c r="E23" s="40"/>
      <c r="F23" s="40"/>
      <c r="G23" s="40">
        <v>17406484</v>
      </c>
      <c r="H23" s="40">
        <v>8202505</v>
      </c>
      <c r="I23" s="40">
        <v>8121003</v>
      </c>
      <c r="J23" s="40">
        <v>113</v>
      </c>
      <c r="K23" s="40"/>
      <c r="L23" s="41"/>
      <c r="M23" s="5">
        <f t="shared" si="0"/>
        <v>33729992</v>
      </c>
      <c r="N23" s="5">
        <f t="shared" si="1"/>
        <v>90819946</v>
      </c>
      <c r="O23" s="5">
        <f t="shared" si="2"/>
        <v>509731.73214285716</v>
      </c>
      <c r="P23" s="5">
        <f t="shared" si="3"/>
        <v>298495.50442477874</v>
      </c>
      <c r="Q23" s="16" t="str">
        <f t="shared" si="4"/>
        <v/>
      </c>
    </row>
    <row r="24" spans="1:17" ht="21.75" customHeight="1" x14ac:dyDescent="0.2">
      <c r="A24" s="38">
        <v>46041</v>
      </c>
      <c r="B24" s="39" t="s">
        <v>439</v>
      </c>
      <c r="C24" s="40">
        <v>52831252</v>
      </c>
      <c r="D24" s="40">
        <v>107</v>
      </c>
      <c r="E24" s="40"/>
      <c r="F24" s="40"/>
      <c r="G24" s="40">
        <v>10261439</v>
      </c>
      <c r="H24" s="40">
        <v>7542495</v>
      </c>
      <c r="I24" s="40">
        <v>4967997</v>
      </c>
      <c r="J24" s="40">
        <v>70</v>
      </c>
      <c r="K24" s="40">
        <v>2194972</v>
      </c>
      <c r="L24" s="41"/>
      <c r="M24" s="5">
        <f t="shared" si="0"/>
        <v>22771931</v>
      </c>
      <c r="N24" s="5">
        <f t="shared" si="1"/>
        <v>75603183</v>
      </c>
      <c r="O24" s="5">
        <f t="shared" si="2"/>
        <v>493750.01869158878</v>
      </c>
      <c r="P24" s="5">
        <f t="shared" si="3"/>
        <v>325313.3</v>
      </c>
      <c r="Q24" s="16" t="str">
        <f t="shared" si="4"/>
        <v/>
      </c>
    </row>
    <row r="25" spans="1:17" ht="21.75" customHeight="1" x14ac:dyDescent="0.2">
      <c r="A25" s="42">
        <v>46042</v>
      </c>
      <c r="B25" s="43" t="s">
        <v>440</v>
      </c>
      <c r="C25" s="40">
        <v>61927143</v>
      </c>
      <c r="D25" s="40">
        <v>142</v>
      </c>
      <c r="E25" s="40"/>
      <c r="F25" s="40"/>
      <c r="G25" s="40">
        <v>14840482</v>
      </c>
      <c r="H25" s="40">
        <v>10920971</v>
      </c>
      <c r="I25" s="40">
        <v>5798499</v>
      </c>
      <c r="J25" s="40">
        <v>101</v>
      </c>
      <c r="K25" s="40">
        <v>1141882</v>
      </c>
      <c r="L25" s="41"/>
      <c r="M25" s="5">
        <f t="shared" si="0"/>
        <v>31559952</v>
      </c>
      <c r="N25" s="5">
        <f t="shared" si="1"/>
        <v>93487095</v>
      </c>
      <c r="O25" s="5">
        <f t="shared" si="2"/>
        <v>436106.64084507042</v>
      </c>
      <c r="P25" s="5">
        <f t="shared" si="3"/>
        <v>312474.77227722772</v>
      </c>
      <c r="Q25" s="16" t="str">
        <f t="shared" si="4"/>
        <v/>
      </c>
    </row>
    <row r="26" spans="1:17" ht="21.75" customHeight="1" x14ac:dyDescent="0.2">
      <c r="A26" s="42">
        <v>46043</v>
      </c>
      <c r="B26" s="43" t="s">
        <v>441</v>
      </c>
      <c r="C26" s="40">
        <v>67413416</v>
      </c>
      <c r="D26" s="40">
        <v>139</v>
      </c>
      <c r="E26" s="40"/>
      <c r="F26" s="40"/>
      <c r="G26" s="40">
        <v>18660986</v>
      </c>
      <c r="H26" s="40">
        <v>6880999</v>
      </c>
      <c r="I26" s="40">
        <v>6216994</v>
      </c>
      <c r="J26" s="40">
        <v>91</v>
      </c>
      <c r="K26" s="40">
        <v>3930983</v>
      </c>
      <c r="L26" s="41"/>
      <c r="M26" s="5">
        <f t="shared" si="0"/>
        <v>31758979</v>
      </c>
      <c r="N26" s="5">
        <f t="shared" si="1"/>
        <v>99172395</v>
      </c>
      <c r="O26" s="5">
        <f t="shared" si="2"/>
        <v>484988.60431654676</v>
      </c>
      <c r="P26" s="5">
        <f t="shared" si="3"/>
        <v>348999.76923076925</v>
      </c>
      <c r="Q26" s="16" t="str">
        <f t="shared" si="4"/>
        <v/>
      </c>
    </row>
    <row r="27" spans="1:17" ht="21.75" customHeight="1" x14ac:dyDescent="0.2">
      <c r="A27" s="38">
        <v>46044</v>
      </c>
      <c r="B27" s="39" t="s">
        <v>442</v>
      </c>
      <c r="C27" s="40">
        <v>64832034</v>
      </c>
      <c r="D27" s="40">
        <v>141</v>
      </c>
      <c r="E27" s="40"/>
      <c r="F27" s="40"/>
      <c r="G27" s="40">
        <v>18171988</v>
      </c>
      <c r="H27" s="40">
        <v>4241004</v>
      </c>
      <c r="I27" s="40">
        <v>7159494</v>
      </c>
      <c r="J27" s="40">
        <v>98</v>
      </c>
      <c r="K27" s="40">
        <v>1028572</v>
      </c>
      <c r="L27" s="41"/>
      <c r="M27" s="5">
        <f t="shared" si="0"/>
        <v>29572486</v>
      </c>
      <c r="N27" s="5">
        <f t="shared" si="1"/>
        <v>94404520</v>
      </c>
      <c r="O27" s="5">
        <f t="shared" si="2"/>
        <v>459801.6595744681</v>
      </c>
      <c r="P27" s="5">
        <f t="shared" si="3"/>
        <v>301760.06122448982</v>
      </c>
      <c r="Q27" s="16" t="str">
        <f t="shared" si="4"/>
        <v/>
      </c>
    </row>
    <row r="28" spans="1:17" ht="21.75" customHeight="1" x14ac:dyDescent="0.2">
      <c r="A28" s="38">
        <v>46045</v>
      </c>
      <c r="B28" s="39" t="s">
        <v>443</v>
      </c>
      <c r="C28" s="40">
        <v>68722926</v>
      </c>
      <c r="D28" s="40">
        <v>162</v>
      </c>
      <c r="E28" s="40"/>
      <c r="F28" s="40"/>
      <c r="G28" s="40">
        <v>18332728</v>
      </c>
      <c r="H28" s="40">
        <v>7538997</v>
      </c>
      <c r="I28" s="40">
        <v>11564491</v>
      </c>
      <c r="J28" s="40">
        <v>134</v>
      </c>
      <c r="K28" s="40">
        <v>3622588</v>
      </c>
      <c r="L28" s="41"/>
      <c r="M28" s="5">
        <f t="shared" si="0"/>
        <v>37436216</v>
      </c>
      <c r="N28" s="5">
        <f t="shared" si="1"/>
        <v>106159142</v>
      </c>
      <c r="O28" s="5">
        <f t="shared" si="2"/>
        <v>424215.59259259258</v>
      </c>
      <c r="P28" s="5">
        <f t="shared" si="3"/>
        <v>279374.74626865675</v>
      </c>
      <c r="Q28" s="16" t="str">
        <f t="shared" si="4"/>
        <v/>
      </c>
    </row>
    <row r="29" spans="1:17" ht="21.75" customHeight="1" x14ac:dyDescent="0.2">
      <c r="A29" s="38">
        <v>46046</v>
      </c>
      <c r="B29" s="39" t="s">
        <v>444</v>
      </c>
      <c r="C29" s="40">
        <v>64330956</v>
      </c>
      <c r="D29" s="40">
        <v>155</v>
      </c>
      <c r="E29" s="40"/>
      <c r="F29" s="40"/>
      <c r="G29" s="40">
        <v>22272484</v>
      </c>
      <c r="H29" s="40">
        <v>6737997</v>
      </c>
      <c r="I29" s="40">
        <v>7586495</v>
      </c>
      <c r="J29" s="40">
        <v>129</v>
      </c>
      <c r="K29" s="40">
        <v>125000</v>
      </c>
      <c r="L29" s="41"/>
      <c r="M29" s="5">
        <f t="shared" si="0"/>
        <v>36596976</v>
      </c>
      <c r="N29" s="5">
        <f t="shared" si="1"/>
        <v>100927932</v>
      </c>
      <c r="O29" s="5">
        <f t="shared" si="2"/>
        <v>415038.42580645159</v>
      </c>
      <c r="P29" s="5">
        <f t="shared" si="3"/>
        <v>283697.48837209301</v>
      </c>
      <c r="Q29" s="16" t="str">
        <f t="shared" si="4"/>
        <v/>
      </c>
    </row>
    <row r="30" spans="1:17" ht="21.75" customHeight="1" x14ac:dyDescent="0.2">
      <c r="A30" s="38">
        <v>46047</v>
      </c>
      <c r="B30" s="39" t="s">
        <v>445</v>
      </c>
      <c r="C30" s="40">
        <v>43376593</v>
      </c>
      <c r="D30" s="40">
        <v>118</v>
      </c>
      <c r="E30" s="40"/>
      <c r="F30" s="40"/>
      <c r="G30" s="40">
        <v>19380747</v>
      </c>
      <c r="H30" s="40">
        <v>8615497</v>
      </c>
      <c r="I30" s="40">
        <v>10410488</v>
      </c>
      <c r="J30" s="40">
        <v>126</v>
      </c>
      <c r="K30" s="40"/>
      <c r="L30" s="41"/>
      <c r="M30" s="5">
        <f t="shared" si="0"/>
        <v>38406732</v>
      </c>
      <c r="N30" s="5">
        <f t="shared" si="1"/>
        <v>81783325</v>
      </c>
      <c r="O30" s="5">
        <f t="shared" si="2"/>
        <v>367598.24576271186</v>
      </c>
      <c r="P30" s="5">
        <f t="shared" si="3"/>
        <v>304815.33333333331</v>
      </c>
      <c r="Q30" s="16" t="str">
        <f t="shared" si="4"/>
        <v/>
      </c>
    </row>
    <row r="31" spans="1:17" ht="21.75" customHeight="1" x14ac:dyDescent="0.2">
      <c r="A31" s="38">
        <v>46048</v>
      </c>
      <c r="B31" s="39" t="s">
        <v>439</v>
      </c>
      <c r="C31" s="40">
        <v>49801543</v>
      </c>
      <c r="D31" s="40">
        <v>112</v>
      </c>
      <c r="E31" s="40"/>
      <c r="F31" s="40"/>
      <c r="G31" s="40">
        <v>11327008</v>
      </c>
      <c r="H31" s="40">
        <v>9147002</v>
      </c>
      <c r="I31" s="40">
        <v>4359995</v>
      </c>
      <c r="J31" s="40">
        <v>87</v>
      </c>
      <c r="K31" s="40">
        <v>4982400</v>
      </c>
      <c r="L31" s="41"/>
      <c r="M31" s="5">
        <f t="shared" si="0"/>
        <v>24834005</v>
      </c>
      <c r="N31" s="5">
        <f t="shared" si="1"/>
        <v>74635548</v>
      </c>
      <c r="O31" s="5">
        <f t="shared" si="2"/>
        <v>444656.63392857142</v>
      </c>
      <c r="P31" s="5">
        <f t="shared" si="3"/>
        <v>285448.33333333331</v>
      </c>
      <c r="Q31" s="16" t="str">
        <f t="shared" si="4"/>
        <v/>
      </c>
    </row>
    <row r="32" spans="1:17" ht="21.75" customHeight="1" x14ac:dyDescent="0.2">
      <c r="A32" s="42">
        <v>46049</v>
      </c>
      <c r="B32" s="43" t="s">
        <v>440</v>
      </c>
      <c r="C32" s="40">
        <v>63793471</v>
      </c>
      <c r="D32" s="40">
        <v>138</v>
      </c>
      <c r="E32" s="40"/>
      <c r="F32" s="40"/>
      <c r="G32" s="40">
        <v>13076770</v>
      </c>
      <c r="H32" s="40">
        <v>6579988</v>
      </c>
      <c r="I32" s="40">
        <v>6523994</v>
      </c>
      <c r="J32" s="40">
        <v>84</v>
      </c>
      <c r="K32" s="40">
        <v>6344459</v>
      </c>
      <c r="L32" s="41"/>
      <c r="M32" s="5">
        <f t="shared" si="0"/>
        <v>26180752</v>
      </c>
      <c r="N32" s="5">
        <f t="shared" si="1"/>
        <v>89974223</v>
      </c>
      <c r="O32" s="5">
        <f t="shared" si="2"/>
        <v>462271.52898550726</v>
      </c>
      <c r="P32" s="5">
        <f t="shared" si="3"/>
        <v>311675.61904761905</v>
      </c>
      <c r="Q32" s="16" t="str">
        <f t="shared" si="4"/>
        <v/>
      </c>
    </row>
    <row r="33" spans="1:17" ht="21.75" customHeight="1" x14ac:dyDescent="0.2">
      <c r="A33" s="42">
        <v>46050</v>
      </c>
      <c r="B33" s="43" t="s">
        <v>441</v>
      </c>
      <c r="C33" s="40">
        <v>69321865</v>
      </c>
      <c r="D33" s="40">
        <v>159</v>
      </c>
      <c r="E33" s="40"/>
      <c r="F33" s="40"/>
      <c r="G33" s="40">
        <v>13628994</v>
      </c>
      <c r="H33" s="40">
        <v>5741003</v>
      </c>
      <c r="I33" s="40">
        <v>10440987</v>
      </c>
      <c r="J33" s="40">
        <v>99</v>
      </c>
      <c r="K33" s="40"/>
      <c r="L33" s="41"/>
      <c r="M33" s="5">
        <f t="shared" si="0"/>
        <v>29810984</v>
      </c>
      <c r="N33" s="5">
        <f t="shared" si="1"/>
        <v>99132849</v>
      </c>
      <c r="O33" s="5">
        <f t="shared" si="2"/>
        <v>435986.57232704404</v>
      </c>
      <c r="P33" s="5">
        <f t="shared" si="3"/>
        <v>301121.05050505052</v>
      </c>
      <c r="Q33" s="16" t="str">
        <f t="shared" si="4"/>
        <v/>
      </c>
    </row>
    <row r="34" spans="1:17" ht="21.75" customHeight="1" x14ac:dyDescent="0.2">
      <c r="A34" s="38">
        <v>46051</v>
      </c>
      <c r="B34" s="39" t="s">
        <v>442</v>
      </c>
      <c r="C34" s="40">
        <v>63387099</v>
      </c>
      <c r="D34" s="40">
        <v>159</v>
      </c>
      <c r="E34" s="40"/>
      <c r="F34" s="40"/>
      <c r="G34" s="40">
        <v>12601993</v>
      </c>
      <c r="H34" s="40">
        <v>13656480</v>
      </c>
      <c r="I34" s="40">
        <v>11037495</v>
      </c>
      <c r="J34" s="40">
        <v>122</v>
      </c>
      <c r="K34" s="40">
        <v>753600</v>
      </c>
      <c r="L34" s="41"/>
      <c r="M34" s="5">
        <f t="shared" si="0"/>
        <v>37295968</v>
      </c>
      <c r="N34" s="5">
        <f t="shared" si="1"/>
        <v>100683067</v>
      </c>
      <c r="O34" s="5">
        <f t="shared" si="2"/>
        <v>398661</v>
      </c>
      <c r="P34" s="5">
        <f t="shared" si="3"/>
        <v>305704.65573770495</v>
      </c>
      <c r="Q34" s="16" t="str">
        <f t="shared" si="4"/>
        <v/>
      </c>
    </row>
    <row r="35" spans="1:17" ht="21.75" customHeight="1" x14ac:dyDescent="0.2">
      <c r="A35" s="38">
        <v>46052</v>
      </c>
      <c r="B35" s="39" t="s">
        <v>443</v>
      </c>
      <c r="C35" s="40">
        <v>56388078</v>
      </c>
      <c r="D35" s="40">
        <v>138</v>
      </c>
      <c r="E35" s="40"/>
      <c r="F35" s="40"/>
      <c r="G35" s="40">
        <v>21297237</v>
      </c>
      <c r="H35" s="40">
        <v>9977959</v>
      </c>
      <c r="I35" s="40">
        <v>11522492</v>
      </c>
      <c r="J35" s="40">
        <v>149</v>
      </c>
      <c r="K35" s="40">
        <v>347223</v>
      </c>
      <c r="L35" s="41"/>
      <c r="M35" s="5">
        <f t="shared" si="0"/>
        <v>42797688</v>
      </c>
      <c r="N35" s="5">
        <f t="shared" si="1"/>
        <v>99185766</v>
      </c>
      <c r="O35" s="5">
        <f t="shared" si="2"/>
        <v>408609.26086956525</v>
      </c>
      <c r="P35" s="5">
        <f t="shared" si="3"/>
        <v>287232.80536912754</v>
      </c>
      <c r="Q35" s="16" t="str">
        <f t="shared" si="4"/>
        <v/>
      </c>
    </row>
    <row r="36" spans="1:17" ht="18.75" customHeight="1" x14ac:dyDescent="0.2">
      <c r="A36" s="105">
        <v>46053</v>
      </c>
      <c r="B36" t="s">
        <v>444</v>
      </c>
      <c r="C36">
        <v>62779774</v>
      </c>
      <c r="D36">
        <v>148</v>
      </c>
      <c r="G36">
        <v>24820493</v>
      </c>
      <c r="H36">
        <v>7921997</v>
      </c>
      <c r="I36">
        <v>11620993</v>
      </c>
      <c r="J36">
        <v>155</v>
      </c>
      <c r="K36">
        <v>1028800</v>
      </c>
      <c r="M36">
        <f t="shared" si="0"/>
        <v>44363483</v>
      </c>
      <c r="N36">
        <f t="shared" si="1"/>
        <v>107143257</v>
      </c>
      <c r="O36">
        <f t="shared" si="2"/>
        <v>424187.66216216219</v>
      </c>
      <c r="P36">
        <f t="shared" si="3"/>
        <v>286216.0193548387</v>
      </c>
      <c r="Q36" t="str">
        <f t="shared" si="4"/>
        <v/>
      </c>
    </row>
    <row r="37" spans="1:17" ht="18.75" customHeight="1" x14ac:dyDescent="0.2"/>
    <row r="38" spans="1:17" ht="18.75" customHeight="1" x14ac:dyDescent="0.2"/>
    <row r="39" spans="1:17" ht="18.75" customHeight="1" x14ac:dyDescent="0.2"/>
    <row r="40" spans="1:17" ht="18.75" customHeight="1" x14ac:dyDescent="0.2"/>
    <row r="41" spans="1:17" ht="18.75" customHeight="1" x14ac:dyDescent="0.2"/>
    <row r="42" spans="1:17" ht="18.75" customHeight="1" x14ac:dyDescent="0.2"/>
    <row r="43" spans="1:17" ht="18.75" customHeight="1" x14ac:dyDescent="0.2"/>
    <row r="44" spans="1:17" ht="18.75" customHeight="1" x14ac:dyDescent="0.2"/>
    <row r="45" spans="1:17" ht="18.75" customHeight="1" x14ac:dyDescent="0.2"/>
    <row r="46" spans="1:17" ht="18.75" customHeight="1" x14ac:dyDescent="0.2"/>
    <row r="47" spans="1:17" ht="18.75" customHeight="1" x14ac:dyDescent="0.2"/>
    <row r="48" spans="1:17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9">
    <mergeCell ref="A1:Q1"/>
    <mergeCell ref="E3:F3"/>
    <mergeCell ref="O3:P3"/>
    <mergeCell ref="G3:J3"/>
    <mergeCell ref="A5:B5"/>
    <mergeCell ref="A2:Q2"/>
    <mergeCell ref="M3:N3"/>
    <mergeCell ref="C3:D3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Q200"/>
  <sheetViews>
    <sheetView workbookViewId="0"/>
  </sheetViews>
  <sheetFormatPr baseColWidth="10" defaultColWidth="14" defaultRowHeight="14" x14ac:dyDescent="0.2"/>
  <cols>
    <col min="1" max="1" width="15" customWidth="1"/>
    <col min="2" max="2" width="6" customWidth="1"/>
    <col min="3" max="3" width="19" customWidth="1"/>
    <col min="4" max="4" width="11" customWidth="1"/>
    <col min="5" max="5" width="15" customWidth="1"/>
    <col min="6" max="9" width="17" customWidth="1"/>
    <col min="10" max="10" width="12" customWidth="1"/>
    <col min="11" max="11" width="16" customWidth="1"/>
    <col min="12" max="12" width="27" customWidth="1"/>
    <col min="13" max="14" width="18" customWidth="1"/>
    <col min="15" max="16" width="15" customWidth="1"/>
    <col min="17" max="17" width="12" customWidth="1"/>
    <col min="18" max="20" width="11" customWidth="1"/>
  </cols>
  <sheetData>
    <row r="1" spans="1:17" ht="33" customHeight="1" x14ac:dyDescent="0.2">
      <c r="A1" s="158" t="s">
        <v>450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1.75" customHeight="1" x14ac:dyDescent="0.2">
      <c r="A2" s="146" t="s">
        <v>412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.75" customHeight="1" x14ac:dyDescent="0.2">
      <c r="A3" s="157" t="s">
        <v>413</v>
      </c>
      <c r="B3" s="143"/>
      <c r="C3" s="156" t="s">
        <v>414</v>
      </c>
      <c r="D3" s="143"/>
      <c r="E3" s="159" t="s">
        <v>415</v>
      </c>
      <c r="F3" s="143"/>
      <c r="G3" s="154" t="s">
        <v>416</v>
      </c>
      <c r="H3" s="143"/>
      <c r="I3" s="143"/>
      <c r="J3" s="143"/>
      <c r="K3" s="22" t="s">
        <v>417</v>
      </c>
      <c r="L3" s="23" t="s">
        <v>418</v>
      </c>
      <c r="M3" s="153" t="s">
        <v>419</v>
      </c>
      <c r="N3" s="143"/>
      <c r="O3" s="153" t="s">
        <v>419</v>
      </c>
      <c r="P3" s="143"/>
      <c r="Q3" s="24" t="s">
        <v>420</v>
      </c>
    </row>
    <row r="4" spans="1:17" ht="36" customHeight="1" x14ac:dyDescent="0.2">
      <c r="A4" s="25" t="s">
        <v>421</v>
      </c>
      <c r="B4" s="25" t="s">
        <v>422</v>
      </c>
      <c r="C4" s="26" t="s">
        <v>423</v>
      </c>
      <c r="D4" s="26" t="s">
        <v>424</v>
      </c>
      <c r="E4" s="27" t="s">
        <v>425</v>
      </c>
      <c r="F4" s="27" t="s">
        <v>426</v>
      </c>
      <c r="G4" s="28" t="s">
        <v>427</v>
      </c>
      <c r="H4" s="28" t="s">
        <v>428</v>
      </c>
      <c r="I4" s="28" t="s">
        <v>429</v>
      </c>
      <c r="J4" s="28" t="s">
        <v>430</v>
      </c>
      <c r="K4" s="29" t="s">
        <v>431</v>
      </c>
      <c r="L4" s="30" t="s">
        <v>432</v>
      </c>
      <c r="M4" s="31" t="s">
        <v>433</v>
      </c>
      <c r="N4" s="31" t="s">
        <v>434</v>
      </c>
      <c r="O4" s="31" t="s">
        <v>435</v>
      </c>
      <c r="P4" s="31" t="s">
        <v>436</v>
      </c>
      <c r="Q4" s="31" t="s">
        <v>437</v>
      </c>
    </row>
    <row r="5" spans="1:17" ht="21.75" customHeight="1" x14ac:dyDescent="0.2">
      <c r="A5" s="155" t="s">
        <v>438</v>
      </c>
      <c r="B5" s="143"/>
      <c r="C5" s="32"/>
      <c r="D5" s="33"/>
      <c r="E5" s="33"/>
      <c r="F5" s="33"/>
      <c r="G5" s="34"/>
      <c r="H5" s="34"/>
      <c r="I5" s="34"/>
      <c r="J5" s="33"/>
      <c r="K5" s="33"/>
      <c r="L5" s="33"/>
      <c r="M5" s="35"/>
      <c r="N5" s="35"/>
      <c r="O5" s="36"/>
      <c r="P5" s="36"/>
      <c r="Q5" s="37"/>
    </row>
    <row r="6" spans="1:17" ht="21.75" customHeight="1" x14ac:dyDescent="0.2">
      <c r="A6" s="38">
        <v>46054</v>
      </c>
      <c r="B6" s="39" t="s">
        <v>445</v>
      </c>
      <c r="C6" s="40">
        <v>50108336</v>
      </c>
      <c r="D6" s="40">
        <v>109</v>
      </c>
      <c r="E6" s="40"/>
      <c r="F6" s="40"/>
      <c r="G6" s="40">
        <v>20876975</v>
      </c>
      <c r="H6" s="40">
        <v>13079503</v>
      </c>
      <c r="I6" s="40">
        <v>8193994</v>
      </c>
      <c r="J6" s="40">
        <v>133</v>
      </c>
      <c r="K6" s="40">
        <v>753600</v>
      </c>
      <c r="L6" s="41"/>
      <c r="M6" s="5">
        <f t="shared" ref="M6:M33" si="0">IF(SUM(G6:I6)&gt;0,SUM(G6:I6),"")</f>
        <v>42150472</v>
      </c>
      <c r="N6" s="5">
        <f t="shared" ref="N6:N33" si="1">IF(N(C6)+N(M6)&gt;0,N(C6)+N(M6),"")</f>
        <v>92258808</v>
      </c>
      <c r="O6" s="5">
        <f t="shared" ref="O6:O33" si="2">IFERROR(IF(D6&gt;0,C6/D6,""),"")</f>
        <v>459709.50458715594</v>
      </c>
      <c r="P6" s="5">
        <f t="shared" ref="P6:P33" si="3">IFERROR(IF(J6&gt;0,M6/J6,""),"")</f>
        <v>316920.84210526315</v>
      </c>
      <c r="Q6" s="16" t="str">
        <f t="shared" ref="Q6:Q33" si="4">IFERROR(IF(E6&gt;0,D6/E6,""),"")</f>
        <v/>
      </c>
    </row>
    <row r="7" spans="1:17" ht="21.75" customHeight="1" x14ac:dyDescent="0.2">
      <c r="A7" s="38">
        <v>46055</v>
      </c>
      <c r="B7" s="39" t="s">
        <v>439</v>
      </c>
      <c r="C7" s="40">
        <v>64921114</v>
      </c>
      <c r="D7" s="40">
        <v>151</v>
      </c>
      <c r="E7" s="40"/>
      <c r="F7" s="40"/>
      <c r="G7" s="40">
        <v>24873975</v>
      </c>
      <c r="H7" s="40">
        <v>4371998</v>
      </c>
      <c r="I7" s="40">
        <v>6911248</v>
      </c>
      <c r="J7" s="40">
        <v>113</v>
      </c>
      <c r="K7" s="40">
        <v>6488365</v>
      </c>
      <c r="L7" s="41"/>
      <c r="M7" s="5">
        <f t="shared" si="0"/>
        <v>36157221</v>
      </c>
      <c r="N7" s="5">
        <f t="shared" si="1"/>
        <v>101078335</v>
      </c>
      <c r="O7" s="5">
        <f t="shared" si="2"/>
        <v>429941.15231788077</v>
      </c>
      <c r="P7" s="5">
        <f t="shared" si="3"/>
        <v>319975.40707964601</v>
      </c>
      <c r="Q7" s="16" t="str">
        <f t="shared" si="4"/>
        <v/>
      </c>
    </row>
    <row r="8" spans="1:17" ht="21.75" customHeight="1" x14ac:dyDescent="0.2">
      <c r="A8" s="38">
        <v>46056</v>
      </c>
      <c r="B8" s="39" t="s">
        <v>440</v>
      </c>
      <c r="C8" s="40">
        <v>88558814</v>
      </c>
      <c r="D8" s="40">
        <v>190</v>
      </c>
      <c r="E8" s="40"/>
      <c r="F8" s="40"/>
      <c r="G8" s="40">
        <v>15489719</v>
      </c>
      <c r="H8" s="40">
        <v>9887746</v>
      </c>
      <c r="I8" s="40">
        <v>9854394</v>
      </c>
      <c r="J8" s="40">
        <v>108</v>
      </c>
      <c r="K8" s="40">
        <v>2073831</v>
      </c>
      <c r="L8" s="41"/>
      <c r="M8" s="5">
        <f t="shared" si="0"/>
        <v>35231859</v>
      </c>
      <c r="N8" s="5">
        <f t="shared" si="1"/>
        <v>123790673</v>
      </c>
      <c r="O8" s="5">
        <f t="shared" si="2"/>
        <v>466099.02105263161</v>
      </c>
      <c r="P8" s="5">
        <f t="shared" si="3"/>
        <v>326220.91666666669</v>
      </c>
      <c r="Q8" s="16" t="str">
        <f t="shared" si="4"/>
        <v/>
      </c>
    </row>
    <row r="9" spans="1:17" ht="21.75" customHeight="1" x14ac:dyDescent="0.2">
      <c r="A9" s="38">
        <v>46057</v>
      </c>
      <c r="B9" s="39" t="s">
        <v>441</v>
      </c>
      <c r="C9" s="40">
        <v>60850038</v>
      </c>
      <c r="D9" s="40">
        <v>150</v>
      </c>
      <c r="E9" s="40"/>
      <c r="F9" s="40"/>
      <c r="G9" s="40">
        <v>18763977</v>
      </c>
      <c r="H9" s="40">
        <v>8654006</v>
      </c>
      <c r="I9" s="40">
        <v>9083990</v>
      </c>
      <c r="J9" s="40">
        <v>115</v>
      </c>
      <c r="K9" s="40">
        <v>200001</v>
      </c>
      <c r="L9" s="41"/>
      <c r="M9" s="5">
        <f t="shared" si="0"/>
        <v>36501973</v>
      </c>
      <c r="N9" s="5">
        <f t="shared" si="1"/>
        <v>97352011</v>
      </c>
      <c r="O9" s="5">
        <f t="shared" si="2"/>
        <v>405666.92</v>
      </c>
      <c r="P9" s="5">
        <f t="shared" si="3"/>
        <v>317408.4608695652</v>
      </c>
      <c r="Q9" s="16" t="str">
        <f t="shared" si="4"/>
        <v/>
      </c>
    </row>
    <row r="10" spans="1:17" ht="21.75" customHeight="1" x14ac:dyDescent="0.2">
      <c r="A10" s="38">
        <v>46058</v>
      </c>
      <c r="B10" s="39" t="s">
        <v>442</v>
      </c>
      <c r="C10" s="40">
        <v>93653363</v>
      </c>
      <c r="D10" s="40">
        <v>181</v>
      </c>
      <c r="E10" s="40"/>
      <c r="F10" s="40"/>
      <c r="G10" s="40">
        <v>31113480</v>
      </c>
      <c r="H10" s="40">
        <v>9863399</v>
      </c>
      <c r="I10" s="40">
        <v>15002986</v>
      </c>
      <c r="J10" s="40">
        <v>181</v>
      </c>
      <c r="K10" s="40">
        <v>1061518</v>
      </c>
      <c r="L10" s="41"/>
      <c r="M10" s="5">
        <f t="shared" si="0"/>
        <v>55979865</v>
      </c>
      <c r="N10" s="5">
        <f t="shared" si="1"/>
        <v>149633228</v>
      </c>
      <c r="O10" s="5">
        <f t="shared" si="2"/>
        <v>517421.89502762433</v>
      </c>
      <c r="P10" s="5">
        <f t="shared" si="3"/>
        <v>309281.02209944749</v>
      </c>
      <c r="Q10" s="16" t="str">
        <f t="shared" si="4"/>
        <v/>
      </c>
    </row>
    <row r="11" spans="1:17" ht="21.75" customHeight="1" x14ac:dyDescent="0.2">
      <c r="A11" s="42">
        <v>46059</v>
      </c>
      <c r="B11" s="43" t="s">
        <v>443</v>
      </c>
      <c r="C11" s="40">
        <v>88326525</v>
      </c>
      <c r="D11" s="40">
        <v>192</v>
      </c>
      <c r="E11" s="40"/>
      <c r="F11" s="40"/>
      <c r="G11" s="40">
        <v>26819984</v>
      </c>
      <c r="H11" s="40">
        <v>12426498</v>
      </c>
      <c r="I11" s="40">
        <v>13442486</v>
      </c>
      <c r="J11" s="40">
        <v>177</v>
      </c>
      <c r="K11" s="40">
        <v>1028800</v>
      </c>
      <c r="L11" s="41"/>
      <c r="M11" s="5">
        <f t="shared" si="0"/>
        <v>52688968</v>
      </c>
      <c r="N11" s="5">
        <f t="shared" si="1"/>
        <v>141015493</v>
      </c>
      <c r="O11" s="5">
        <f t="shared" si="2"/>
        <v>460033.984375</v>
      </c>
      <c r="P11" s="5">
        <f t="shared" si="3"/>
        <v>297677.78531073447</v>
      </c>
      <c r="Q11" s="16" t="str">
        <f t="shared" si="4"/>
        <v/>
      </c>
    </row>
    <row r="12" spans="1:17" ht="21.75" customHeight="1" x14ac:dyDescent="0.2">
      <c r="A12" s="42">
        <v>46060</v>
      </c>
      <c r="B12" s="43" t="s">
        <v>444</v>
      </c>
      <c r="C12" s="40">
        <v>46358251</v>
      </c>
      <c r="D12" s="40">
        <v>123</v>
      </c>
      <c r="E12" s="40"/>
      <c r="F12" s="40"/>
      <c r="G12" s="40">
        <v>25673478</v>
      </c>
      <c r="H12" s="40">
        <v>16480498</v>
      </c>
      <c r="I12" s="40">
        <v>13953488</v>
      </c>
      <c r="J12" s="40">
        <v>185</v>
      </c>
      <c r="K12" s="40"/>
      <c r="L12" s="41"/>
      <c r="M12" s="5">
        <f t="shared" si="0"/>
        <v>56107464</v>
      </c>
      <c r="N12" s="5">
        <f t="shared" si="1"/>
        <v>102465715</v>
      </c>
      <c r="O12" s="5">
        <f t="shared" si="2"/>
        <v>376896.34959349595</v>
      </c>
      <c r="P12" s="5">
        <f t="shared" si="3"/>
        <v>303283.5891891892</v>
      </c>
      <c r="Q12" s="16" t="str">
        <f t="shared" si="4"/>
        <v/>
      </c>
    </row>
    <row r="13" spans="1:17" ht="21.75" customHeight="1" x14ac:dyDescent="0.2">
      <c r="A13" s="38">
        <v>46061</v>
      </c>
      <c r="B13" s="39" t="s">
        <v>445</v>
      </c>
      <c r="C13" s="40">
        <v>91353590</v>
      </c>
      <c r="D13" s="40">
        <v>192</v>
      </c>
      <c r="E13" s="40"/>
      <c r="F13" s="40"/>
      <c r="G13" s="40">
        <v>26581941</v>
      </c>
      <c r="H13" s="40">
        <v>5852000</v>
      </c>
      <c r="I13" s="40">
        <v>13459976</v>
      </c>
      <c r="J13" s="40">
        <v>156</v>
      </c>
      <c r="K13" s="40">
        <v>1105452</v>
      </c>
      <c r="L13" s="41"/>
      <c r="M13" s="5">
        <f t="shared" si="0"/>
        <v>45893917</v>
      </c>
      <c r="N13" s="5">
        <f t="shared" si="1"/>
        <v>137247507</v>
      </c>
      <c r="O13" s="5">
        <f t="shared" si="2"/>
        <v>475799.94791666669</v>
      </c>
      <c r="P13" s="5">
        <f t="shared" si="3"/>
        <v>294191.77564102563</v>
      </c>
      <c r="Q13" s="16" t="str">
        <f t="shared" si="4"/>
        <v/>
      </c>
    </row>
    <row r="14" spans="1:17" ht="21.75" customHeight="1" x14ac:dyDescent="0.2">
      <c r="A14" s="38">
        <v>46062</v>
      </c>
      <c r="B14" s="39" t="s">
        <v>439</v>
      </c>
      <c r="C14" s="40">
        <v>57741542</v>
      </c>
      <c r="D14" s="40">
        <v>129</v>
      </c>
      <c r="E14" s="40"/>
      <c r="F14" s="40"/>
      <c r="G14" s="40">
        <v>20345468</v>
      </c>
      <c r="H14" s="40">
        <v>10940501</v>
      </c>
      <c r="I14" s="40">
        <v>11550989</v>
      </c>
      <c r="J14" s="40">
        <v>142</v>
      </c>
      <c r="K14" s="40">
        <v>5416324</v>
      </c>
      <c r="L14" s="41"/>
      <c r="M14" s="5">
        <f t="shared" si="0"/>
        <v>42836958</v>
      </c>
      <c r="N14" s="5">
        <f t="shared" si="1"/>
        <v>100578500</v>
      </c>
      <c r="O14" s="5">
        <f t="shared" si="2"/>
        <v>447608.85271317832</v>
      </c>
      <c r="P14" s="5">
        <f t="shared" si="3"/>
        <v>301668.71830985916</v>
      </c>
      <c r="Q14" s="16" t="str">
        <f t="shared" si="4"/>
        <v/>
      </c>
    </row>
    <row r="15" spans="1:17" ht="21.75" customHeight="1" x14ac:dyDescent="0.2">
      <c r="A15" s="38">
        <v>46063</v>
      </c>
      <c r="B15" s="39" t="s">
        <v>440</v>
      </c>
      <c r="C15" s="40">
        <v>72142067</v>
      </c>
      <c r="D15" s="40">
        <v>170</v>
      </c>
      <c r="E15" s="40"/>
      <c r="F15" s="40"/>
      <c r="G15" s="40">
        <v>26675969</v>
      </c>
      <c r="H15" s="40">
        <v>16187995</v>
      </c>
      <c r="I15" s="40">
        <v>13954492</v>
      </c>
      <c r="J15" s="40">
        <v>156</v>
      </c>
      <c r="K15" s="40">
        <v>750000</v>
      </c>
      <c r="L15" s="41"/>
      <c r="M15" s="5">
        <f t="shared" si="0"/>
        <v>56818456</v>
      </c>
      <c r="N15" s="5">
        <f t="shared" si="1"/>
        <v>128960523</v>
      </c>
      <c r="O15" s="5">
        <f t="shared" si="2"/>
        <v>424365.1</v>
      </c>
      <c r="P15" s="5">
        <f t="shared" si="3"/>
        <v>364220.87179487181</v>
      </c>
      <c r="Q15" s="16" t="str">
        <f t="shared" si="4"/>
        <v/>
      </c>
    </row>
    <row r="16" spans="1:17" ht="21.75" customHeight="1" x14ac:dyDescent="0.2">
      <c r="A16" s="38">
        <v>46064</v>
      </c>
      <c r="B16" s="39" t="s">
        <v>441</v>
      </c>
      <c r="C16" s="40">
        <v>101499483</v>
      </c>
      <c r="D16" s="40">
        <v>213</v>
      </c>
      <c r="E16" s="40"/>
      <c r="F16" s="40"/>
      <c r="G16" s="40">
        <v>27996471</v>
      </c>
      <c r="H16" s="40">
        <v>21896980</v>
      </c>
      <c r="I16" s="40">
        <v>15569001</v>
      </c>
      <c r="J16" s="40">
        <v>184</v>
      </c>
      <c r="K16" s="40">
        <v>1790400</v>
      </c>
      <c r="L16" s="41"/>
      <c r="M16" s="5">
        <f t="shared" si="0"/>
        <v>65462452</v>
      </c>
      <c r="N16" s="5">
        <f t="shared" si="1"/>
        <v>166961935</v>
      </c>
      <c r="O16" s="5">
        <f t="shared" si="2"/>
        <v>476523.39436619717</v>
      </c>
      <c r="P16" s="5">
        <f t="shared" si="3"/>
        <v>355774.19565217389</v>
      </c>
      <c r="Q16" s="16" t="str">
        <f t="shared" si="4"/>
        <v/>
      </c>
    </row>
    <row r="17" spans="1:17" ht="21.75" customHeight="1" x14ac:dyDescent="0.2">
      <c r="A17" s="38">
        <v>46065</v>
      </c>
      <c r="B17" s="39" t="s">
        <v>442</v>
      </c>
      <c r="C17" s="40">
        <v>96346100</v>
      </c>
      <c r="D17" s="40">
        <v>202</v>
      </c>
      <c r="E17" s="40"/>
      <c r="F17" s="40"/>
      <c r="G17" s="40">
        <v>26653982</v>
      </c>
      <c r="H17" s="40">
        <v>24483492</v>
      </c>
      <c r="I17" s="40">
        <v>14464990</v>
      </c>
      <c r="J17" s="40">
        <v>187</v>
      </c>
      <c r="K17" s="40">
        <v>6987966</v>
      </c>
      <c r="L17" s="41"/>
      <c r="M17" s="5">
        <f t="shared" si="0"/>
        <v>65602464</v>
      </c>
      <c r="N17" s="5">
        <f t="shared" si="1"/>
        <v>161948564</v>
      </c>
      <c r="O17" s="5">
        <f t="shared" si="2"/>
        <v>476960.89108910889</v>
      </c>
      <c r="P17" s="5">
        <f t="shared" si="3"/>
        <v>350815.31550802139</v>
      </c>
      <c r="Q17" s="16" t="str">
        <f t="shared" si="4"/>
        <v/>
      </c>
    </row>
    <row r="18" spans="1:17" ht="21.75" customHeight="1" x14ac:dyDescent="0.2">
      <c r="A18" s="42">
        <v>46066</v>
      </c>
      <c r="B18" s="43" t="s">
        <v>443</v>
      </c>
      <c r="C18" s="40">
        <v>82567606</v>
      </c>
      <c r="D18" s="40">
        <v>185</v>
      </c>
      <c r="E18" s="40"/>
      <c r="F18" s="40"/>
      <c r="G18" s="40">
        <v>33299454</v>
      </c>
      <c r="H18" s="40">
        <v>25645747</v>
      </c>
      <c r="I18" s="40">
        <v>18701988</v>
      </c>
      <c r="J18" s="40">
        <v>244</v>
      </c>
      <c r="K18" s="40">
        <v>1827496</v>
      </c>
      <c r="L18" s="41"/>
      <c r="M18" s="5">
        <f t="shared" si="0"/>
        <v>77647189</v>
      </c>
      <c r="N18" s="5">
        <f t="shared" si="1"/>
        <v>160214795</v>
      </c>
      <c r="O18" s="5">
        <f t="shared" si="2"/>
        <v>446311.38378378376</v>
      </c>
      <c r="P18" s="5">
        <f t="shared" si="3"/>
        <v>318226.18442622951</v>
      </c>
      <c r="Q18" s="16" t="str">
        <f t="shared" si="4"/>
        <v/>
      </c>
    </row>
    <row r="19" spans="1:17" ht="21.75" customHeight="1" x14ac:dyDescent="0.2">
      <c r="A19" s="42">
        <v>46067</v>
      </c>
      <c r="B19" s="43" t="s">
        <v>444</v>
      </c>
      <c r="C19" s="40">
        <v>55401129</v>
      </c>
      <c r="D19" s="40">
        <v>116</v>
      </c>
      <c r="E19" s="40"/>
      <c r="F19" s="40"/>
      <c r="G19" s="40">
        <v>43160216</v>
      </c>
      <c r="H19" s="40">
        <v>27952495</v>
      </c>
      <c r="I19" s="40">
        <v>10786487</v>
      </c>
      <c r="J19" s="40">
        <v>232</v>
      </c>
      <c r="K19" s="40">
        <v>3152458</v>
      </c>
      <c r="L19" s="41"/>
      <c r="M19" s="5">
        <f t="shared" si="0"/>
        <v>81899198</v>
      </c>
      <c r="N19" s="5">
        <f t="shared" si="1"/>
        <v>137300327</v>
      </c>
      <c r="O19" s="5">
        <f t="shared" si="2"/>
        <v>477595.93965517241</v>
      </c>
      <c r="P19" s="5">
        <f t="shared" si="3"/>
        <v>353013.78448275861</v>
      </c>
      <c r="Q19" s="16" t="str">
        <f t="shared" si="4"/>
        <v/>
      </c>
    </row>
    <row r="20" spans="1:17" ht="21.75" customHeight="1" x14ac:dyDescent="0.2">
      <c r="A20" s="38">
        <v>46068</v>
      </c>
      <c r="B20" s="39" t="s">
        <v>445</v>
      </c>
      <c r="C20" s="40">
        <v>35825726</v>
      </c>
      <c r="D20" s="40">
        <v>78</v>
      </c>
      <c r="E20" s="40"/>
      <c r="F20" s="40"/>
      <c r="G20" s="40">
        <v>23492736</v>
      </c>
      <c r="H20" s="40">
        <v>27382246</v>
      </c>
      <c r="I20" s="40">
        <v>5920496</v>
      </c>
      <c r="J20" s="40">
        <v>163</v>
      </c>
      <c r="K20" s="40">
        <v>448000</v>
      </c>
      <c r="L20" s="41"/>
      <c r="M20" s="5">
        <f t="shared" si="0"/>
        <v>56795478</v>
      </c>
      <c r="N20" s="5">
        <f t="shared" si="1"/>
        <v>92621204</v>
      </c>
      <c r="O20" s="5">
        <f t="shared" si="2"/>
        <v>459304.1794871795</v>
      </c>
      <c r="P20" s="5">
        <f t="shared" si="3"/>
        <v>348438.51533742331</v>
      </c>
      <c r="Q20" s="16" t="str">
        <f t="shared" si="4"/>
        <v/>
      </c>
    </row>
    <row r="21" spans="1:17" ht="21.75" customHeight="1" x14ac:dyDescent="0.2">
      <c r="A21" s="38">
        <v>46069</v>
      </c>
      <c r="B21" s="39" t="s">
        <v>439</v>
      </c>
      <c r="C21" s="40">
        <v>15408017</v>
      </c>
      <c r="D21" s="40">
        <v>40</v>
      </c>
      <c r="E21" s="40"/>
      <c r="F21" s="40"/>
      <c r="G21" s="40">
        <v>14058991</v>
      </c>
      <c r="H21" s="40">
        <v>16740997</v>
      </c>
      <c r="I21" s="40"/>
      <c r="J21" s="40">
        <v>89</v>
      </c>
      <c r="K21" s="40"/>
      <c r="L21" s="41"/>
      <c r="M21" s="5">
        <f t="shared" si="0"/>
        <v>30799988</v>
      </c>
      <c r="N21" s="5">
        <f t="shared" si="1"/>
        <v>46208005</v>
      </c>
      <c r="O21" s="5">
        <f t="shared" si="2"/>
        <v>385200.42499999999</v>
      </c>
      <c r="P21" s="5">
        <f t="shared" si="3"/>
        <v>346067.28089887643</v>
      </c>
      <c r="Q21" s="16" t="str">
        <f t="shared" si="4"/>
        <v/>
      </c>
    </row>
    <row r="22" spans="1:17" ht="21.75" customHeight="1" x14ac:dyDescent="0.2">
      <c r="A22" s="38">
        <v>46070</v>
      </c>
      <c r="B22" s="39" t="s">
        <v>440</v>
      </c>
      <c r="C22" s="40"/>
      <c r="D22" s="40"/>
      <c r="E22" s="40"/>
      <c r="F22" s="40"/>
      <c r="G22" s="40"/>
      <c r="H22" s="40"/>
      <c r="I22" s="40"/>
      <c r="J22" s="40"/>
      <c r="K22" s="40"/>
      <c r="L22" s="41"/>
      <c r="M22" s="5" t="str">
        <f t="shared" si="0"/>
        <v/>
      </c>
      <c r="N22" s="5" t="str">
        <f t="shared" si="1"/>
        <v/>
      </c>
      <c r="O22" s="5" t="str">
        <f t="shared" si="2"/>
        <v/>
      </c>
      <c r="P22" s="5" t="str">
        <f t="shared" si="3"/>
        <v/>
      </c>
      <c r="Q22" s="16" t="str">
        <f t="shared" si="4"/>
        <v/>
      </c>
    </row>
    <row r="23" spans="1:17" ht="21.75" customHeight="1" x14ac:dyDescent="0.2">
      <c r="A23" s="38">
        <v>46071</v>
      </c>
      <c r="B23" s="39" t="s">
        <v>441</v>
      </c>
      <c r="C23" s="40"/>
      <c r="D23" s="40"/>
      <c r="E23" s="40"/>
      <c r="F23" s="40"/>
      <c r="G23" s="40"/>
      <c r="H23" s="40"/>
      <c r="I23" s="40"/>
      <c r="J23" s="40"/>
      <c r="K23" s="40"/>
      <c r="L23" s="41"/>
      <c r="M23" s="5" t="str">
        <f t="shared" si="0"/>
        <v/>
      </c>
      <c r="N23" s="5" t="str">
        <f t="shared" si="1"/>
        <v/>
      </c>
      <c r="O23" s="5" t="str">
        <f t="shared" si="2"/>
        <v/>
      </c>
      <c r="P23" s="5" t="str">
        <f t="shared" si="3"/>
        <v/>
      </c>
      <c r="Q23" s="16" t="str">
        <f t="shared" si="4"/>
        <v/>
      </c>
    </row>
    <row r="24" spans="1:17" ht="21.75" customHeight="1" x14ac:dyDescent="0.2">
      <c r="A24" s="38">
        <v>46072</v>
      </c>
      <c r="B24" s="39" t="s">
        <v>442</v>
      </c>
      <c r="C24" s="40"/>
      <c r="D24" s="40"/>
      <c r="E24" s="40"/>
      <c r="F24" s="40"/>
      <c r="G24" s="40"/>
      <c r="H24" s="40"/>
      <c r="I24" s="40"/>
      <c r="J24" s="40"/>
      <c r="K24" s="40"/>
      <c r="L24" s="41"/>
      <c r="M24" s="5" t="str">
        <f t="shared" si="0"/>
        <v/>
      </c>
      <c r="N24" s="5" t="str">
        <f t="shared" si="1"/>
        <v/>
      </c>
      <c r="O24" s="5" t="str">
        <f t="shared" si="2"/>
        <v/>
      </c>
      <c r="P24" s="5" t="str">
        <f t="shared" si="3"/>
        <v/>
      </c>
      <c r="Q24" s="16" t="str">
        <f t="shared" si="4"/>
        <v/>
      </c>
    </row>
    <row r="25" spans="1:17" ht="21.75" customHeight="1" x14ac:dyDescent="0.2">
      <c r="A25" s="42">
        <v>46073</v>
      </c>
      <c r="B25" s="43" t="s">
        <v>443</v>
      </c>
      <c r="C25" s="40"/>
      <c r="D25" s="40"/>
      <c r="E25" s="40"/>
      <c r="F25" s="40"/>
      <c r="G25" s="40"/>
      <c r="H25" s="40"/>
      <c r="I25" s="40"/>
      <c r="J25" s="40"/>
      <c r="K25" s="40"/>
      <c r="L25" s="41"/>
      <c r="M25" s="5" t="str">
        <f t="shared" si="0"/>
        <v/>
      </c>
      <c r="N25" s="5" t="str">
        <f t="shared" si="1"/>
        <v/>
      </c>
      <c r="O25" s="5" t="str">
        <f t="shared" si="2"/>
        <v/>
      </c>
      <c r="P25" s="5" t="str">
        <f t="shared" si="3"/>
        <v/>
      </c>
      <c r="Q25" s="16" t="str">
        <f t="shared" si="4"/>
        <v/>
      </c>
    </row>
    <row r="26" spans="1:17" ht="21.75" customHeight="1" x14ac:dyDescent="0.2">
      <c r="A26" s="42">
        <v>46074</v>
      </c>
      <c r="B26" s="43" t="s">
        <v>444</v>
      </c>
      <c r="C26" s="40">
        <v>16207041</v>
      </c>
      <c r="D26" s="40">
        <v>40</v>
      </c>
      <c r="E26" s="40"/>
      <c r="F26" s="40"/>
      <c r="G26" s="40">
        <v>6306995</v>
      </c>
      <c r="H26" s="40">
        <v>4625002</v>
      </c>
      <c r="I26" s="40">
        <v>2409998</v>
      </c>
      <c r="J26" s="40">
        <v>45</v>
      </c>
      <c r="K26" s="40">
        <v>448000</v>
      </c>
      <c r="L26" s="41"/>
      <c r="M26" s="5">
        <f t="shared" si="0"/>
        <v>13341995</v>
      </c>
      <c r="N26" s="5">
        <f t="shared" si="1"/>
        <v>29549036</v>
      </c>
      <c r="O26" s="5">
        <f t="shared" si="2"/>
        <v>405176.02500000002</v>
      </c>
      <c r="P26" s="5">
        <f t="shared" si="3"/>
        <v>296488.77777777775</v>
      </c>
      <c r="Q26" s="16" t="str">
        <f t="shared" si="4"/>
        <v/>
      </c>
    </row>
    <row r="27" spans="1:17" ht="21.75" customHeight="1" x14ac:dyDescent="0.2">
      <c r="A27" s="38">
        <v>46075</v>
      </c>
      <c r="B27" s="39" t="s">
        <v>445</v>
      </c>
      <c r="C27" s="40">
        <v>25515214</v>
      </c>
      <c r="D27" s="40">
        <v>52</v>
      </c>
      <c r="E27" s="40"/>
      <c r="F27" s="40"/>
      <c r="G27" s="40">
        <v>6301494</v>
      </c>
      <c r="H27" s="40">
        <v>4814999</v>
      </c>
      <c r="I27" s="40">
        <v>2286999</v>
      </c>
      <c r="J27" s="40">
        <v>42</v>
      </c>
      <c r="K27" s="40"/>
      <c r="L27" s="41"/>
      <c r="M27" s="5">
        <f t="shared" si="0"/>
        <v>13403492</v>
      </c>
      <c r="N27" s="5">
        <f t="shared" si="1"/>
        <v>38918706</v>
      </c>
      <c r="O27" s="5">
        <f t="shared" si="2"/>
        <v>490677.19230769231</v>
      </c>
      <c r="P27" s="5">
        <f t="shared" si="3"/>
        <v>319130.76190476189</v>
      </c>
      <c r="Q27" s="16" t="str">
        <f t="shared" si="4"/>
        <v/>
      </c>
    </row>
    <row r="28" spans="1:17" ht="21.75" customHeight="1" x14ac:dyDescent="0.2">
      <c r="A28" s="38">
        <v>46076</v>
      </c>
      <c r="B28" s="39" t="s">
        <v>439</v>
      </c>
      <c r="C28" s="40">
        <v>26894541</v>
      </c>
      <c r="D28" s="40">
        <v>55</v>
      </c>
      <c r="E28" s="40"/>
      <c r="F28" s="40"/>
      <c r="G28" s="40">
        <v>10785497</v>
      </c>
      <c r="H28" s="40">
        <v>10187505</v>
      </c>
      <c r="I28" s="40">
        <v>1504499</v>
      </c>
      <c r="J28" s="40">
        <v>51</v>
      </c>
      <c r="K28" s="40">
        <v>320000</v>
      </c>
      <c r="L28" s="41"/>
      <c r="M28" s="5">
        <f t="shared" si="0"/>
        <v>22477501</v>
      </c>
      <c r="N28" s="5">
        <f t="shared" si="1"/>
        <v>49372042</v>
      </c>
      <c r="O28" s="5">
        <f t="shared" si="2"/>
        <v>488991.65454545454</v>
      </c>
      <c r="P28" s="5">
        <f t="shared" si="3"/>
        <v>440735.31372549018</v>
      </c>
      <c r="Q28" s="16" t="str">
        <f t="shared" si="4"/>
        <v/>
      </c>
    </row>
    <row r="29" spans="1:17" ht="21.75" customHeight="1" x14ac:dyDescent="0.2">
      <c r="A29" s="38">
        <v>46077</v>
      </c>
      <c r="B29" s="39" t="s">
        <v>440</v>
      </c>
      <c r="C29" s="40">
        <v>31085535</v>
      </c>
      <c r="D29" s="40">
        <v>74</v>
      </c>
      <c r="E29" s="40"/>
      <c r="F29" s="40"/>
      <c r="G29" s="40">
        <v>6756998</v>
      </c>
      <c r="H29" s="40">
        <v>3712002</v>
      </c>
      <c r="I29" s="40">
        <v>1320899</v>
      </c>
      <c r="J29" s="40">
        <v>36</v>
      </c>
      <c r="K29" s="40">
        <v>229400</v>
      </c>
      <c r="L29" s="41"/>
      <c r="M29" s="5">
        <f t="shared" si="0"/>
        <v>11789899</v>
      </c>
      <c r="N29" s="5">
        <f t="shared" si="1"/>
        <v>42875434</v>
      </c>
      <c r="O29" s="5">
        <f t="shared" si="2"/>
        <v>420074.79729729728</v>
      </c>
      <c r="P29" s="5">
        <f t="shared" si="3"/>
        <v>327497.19444444444</v>
      </c>
      <c r="Q29" s="16" t="str">
        <f t="shared" si="4"/>
        <v/>
      </c>
    </row>
    <row r="30" spans="1:17" ht="21.75" customHeight="1" x14ac:dyDescent="0.2">
      <c r="A30" s="38">
        <v>46078</v>
      </c>
      <c r="B30" s="39" t="s">
        <v>441</v>
      </c>
      <c r="C30" s="40">
        <v>54216209</v>
      </c>
      <c r="D30" s="40">
        <v>114</v>
      </c>
      <c r="E30" s="40"/>
      <c r="F30" s="40"/>
      <c r="G30" s="40">
        <v>4892248</v>
      </c>
      <c r="H30" s="40">
        <v>5403501</v>
      </c>
      <c r="I30" s="40">
        <v>2748979</v>
      </c>
      <c r="J30" s="40">
        <v>42</v>
      </c>
      <c r="K30" s="40">
        <v>5004000</v>
      </c>
      <c r="L30" s="41"/>
      <c r="M30" s="5">
        <f t="shared" si="0"/>
        <v>13044728</v>
      </c>
      <c r="N30" s="5">
        <f t="shared" si="1"/>
        <v>67260937</v>
      </c>
      <c r="O30" s="5">
        <f t="shared" si="2"/>
        <v>475580.78070175438</v>
      </c>
      <c r="P30" s="5">
        <f t="shared" si="3"/>
        <v>310588.76190476189</v>
      </c>
      <c r="Q30" s="16" t="str">
        <f t="shared" si="4"/>
        <v/>
      </c>
    </row>
    <row r="31" spans="1:17" ht="21.75" customHeight="1" x14ac:dyDescent="0.2">
      <c r="A31" s="38">
        <v>46079</v>
      </c>
      <c r="B31" s="39" t="s">
        <v>442</v>
      </c>
      <c r="C31" s="40">
        <v>47077945</v>
      </c>
      <c r="D31" s="40">
        <v>99</v>
      </c>
      <c r="E31" s="40"/>
      <c r="F31" s="40"/>
      <c r="G31" s="40">
        <v>9879977</v>
      </c>
      <c r="H31" s="40">
        <v>7374499</v>
      </c>
      <c r="I31" s="40">
        <v>2232998</v>
      </c>
      <c r="J31" s="40">
        <v>50</v>
      </c>
      <c r="K31" s="40">
        <v>2224000</v>
      </c>
      <c r="L31" s="41"/>
      <c r="M31" s="5">
        <f t="shared" si="0"/>
        <v>19487474</v>
      </c>
      <c r="N31" s="5">
        <f t="shared" si="1"/>
        <v>66565419</v>
      </c>
      <c r="O31" s="5">
        <f t="shared" si="2"/>
        <v>475534.79797979799</v>
      </c>
      <c r="P31" s="5">
        <f t="shared" si="3"/>
        <v>389749.48</v>
      </c>
      <c r="Q31" s="16" t="str">
        <f t="shared" si="4"/>
        <v/>
      </c>
    </row>
    <row r="32" spans="1:17" ht="21.75" customHeight="1" x14ac:dyDescent="0.2">
      <c r="A32" s="42">
        <v>46080</v>
      </c>
      <c r="B32" s="43" t="s">
        <v>443</v>
      </c>
      <c r="C32" s="40">
        <v>55770326</v>
      </c>
      <c r="D32" s="40">
        <v>102</v>
      </c>
      <c r="E32" s="40"/>
      <c r="F32" s="40"/>
      <c r="G32" s="40">
        <v>10152498</v>
      </c>
      <c r="H32" s="40">
        <v>5813995</v>
      </c>
      <c r="I32" s="40">
        <v>4116995</v>
      </c>
      <c r="J32" s="40">
        <v>63</v>
      </c>
      <c r="K32" s="40">
        <v>3889675</v>
      </c>
      <c r="L32" s="41"/>
      <c r="M32" s="5">
        <f t="shared" si="0"/>
        <v>20083488</v>
      </c>
      <c r="N32" s="5">
        <f t="shared" si="1"/>
        <v>75853814</v>
      </c>
      <c r="O32" s="5">
        <f t="shared" si="2"/>
        <v>546767.90196078434</v>
      </c>
      <c r="P32" s="5">
        <f t="shared" si="3"/>
        <v>318785.52380952379</v>
      </c>
      <c r="Q32" s="16" t="str">
        <f t="shared" si="4"/>
        <v/>
      </c>
    </row>
    <row r="33" spans="1:17" ht="21.75" customHeight="1" x14ac:dyDescent="0.2">
      <c r="A33" s="42">
        <v>46081</v>
      </c>
      <c r="B33" s="43" t="s">
        <v>444</v>
      </c>
      <c r="C33" s="40">
        <v>38036221</v>
      </c>
      <c r="D33" s="40">
        <v>79</v>
      </c>
      <c r="E33" s="40"/>
      <c r="F33" s="40"/>
      <c r="G33" s="40">
        <v>5463001</v>
      </c>
      <c r="H33" s="40">
        <v>6145002</v>
      </c>
      <c r="I33" s="40">
        <v>7299487</v>
      </c>
      <c r="J33" s="40">
        <v>56</v>
      </c>
      <c r="K33" s="40">
        <v>4044814</v>
      </c>
      <c r="L33" s="41"/>
      <c r="M33" s="5">
        <f t="shared" si="0"/>
        <v>18907490</v>
      </c>
      <c r="N33" s="5">
        <f t="shared" si="1"/>
        <v>56943711</v>
      </c>
      <c r="O33" s="5">
        <f t="shared" si="2"/>
        <v>481471.15189873416</v>
      </c>
      <c r="P33" s="5">
        <f t="shared" si="3"/>
        <v>337633.75</v>
      </c>
      <c r="Q33" s="16" t="str">
        <f t="shared" si="4"/>
        <v/>
      </c>
    </row>
    <row r="34" spans="1:17" ht="21.75" customHeight="1" x14ac:dyDescent="0.2">
      <c r="A34" s="38"/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1"/>
      <c r="M34" s="5"/>
      <c r="N34" s="5"/>
      <c r="O34" s="5"/>
      <c r="P34" s="5"/>
      <c r="Q34" s="16"/>
    </row>
    <row r="35" spans="1:17" ht="21.75" customHeight="1" x14ac:dyDescent="0.2">
      <c r="A35" s="38"/>
      <c r="B35" s="39"/>
      <c r="C35" s="40"/>
      <c r="D35" s="40"/>
      <c r="E35" s="40"/>
      <c r="F35" s="40"/>
      <c r="G35" s="40"/>
      <c r="H35" s="40"/>
      <c r="I35" s="40"/>
      <c r="J35" s="40"/>
      <c r="K35" s="40"/>
      <c r="L35" s="41"/>
      <c r="M35" s="5"/>
      <c r="N35" s="5"/>
      <c r="O35" s="5"/>
      <c r="P35" s="5"/>
      <c r="Q35" s="16"/>
    </row>
    <row r="36" spans="1:17" ht="18.75" customHeight="1" x14ac:dyDescent="0.2"/>
    <row r="37" spans="1:17" ht="18.75" customHeight="1" x14ac:dyDescent="0.2"/>
    <row r="38" spans="1:17" ht="18.75" customHeight="1" x14ac:dyDescent="0.2"/>
    <row r="39" spans="1:17" ht="18.75" customHeight="1" x14ac:dyDescent="0.2"/>
    <row r="40" spans="1:17" ht="18.75" customHeight="1" x14ac:dyDescent="0.2"/>
    <row r="41" spans="1:17" ht="18.75" customHeight="1" x14ac:dyDescent="0.2"/>
    <row r="42" spans="1:17" ht="18.75" customHeight="1" x14ac:dyDescent="0.2"/>
    <row r="43" spans="1:17" ht="18.75" customHeight="1" x14ac:dyDescent="0.2"/>
    <row r="44" spans="1:17" ht="18.75" customHeight="1" x14ac:dyDescent="0.2"/>
    <row r="45" spans="1:17" ht="18.75" customHeight="1" x14ac:dyDescent="0.2"/>
    <row r="46" spans="1:17" ht="18.75" customHeight="1" x14ac:dyDescent="0.2"/>
    <row r="47" spans="1:17" ht="18.75" customHeight="1" x14ac:dyDescent="0.2"/>
    <row r="48" spans="1:17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9">
    <mergeCell ref="A1:Q1"/>
    <mergeCell ref="E3:F3"/>
    <mergeCell ref="O3:P3"/>
    <mergeCell ref="G3:J3"/>
    <mergeCell ref="A5:B5"/>
    <mergeCell ref="A2:Q2"/>
    <mergeCell ref="M3:N3"/>
    <mergeCell ref="C3:D3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Q200"/>
  <sheetViews>
    <sheetView workbookViewId="0"/>
  </sheetViews>
  <sheetFormatPr baseColWidth="10" defaultColWidth="14" defaultRowHeight="14" x14ac:dyDescent="0.2"/>
  <cols>
    <col min="1" max="1" width="15" customWidth="1"/>
    <col min="2" max="2" width="6" customWidth="1"/>
    <col min="3" max="3" width="19" customWidth="1"/>
    <col min="4" max="4" width="11" customWidth="1"/>
    <col min="5" max="5" width="15" customWidth="1"/>
    <col min="6" max="9" width="17" customWidth="1"/>
    <col min="10" max="10" width="12" customWidth="1"/>
    <col min="11" max="11" width="16" customWidth="1"/>
    <col min="12" max="12" width="27" customWidth="1"/>
    <col min="13" max="14" width="18" customWidth="1"/>
    <col min="15" max="16" width="15" customWidth="1"/>
    <col min="17" max="17" width="12" customWidth="1"/>
    <col min="18" max="20" width="11" customWidth="1"/>
  </cols>
  <sheetData>
    <row r="1" spans="1:17" ht="33" customHeight="1" x14ac:dyDescent="0.2">
      <c r="A1" s="158" t="s">
        <v>451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1.75" customHeight="1" x14ac:dyDescent="0.2">
      <c r="A2" s="146" t="s">
        <v>412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.75" customHeight="1" x14ac:dyDescent="0.2">
      <c r="A3" s="157" t="s">
        <v>413</v>
      </c>
      <c r="B3" s="143"/>
      <c r="C3" s="156" t="s">
        <v>414</v>
      </c>
      <c r="D3" s="143"/>
      <c r="E3" s="159" t="s">
        <v>415</v>
      </c>
      <c r="F3" s="143"/>
      <c r="G3" s="154" t="s">
        <v>416</v>
      </c>
      <c r="H3" s="143"/>
      <c r="I3" s="143"/>
      <c r="J3" s="143"/>
      <c r="K3" s="22" t="s">
        <v>417</v>
      </c>
      <c r="L3" s="23" t="s">
        <v>418</v>
      </c>
      <c r="M3" s="153" t="s">
        <v>419</v>
      </c>
      <c r="N3" s="143"/>
      <c r="O3" s="153" t="s">
        <v>419</v>
      </c>
      <c r="P3" s="143"/>
      <c r="Q3" s="24" t="s">
        <v>420</v>
      </c>
    </row>
    <row r="4" spans="1:17" ht="36" customHeight="1" x14ac:dyDescent="0.2">
      <c r="A4" s="25" t="s">
        <v>421</v>
      </c>
      <c r="B4" s="25" t="s">
        <v>422</v>
      </c>
      <c r="C4" s="26" t="s">
        <v>423</v>
      </c>
      <c r="D4" s="26" t="s">
        <v>424</v>
      </c>
      <c r="E4" s="27" t="s">
        <v>425</v>
      </c>
      <c r="F4" s="27" t="s">
        <v>426</v>
      </c>
      <c r="G4" s="28" t="s">
        <v>427</v>
      </c>
      <c r="H4" s="28" t="s">
        <v>428</v>
      </c>
      <c r="I4" s="28" t="s">
        <v>429</v>
      </c>
      <c r="J4" s="28" t="s">
        <v>430</v>
      </c>
      <c r="K4" s="29" t="s">
        <v>431</v>
      </c>
      <c r="L4" s="30" t="s">
        <v>432</v>
      </c>
      <c r="M4" s="31" t="s">
        <v>433</v>
      </c>
      <c r="N4" s="31" t="s">
        <v>434</v>
      </c>
      <c r="O4" s="31" t="s">
        <v>435</v>
      </c>
      <c r="P4" s="31" t="s">
        <v>436</v>
      </c>
      <c r="Q4" s="31" t="s">
        <v>437</v>
      </c>
    </row>
    <row r="5" spans="1:17" ht="21.75" customHeight="1" x14ac:dyDescent="0.2">
      <c r="A5" s="155" t="s">
        <v>438</v>
      </c>
      <c r="B5" s="143"/>
      <c r="C5" s="32"/>
      <c r="D5" s="33"/>
      <c r="E5" s="33"/>
      <c r="F5" s="33"/>
      <c r="G5" s="34"/>
      <c r="H5" s="34"/>
      <c r="I5" s="34"/>
      <c r="J5" s="33"/>
      <c r="K5" s="33"/>
      <c r="L5" s="33"/>
      <c r="M5" s="35"/>
      <c r="N5" s="35"/>
      <c r="O5" s="36"/>
      <c r="P5" s="36"/>
      <c r="Q5" s="37"/>
    </row>
    <row r="6" spans="1:17" ht="21.75" customHeight="1" x14ac:dyDescent="0.2">
      <c r="A6" s="38">
        <v>46082</v>
      </c>
      <c r="B6" s="39" t="s">
        <v>445</v>
      </c>
      <c r="C6" s="40">
        <v>31471028</v>
      </c>
      <c r="D6" s="40">
        <v>72</v>
      </c>
      <c r="E6" s="40"/>
      <c r="F6" s="40"/>
      <c r="G6" s="40">
        <v>9123988</v>
      </c>
      <c r="H6" s="40">
        <v>4973999</v>
      </c>
      <c r="I6" s="40">
        <v>3471000</v>
      </c>
      <c r="J6" s="40">
        <v>46</v>
      </c>
      <c r="K6" s="40">
        <v>3016190</v>
      </c>
      <c r="L6" s="41"/>
      <c r="M6" s="5">
        <f t="shared" ref="M6:M36" si="0">IF(SUM(G6:I6)&gt;0,SUM(G6:I6),"")</f>
        <v>17568987</v>
      </c>
      <c r="N6" s="5">
        <f t="shared" ref="N6:N36" si="1">IF(N(C6)+N(M6)&gt;0,N(C6)+N(M6),"")</f>
        <v>49040015</v>
      </c>
      <c r="O6" s="5">
        <f t="shared" ref="O6:O36" si="2">IFERROR(IF(D6&gt;0,C6/D6,""),"")</f>
        <v>437097.61111111112</v>
      </c>
      <c r="P6" s="5">
        <f t="shared" ref="P6:P36" si="3">IFERROR(IF(J6&gt;0,M6/J6,""),"")</f>
        <v>381934.5</v>
      </c>
      <c r="Q6" s="16" t="str">
        <f t="shared" ref="Q6:Q36" si="4">IFERROR(IF(E6&gt;0,D6/E6,""),"")</f>
        <v/>
      </c>
    </row>
    <row r="7" spans="1:17" ht="21.75" customHeight="1" x14ac:dyDescent="0.2">
      <c r="A7" s="38">
        <v>46083</v>
      </c>
      <c r="B7" s="39" t="s">
        <v>439</v>
      </c>
      <c r="C7" s="40">
        <v>42386830</v>
      </c>
      <c r="D7" s="40">
        <v>84</v>
      </c>
      <c r="E7" s="40"/>
      <c r="F7" s="40"/>
      <c r="G7" s="40">
        <v>8079000</v>
      </c>
      <c r="H7" s="40">
        <v>2237000</v>
      </c>
      <c r="I7" s="40">
        <v>3462995</v>
      </c>
      <c r="J7" s="40">
        <v>43</v>
      </c>
      <c r="K7" s="40">
        <v>6142830</v>
      </c>
      <c r="L7" s="41"/>
      <c r="M7" s="5">
        <f t="shared" si="0"/>
        <v>13778995</v>
      </c>
      <c r="N7" s="5">
        <f t="shared" si="1"/>
        <v>56165825</v>
      </c>
      <c r="O7" s="5">
        <f t="shared" si="2"/>
        <v>504605.11904761905</v>
      </c>
      <c r="P7" s="5">
        <f t="shared" si="3"/>
        <v>320441.74418604653</v>
      </c>
      <c r="Q7" s="16" t="str">
        <f t="shared" si="4"/>
        <v/>
      </c>
    </row>
    <row r="8" spans="1:17" ht="21.75" customHeight="1" x14ac:dyDescent="0.2">
      <c r="A8" s="38">
        <v>46084</v>
      </c>
      <c r="B8" s="39" t="s">
        <v>440</v>
      </c>
      <c r="C8" s="40">
        <v>32799967</v>
      </c>
      <c r="D8" s="40">
        <v>82</v>
      </c>
      <c r="E8" s="40"/>
      <c r="F8" s="40"/>
      <c r="G8" s="40">
        <v>8892742</v>
      </c>
      <c r="H8" s="40">
        <v>6339498</v>
      </c>
      <c r="I8" s="40">
        <v>2400998</v>
      </c>
      <c r="J8" s="40">
        <v>51</v>
      </c>
      <c r="K8" s="40">
        <v>753600</v>
      </c>
      <c r="L8" s="41"/>
      <c r="M8" s="5">
        <f t="shared" si="0"/>
        <v>17633238</v>
      </c>
      <c r="N8" s="5">
        <f t="shared" si="1"/>
        <v>50433205</v>
      </c>
      <c r="O8" s="5">
        <f t="shared" si="2"/>
        <v>399999.59756097558</v>
      </c>
      <c r="P8" s="5">
        <f t="shared" si="3"/>
        <v>345749.76470588235</v>
      </c>
      <c r="Q8" s="16" t="str">
        <f t="shared" si="4"/>
        <v/>
      </c>
    </row>
    <row r="9" spans="1:17" ht="21.75" customHeight="1" x14ac:dyDescent="0.2">
      <c r="A9" s="38">
        <v>46085</v>
      </c>
      <c r="B9" s="39" t="s">
        <v>441</v>
      </c>
      <c r="C9" s="40">
        <v>59551861</v>
      </c>
      <c r="D9" s="40">
        <v>117</v>
      </c>
      <c r="E9" s="40"/>
      <c r="F9" s="40"/>
      <c r="G9" s="40">
        <v>8473495</v>
      </c>
      <c r="H9" s="40">
        <v>2933249</v>
      </c>
      <c r="I9" s="40">
        <v>4912494</v>
      </c>
      <c r="J9" s="40">
        <v>51</v>
      </c>
      <c r="K9" s="40">
        <v>3427658</v>
      </c>
      <c r="L9" s="41"/>
      <c r="M9" s="5">
        <f t="shared" si="0"/>
        <v>16319238</v>
      </c>
      <c r="N9" s="5">
        <f t="shared" si="1"/>
        <v>75871099</v>
      </c>
      <c r="O9" s="5">
        <f t="shared" si="2"/>
        <v>508990.26495726494</v>
      </c>
      <c r="P9" s="5">
        <f t="shared" si="3"/>
        <v>319985.0588235294</v>
      </c>
      <c r="Q9" s="16" t="str">
        <f t="shared" si="4"/>
        <v/>
      </c>
    </row>
    <row r="10" spans="1:17" ht="21.75" customHeight="1" x14ac:dyDescent="0.2">
      <c r="A10" s="38">
        <v>46086</v>
      </c>
      <c r="B10" s="39" t="s">
        <v>442</v>
      </c>
      <c r="C10" s="40">
        <v>47626769</v>
      </c>
      <c r="D10" s="40">
        <v>107</v>
      </c>
      <c r="E10" s="40"/>
      <c r="F10" s="40"/>
      <c r="G10" s="40">
        <v>4755995</v>
      </c>
      <c r="H10" s="40">
        <v>4111500</v>
      </c>
      <c r="I10" s="40">
        <v>3241999</v>
      </c>
      <c r="J10" s="40">
        <v>51</v>
      </c>
      <c r="K10" s="40">
        <v>502858</v>
      </c>
      <c r="L10" s="41"/>
      <c r="M10" s="5">
        <f t="shared" si="0"/>
        <v>12109494</v>
      </c>
      <c r="N10" s="5">
        <f t="shared" si="1"/>
        <v>59736263</v>
      </c>
      <c r="O10" s="5">
        <f t="shared" si="2"/>
        <v>445109.99065420561</v>
      </c>
      <c r="P10" s="5">
        <f t="shared" si="3"/>
        <v>237441.0588235294</v>
      </c>
      <c r="Q10" s="16" t="str">
        <f t="shared" si="4"/>
        <v/>
      </c>
    </row>
    <row r="11" spans="1:17" ht="21.75" customHeight="1" x14ac:dyDescent="0.2">
      <c r="A11" s="42">
        <v>46087</v>
      </c>
      <c r="B11" s="43" t="s">
        <v>443</v>
      </c>
      <c r="C11" s="40">
        <v>40839833</v>
      </c>
      <c r="D11" s="40">
        <v>94</v>
      </c>
      <c r="E11" s="40"/>
      <c r="F11" s="40"/>
      <c r="G11" s="40">
        <v>9344992</v>
      </c>
      <c r="H11" s="40">
        <v>6069008</v>
      </c>
      <c r="I11" s="40">
        <v>2407999</v>
      </c>
      <c r="J11" s="40">
        <v>60</v>
      </c>
      <c r="K11" s="40">
        <v>2216000</v>
      </c>
      <c r="L11" s="41"/>
      <c r="M11" s="5">
        <f t="shared" si="0"/>
        <v>17821999</v>
      </c>
      <c r="N11" s="5">
        <f t="shared" si="1"/>
        <v>58661832</v>
      </c>
      <c r="O11" s="5">
        <f t="shared" si="2"/>
        <v>434466.30851063831</v>
      </c>
      <c r="P11" s="5">
        <f t="shared" si="3"/>
        <v>297033.31666666665</v>
      </c>
      <c r="Q11" s="16" t="str">
        <f t="shared" si="4"/>
        <v/>
      </c>
    </row>
    <row r="12" spans="1:17" ht="21.75" customHeight="1" x14ac:dyDescent="0.2">
      <c r="A12" s="42">
        <v>46088</v>
      </c>
      <c r="B12" s="43" t="s">
        <v>444</v>
      </c>
      <c r="C12" s="40">
        <v>42800056</v>
      </c>
      <c r="D12" s="40">
        <v>114</v>
      </c>
      <c r="E12" s="40"/>
      <c r="F12" s="40"/>
      <c r="G12" s="40">
        <v>8931997</v>
      </c>
      <c r="H12" s="40">
        <v>7260495</v>
      </c>
      <c r="I12" s="40">
        <v>4003999</v>
      </c>
      <c r="J12" s="40">
        <v>77</v>
      </c>
      <c r="K12" s="40"/>
      <c r="L12" s="41"/>
      <c r="M12" s="5">
        <f t="shared" si="0"/>
        <v>20196491</v>
      </c>
      <c r="N12" s="5">
        <f t="shared" si="1"/>
        <v>62996547</v>
      </c>
      <c r="O12" s="5">
        <f t="shared" si="2"/>
        <v>375439.08771929826</v>
      </c>
      <c r="P12" s="5">
        <f t="shared" si="3"/>
        <v>262292.09090909088</v>
      </c>
      <c r="Q12" s="16" t="str">
        <f t="shared" si="4"/>
        <v/>
      </c>
    </row>
    <row r="13" spans="1:17" ht="21.75" customHeight="1" x14ac:dyDescent="0.2">
      <c r="A13" s="38">
        <v>46089</v>
      </c>
      <c r="B13" s="39" t="s">
        <v>445</v>
      </c>
      <c r="C13" s="40">
        <v>38141552</v>
      </c>
      <c r="D13" s="40">
        <v>82</v>
      </c>
      <c r="E13" s="40"/>
      <c r="F13" s="40"/>
      <c r="G13" s="40">
        <v>11466488</v>
      </c>
      <c r="H13" s="40">
        <v>6596498</v>
      </c>
      <c r="I13" s="40">
        <v>3452998</v>
      </c>
      <c r="J13" s="40">
        <v>74</v>
      </c>
      <c r="K13" s="40">
        <v>2384800</v>
      </c>
      <c r="L13" s="41"/>
      <c r="M13" s="5">
        <f t="shared" si="0"/>
        <v>21515984</v>
      </c>
      <c r="N13" s="5">
        <f t="shared" si="1"/>
        <v>59657536</v>
      </c>
      <c r="O13" s="5">
        <f t="shared" si="2"/>
        <v>465140.87804878049</v>
      </c>
      <c r="P13" s="5">
        <f t="shared" si="3"/>
        <v>290756.54054054053</v>
      </c>
      <c r="Q13" s="16" t="str">
        <f t="shared" si="4"/>
        <v/>
      </c>
    </row>
    <row r="14" spans="1:17" ht="21.75" customHeight="1" x14ac:dyDescent="0.2">
      <c r="A14" s="38">
        <v>46090</v>
      </c>
      <c r="B14" s="39" t="s">
        <v>439</v>
      </c>
      <c r="C14" s="40">
        <v>31013521</v>
      </c>
      <c r="D14" s="40">
        <v>68</v>
      </c>
      <c r="E14" s="40"/>
      <c r="F14" s="40"/>
      <c r="G14" s="40">
        <v>10078500</v>
      </c>
      <c r="H14" s="40">
        <v>3123000</v>
      </c>
      <c r="I14" s="40">
        <v>3096997</v>
      </c>
      <c r="J14" s="40">
        <v>52</v>
      </c>
      <c r="K14" s="40">
        <v>1828800</v>
      </c>
      <c r="L14" s="41"/>
      <c r="M14" s="5">
        <f t="shared" si="0"/>
        <v>16298497</v>
      </c>
      <c r="N14" s="5">
        <f t="shared" si="1"/>
        <v>47312018</v>
      </c>
      <c r="O14" s="5">
        <f t="shared" si="2"/>
        <v>456081.1911764706</v>
      </c>
      <c r="P14" s="5">
        <f t="shared" si="3"/>
        <v>313432.63461538462</v>
      </c>
      <c r="Q14" s="16" t="str">
        <f t="shared" si="4"/>
        <v/>
      </c>
    </row>
    <row r="15" spans="1:17" ht="21.75" customHeight="1" x14ac:dyDescent="0.2">
      <c r="A15" s="38">
        <v>46091</v>
      </c>
      <c r="B15" s="39" t="s">
        <v>440</v>
      </c>
      <c r="C15" s="40">
        <v>44979283</v>
      </c>
      <c r="D15" s="40">
        <v>95</v>
      </c>
      <c r="E15" s="40"/>
      <c r="F15" s="40"/>
      <c r="G15" s="40">
        <v>5408995</v>
      </c>
      <c r="H15" s="40">
        <v>5076500</v>
      </c>
      <c r="I15" s="40">
        <v>2800999</v>
      </c>
      <c r="J15" s="40">
        <v>37</v>
      </c>
      <c r="K15" s="40">
        <v>350000</v>
      </c>
      <c r="L15" s="41"/>
      <c r="M15" s="5">
        <f t="shared" si="0"/>
        <v>13286494</v>
      </c>
      <c r="N15" s="5">
        <f t="shared" si="1"/>
        <v>58265777</v>
      </c>
      <c r="O15" s="5">
        <f t="shared" si="2"/>
        <v>473466.13684210525</v>
      </c>
      <c r="P15" s="5">
        <f t="shared" si="3"/>
        <v>359094.43243243243</v>
      </c>
      <c r="Q15" s="16" t="str">
        <f t="shared" si="4"/>
        <v/>
      </c>
    </row>
    <row r="16" spans="1:17" ht="21.75" customHeight="1" x14ac:dyDescent="0.2">
      <c r="A16" s="38">
        <v>46092</v>
      </c>
      <c r="B16" s="39" t="s">
        <v>441</v>
      </c>
      <c r="C16" s="40">
        <v>53629033</v>
      </c>
      <c r="D16" s="40">
        <v>95</v>
      </c>
      <c r="E16" s="40"/>
      <c r="F16" s="40"/>
      <c r="G16" s="40">
        <v>6608247</v>
      </c>
      <c r="H16" s="40">
        <v>4589999</v>
      </c>
      <c r="I16" s="40">
        <v>4680499</v>
      </c>
      <c r="J16" s="40">
        <v>55</v>
      </c>
      <c r="K16" s="40">
        <v>9147514</v>
      </c>
      <c r="L16" s="41"/>
      <c r="M16" s="5">
        <f t="shared" si="0"/>
        <v>15878745</v>
      </c>
      <c r="N16" s="5">
        <f t="shared" si="1"/>
        <v>69507778</v>
      </c>
      <c r="O16" s="5">
        <f t="shared" si="2"/>
        <v>564516.1368421053</v>
      </c>
      <c r="P16" s="5">
        <f t="shared" si="3"/>
        <v>288704.45454545453</v>
      </c>
      <c r="Q16" s="16" t="str">
        <f t="shared" si="4"/>
        <v/>
      </c>
    </row>
    <row r="17" spans="1:17" ht="21.75" customHeight="1" x14ac:dyDescent="0.2">
      <c r="A17" s="38">
        <v>46093</v>
      </c>
      <c r="B17" s="39" t="s">
        <v>442</v>
      </c>
      <c r="C17" s="40">
        <v>46018140</v>
      </c>
      <c r="D17" s="40">
        <v>94</v>
      </c>
      <c r="E17" s="40"/>
      <c r="F17" s="40"/>
      <c r="G17" s="40">
        <v>9706243</v>
      </c>
      <c r="H17" s="40">
        <v>5519003</v>
      </c>
      <c r="I17" s="40">
        <v>3539000</v>
      </c>
      <c r="J17" s="40">
        <v>56</v>
      </c>
      <c r="K17" s="40">
        <v>2560000</v>
      </c>
      <c r="L17" s="41"/>
      <c r="M17" s="5">
        <f t="shared" si="0"/>
        <v>18764246</v>
      </c>
      <c r="N17" s="5">
        <f t="shared" si="1"/>
        <v>64782386</v>
      </c>
      <c r="O17" s="5">
        <f t="shared" si="2"/>
        <v>489554.68085106381</v>
      </c>
      <c r="P17" s="5">
        <f t="shared" si="3"/>
        <v>335075.82142857142</v>
      </c>
      <c r="Q17" s="16" t="str">
        <f t="shared" si="4"/>
        <v/>
      </c>
    </row>
    <row r="18" spans="1:17" ht="21.75" customHeight="1" x14ac:dyDescent="0.2">
      <c r="A18" s="42">
        <v>46094</v>
      </c>
      <c r="B18" s="43" t="s">
        <v>443</v>
      </c>
      <c r="C18" s="40">
        <v>38548805</v>
      </c>
      <c r="D18" s="40">
        <v>89</v>
      </c>
      <c r="E18" s="40"/>
      <c r="F18" s="40"/>
      <c r="G18" s="40">
        <v>1657999</v>
      </c>
      <c r="H18" s="40">
        <v>718999</v>
      </c>
      <c r="I18" s="40">
        <v>1138998</v>
      </c>
      <c r="J18" s="40">
        <v>16</v>
      </c>
      <c r="K18" s="40"/>
      <c r="L18" s="41"/>
      <c r="M18" s="5">
        <f t="shared" si="0"/>
        <v>3515996</v>
      </c>
      <c r="N18" s="5">
        <f t="shared" si="1"/>
        <v>42064801</v>
      </c>
      <c r="O18" s="5">
        <f t="shared" si="2"/>
        <v>433132.64044943819</v>
      </c>
      <c r="P18" s="5">
        <f t="shared" si="3"/>
        <v>219749.75</v>
      </c>
      <c r="Q18" s="16" t="str">
        <f t="shared" si="4"/>
        <v/>
      </c>
    </row>
    <row r="19" spans="1:17" ht="21.75" customHeight="1" x14ac:dyDescent="0.2">
      <c r="A19" s="42">
        <v>46095</v>
      </c>
      <c r="B19" s="43" t="s">
        <v>444</v>
      </c>
      <c r="C19" s="40">
        <v>40389541</v>
      </c>
      <c r="D19" s="40">
        <v>93</v>
      </c>
      <c r="E19" s="40"/>
      <c r="F19" s="40"/>
      <c r="G19" s="40">
        <v>14086997</v>
      </c>
      <c r="H19" s="40">
        <v>9660998</v>
      </c>
      <c r="I19" s="40">
        <v>9783992</v>
      </c>
      <c r="J19" s="40">
        <v>104</v>
      </c>
      <c r="K19" s="40">
        <v>685714</v>
      </c>
      <c r="L19" s="41"/>
      <c r="M19" s="5">
        <f t="shared" si="0"/>
        <v>33531987</v>
      </c>
      <c r="N19" s="5">
        <f t="shared" si="1"/>
        <v>73921528</v>
      </c>
      <c r="O19" s="5">
        <f t="shared" si="2"/>
        <v>434296.13978494622</v>
      </c>
      <c r="P19" s="5">
        <f t="shared" si="3"/>
        <v>322422.95192307694</v>
      </c>
      <c r="Q19" s="16" t="str">
        <f t="shared" si="4"/>
        <v/>
      </c>
    </row>
    <row r="20" spans="1:17" ht="21.75" customHeight="1" x14ac:dyDescent="0.2">
      <c r="A20" s="38">
        <v>46096</v>
      </c>
      <c r="B20" s="39" t="s">
        <v>445</v>
      </c>
      <c r="C20" s="40">
        <v>27618269</v>
      </c>
      <c r="D20" s="40">
        <v>71</v>
      </c>
      <c r="E20" s="40"/>
      <c r="F20" s="40"/>
      <c r="G20" s="40">
        <v>9106001</v>
      </c>
      <c r="H20" s="40">
        <v>5302249</v>
      </c>
      <c r="I20" s="40">
        <v>5098995</v>
      </c>
      <c r="J20" s="40">
        <v>69</v>
      </c>
      <c r="K20" s="40">
        <v>650000</v>
      </c>
      <c r="L20" s="41"/>
      <c r="M20" s="5">
        <f t="shared" si="0"/>
        <v>19507245</v>
      </c>
      <c r="N20" s="5">
        <f t="shared" si="1"/>
        <v>47125514</v>
      </c>
      <c r="O20" s="5">
        <f t="shared" si="2"/>
        <v>388989.70422535209</v>
      </c>
      <c r="P20" s="5">
        <f t="shared" si="3"/>
        <v>282713.69565217389</v>
      </c>
      <c r="Q20" s="16" t="str">
        <f t="shared" si="4"/>
        <v/>
      </c>
    </row>
    <row r="21" spans="1:17" ht="21.75" customHeight="1" x14ac:dyDescent="0.2">
      <c r="A21" s="38">
        <v>46097</v>
      </c>
      <c r="B21" s="39" t="s">
        <v>439</v>
      </c>
      <c r="C21" s="40">
        <v>42973319</v>
      </c>
      <c r="D21" s="40">
        <v>97</v>
      </c>
      <c r="E21" s="40"/>
      <c r="F21" s="40"/>
      <c r="G21" s="40">
        <v>10416490</v>
      </c>
      <c r="H21" s="40">
        <v>4095997</v>
      </c>
      <c r="I21" s="40">
        <v>3743998</v>
      </c>
      <c r="J21" s="40">
        <v>50</v>
      </c>
      <c r="K21" s="40">
        <v>753600</v>
      </c>
      <c r="L21" s="41"/>
      <c r="M21" s="5">
        <f t="shared" si="0"/>
        <v>18256485</v>
      </c>
      <c r="N21" s="5">
        <f t="shared" si="1"/>
        <v>61229804</v>
      </c>
      <c r="O21" s="5">
        <f t="shared" si="2"/>
        <v>443023.90721649484</v>
      </c>
      <c r="P21" s="5">
        <f t="shared" si="3"/>
        <v>365129.7</v>
      </c>
      <c r="Q21" s="16" t="str">
        <f t="shared" si="4"/>
        <v/>
      </c>
    </row>
    <row r="22" spans="1:17" ht="21.75" customHeight="1" x14ac:dyDescent="0.2">
      <c r="A22" s="38">
        <v>46098</v>
      </c>
      <c r="B22" s="39" t="s">
        <v>440</v>
      </c>
      <c r="C22" s="40">
        <v>37340768</v>
      </c>
      <c r="D22" s="40">
        <v>86</v>
      </c>
      <c r="E22" s="40"/>
      <c r="F22" s="40"/>
      <c r="G22" s="40">
        <v>8597098</v>
      </c>
      <c r="H22" s="40">
        <v>5075498</v>
      </c>
      <c r="I22" s="40">
        <v>2844401</v>
      </c>
      <c r="J22" s="40">
        <v>54</v>
      </c>
      <c r="K22" s="40">
        <v>1028800</v>
      </c>
      <c r="L22" s="41"/>
      <c r="M22" s="5">
        <f t="shared" si="0"/>
        <v>16516997</v>
      </c>
      <c r="N22" s="5">
        <f t="shared" si="1"/>
        <v>53857765</v>
      </c>
      <c r="O22" s="5">
        <f t="shared" si="2"/>
        <v>434194.97674418607</v>
      </c>
      <c r="P22" s="5">
        <f t="shared" si="3"/>
        <v>305870.31481481483</v>
      </c>
      <c r="Q22" s="16" t="str">
        <f t="shared" si="4"/>
        <v/>
      </c>
    </row>
    <row r="23" spans="1:17" ht="21.75" customHeight="1" x14ac:dyDescent="0.2">
      <c r="A23" s="38">
        <v>46099</v>
      </c>
      <c r="B23" s="39" t="s">
        <v>441</v>
      </c>
      <c r="C23" s="40">
        <v>49750237</v>
      </c>
      <c r="D23" s="40">
        <v>91</v>
      </c>
      <c r="E23" s="40"/>
      <c r="F23" s="40"/>
      <c r="G23" s="40">
        <v>6939454</v>
      </c>
      <c r="H23" s="40">
        <v>5695006</v>
      </c>
      <c r="I23" s="40">
        <v>5374996</v>
      </c>
      <c r="J23" s="40">
        <v>67</v>
      </c>
      <c r="K23" s="40">
        <v>2562422</v>
      </c>
      <c r="L23" s="41"/>
      <c r="M23" s="5">
        <f t="shared" si="0"/>
        <v>18009456</v>
      </c>
      <c r="N23" s="5">
        <f t="shared" si="1"/>
        <v>67759693</v>
      </c>
      <c r="O23" s="5">
        <f t="shared" si="2"/>
        <v>546705.90109890106</v>
      </c>
      <c r="P23" s="5">
        <f t="shared" si="3"/>
        <v>268797.85074626864</v>
      </c>
      <c r="Q23" s="16" t="str">
        <f t="shared" si="4"/>
        <v/>
      </c>
    </row>
    <row r="24" spans="1:17" ht="21.75" customHeight="1" x14ac:dyDescent="0.2">
      <c r="A24" s="38">
        <v>46100</v>
      </c>
      <c r="B24" s="39" t="s">
        <v>442</v>
      </c>
      <c r="C24" s="40">
        <v>44649969</v>
      </c>
      <c r="D24" s="40">
        <v>103</v>
      </c>
      <c r="E24" s="40"/>
      <c r="F24" s="40"/>
      <c r="G24" s="40">
        <v>12270609</v>
      </c>
      <c r="H24" s="40">
        <v>3460601</v>
      </c>
      <c r="I24" s="40">
        <v>5612996</v>
      </c>
      <c r="J24" s="40">
        <v>80</v>
      </c>
      <c r="K24" s="40">
        <v>753600</v>
      </c>
      <c r="L24" s="41"/>
      <c r="M24" s="5">
        <f t="shared" si="0"/>
        <v>21344206</v>
      </c>
      <c r="N24" s="5">
        <f t="shared" si="1"/>
        <v>65994175</v>
      </c>
      <c r="O24" s="5">
        <f t="shared" si="2"/>
        <v>433494.84466019418</v>
      </c>
      <c r="P24" s="5">
        <f t="shared" si="3"/>
        <v>266802.57500000001</v>
      </c>
      <c r="Q24" s="16" t="str">
        <f t="shared" si="4"/>
        <v/>
      </c>
    </row>
    <row r="25" spans="1:17" ht="21.75" customHeight="1" x14ac:dyDescent="0.2">
      <c r="A25" s="42">
        <v>46101</v>
      </c>
      <c r="B25" s="43" t="s">
        <v>443</v>
      </c>
      <c r="C25" s="40">
        <v>40171282</v>
      </c>
      <c r="D25" s="40">
        <v>107</v>
      </c>
      <c r="E25" s="40"/>
      <c r="F25" s="40"/>
      <c r="G25" s="40">
        <v>14094198</v>
      </c>
      <c r="H25" s="40">
        <v>4200001</v>
      </c>
      <c r="I25" s="40">
        <v>4273997</v>
      </c>
      <c r="J25" s="40">
        <v>87</v>
      </c>
      <c r="K25" s="40">
        <v>1028800</v>
      </c>
      <c r="L25" s="41"/>
      <c r="M25" s="5">
        <f t="shared" si="0"/>
        <v>22568196</v>
      </c>
      <c r="N25" s="5">
        <f t="shared" si="1"/>
        <v>62739478</v>
      </c>
      <c r="O25" s="5">
        <f t="shared" si="2"/>
        <v>375432.54205607477</v>
      </c>
      <c r="P25" s="5">
        <f t="shared" si="3"/>
        <v>259404.55172413794</v>
      </c>
      <c r="Q25" s="16" t="str">
        <f t="shared" si="4"/>
        <v/>
      </c>
    </row>
    <row r="26" spans="1:17" ht="21.75" customHeight="1" x14ac:dyDescent="0.2">
      <c r="A26" s="42">
        <v>46102</v>
      </c>
      <c r="B26" s="43" t="s">
        <v>444</v>
      </c>
      <c r="C26" s="40">
        <v>36058674</v>
      </c>
      <c r="D26" s="40">
        <v>90</v>
      </c>
      <c r="E26" s="40"/>
      <c r="F26" s="40"/>
      <c r="G26" s="40">
        <v>15665952</v>
      </c>
      <c r="H26" s="40">
        <v>8029245</v>
      </c>
      <c r="I26" s="40">
        <v>5706000</v>
      </c>
      <c r="J26" s="40">
        <v>92</v>
      </c>
      <c r="K26" s="40">
        <v>1828800</v>
      </c>
      <c r="L26" s="41"/>
      <c r="M26" s="5">
        <f t="shared" si="0"/>
        <v>29401197</v>
      </c>
      <c r="N26" s="5">
        <f t="shared" si="1"/>
        <v>65459871</v>
      </c>
      <c r="O26" s="5">
        <f t="shared" si="2"/>
        <v>400651.93333333335</v>
      </c>
      <c r="P26" s="5">
        <f t="shared" si="3"/>
        <v>319578.22826086957</v>
      </c>
      <c r="Q26" s="16" t="str">
        <f t="shared" si="4"/>
        <v/>
      </c>
    </row>
    <row r="27" spans="1:17" ht="21.75" customHeight="1" x14ac:dyDescent="0.2">
      <c r="A27" s="38">
        <v>46103</v>
      </c>
      <c r="B27" s="39" t="s">
        <v>445</v>
      </c>
      <c r="C27" s="40">
        <v>40342598</v>
      </c>
      <c r="D27" s="40">
        <v>91</v>
      </c>
      <c r="E27" s="40"/>
      <c r="F27" s="40"/>
      <c r="G27" s="40">
        <v>7018503</v>
      </c>
      <c r="H27" s="40">
        <v>5320001</v>
      </c>
      <c r="I27" s="40">
        <v>5124399</v>
      </c>
      <c r="J27" s="40">
        <v>59</v>
      </c>
      <c r="K27" s="40">
        <v>753600</v>
      </c>
      <c r="L27" s="41"/>
      <c r="M27" s="5">
        <f t="shared" si="0"/>
        <v>17462903</v>
      </c>
      <c r="N27" s="5">
        <f t="shared" si="1"/>
        <v>57805501</v>
      </c>
      <c r="O27" s="5">
        <f t="shared" si="2"/>
        <v>443325.25274725276</v>
      </c>
      <c r="P27" s="5">
        <f t="shared" si="3"/>
        <v>295981.40677966102</v>
      </c>
      <c r="Q27" s="16" t="str">
        <f t="shared" si="4"/>
        <v/>
      </c>
    </row>
    <row r="28" spans="1:17" ht="21.75" customHeight="1" x14ac:dyDescent="0.2">
      <c r="A28" s="38">
        <v>46104</v>
      </c>
      <c r="B28" s="39" t="s">
        <v>439</v>
      </c>
      <c r="C28" s="40">
        <v>32734522</v>
      </c>
      <c r="D28" s="40">
        <v>72</v>
      </c>
      <c r="E28" s="40"/>
      <c r="F28" s="40"/>
      <c r="G28" s="40">
        <v>7536000</v>
      </c>
      <c r="H28" s="40">
        <v>1725001</v>
      </c>
      <c r="I28" s="40">
        <v>2832001</v>
      </c>
      <c r="J28" s="40">
        <v>44</v>
      </c>
      <c r="K28" s="40">
        <v>2704990</v>
      </c>
      <c r="L28" s="41"/>
      <c r="M28" s="5">
        <f t="shared" si="0"/>
        <v>12093002</v>
      </c>
      <c r="N28" s="5">
        <f t="shared" si="1"/>
        <v>44827524</v>
      </c>
      <c r="O28" s="5">
        <f t="shared" si="2"/>
        <v>454646.13888888888</v>
      </c>
      <c r="P28" s="5">
        <f t="shared" si="3"/>
        <v>274840.95454545453</v>
      </c>
      <c r="Q28" s="16" t="str">
        <f t="shared" si="4"/>
        <v/>
      </c>
    </row>
    <row r="29" spans="1:17" ht="21.75" customHeight="1" x14ac:dyDescent="0.2">
      <c r="A29" s="38">
        <v>46105</v>
      </c>
      <c r="B29" s="39" t="s">
        <v>440</v>
      </c>
      <c r="C29" s="40">
        <v>45000217</v>
      </c>
      <c r="D29" s="40">
        <v>85</v>
      </c>
      <c r="E29" s="40"/>
      <c r="F29" s="40"/>
      <c r="G29" s="40">
        <v>6024098</v>
      </c>
      <c r="H29" s="40">
        <v>5339497</v>
      </c>
      <c r="I29" s="40">
        <v>1928248</v>
      </c>
      <c r="J29" s="40">
        <v>53</v>
      </c>
      <c r="K29" s="40">
        <v>2908859</v>
      </c>
      <c r="L29" s="41"/>
      <c r="M29" s="5">
        <f t="shared" si="0"/>
        <v>13291843</v>
      </c>
      <c r="N29" s="5">
        <f t="shared" si="1"/>
        <v>58292060</v>
      </c>
      <c r="O29" s="5">
        <f t="shared" si="2"/>
        <v>529414.31764705887</v>
      </c>
      <c r="P29" s="5">
        <f t="shared" si="3"/>
        <v>250789.49056603774</v>
      </c>
      <c r="Q29" s="16" t="str">
        <f t="shared" si="4"/>
        <v/>
      </c>
    </row>
    <row r="30" spans="1:17" ht="21.75" customHeight="1" x14ac:dyDescent="0.2">
      <c r="A30" s="38">
        <v>46106</v>
      </c>
      <c r="B30" s="39" t="s">
        <v>441</v>
      </c>
      <c r="C30" s="40">
        <v>39552441</v>
      </c>
      <c r="D30" s="40">
        <v>98</v>
      </c>
      <c r="E30" s="40"/>
      <c r="F30" s="40"/>
      <c r="G30" s="40">
        <v>6722504</v>
      </c>
      <c r="H30" s="40">
        <v>4296719</v>
      </c>
      <c r="I30" s="40">
        <v>4241003</v>
      </c>
      <c r="J30" s="40">
        <v>54</v>
      </c>
      <c r="K30" s="40">
        <v>3770972</v>
      </c>
      <c r="L30" s="41"/>
      <c r="M30" s="5">
        <f t="shared" si="0"/>
        <v>15260226</v>
      </c>
      <c r="N30" s="5">
        <f t="shared" si="1"/>
        <v>54812667</v>
      </c>
      <c r="O30" s="5">
        <f t="shared" si="2"/>
        <v>403596.3367346939</v>
      </c>
      <c r="P30" s="5">
        <f t="shared" si="3"/>
        <v>282596.77777777775</v>
      </c>
      <c r="Q30" s="16" t="str">
        <f t="shared" si="4"/>
        <v/>
      </c>
    </row>
    <row r="31" spans="1:17" ht="21.75" customHeight="1" x14ac:dyDescent="0.2">
      <c r="A31" s="38">
        <v>46107</v>
      </c>
      <c r="B31" s="39" t="s">
        <v>442</v>
      </c>
      <c r="C31" s="40">
        <v>40509109</v>
      </c>
      <c r="D31" s="40">
        <v>103</v>
      </c>
      <c r="E31" s="40"/>
      <c r="F31" s="40"/>
      <c r="G31" s="40">
        <v>8690154</v>
      </c>
      <c r="H31" s="40">
        <v>6081899</v>
      </c>
      <c r="I31" s="40">
        <v>3386997</v>
      </c>
      <c r="J31" s="40">
        <v>63</v>
      </c>
      <c r="K31" s="40">
        <v>1445466</v>
      </c>
      <c r="L31" s="41"/>
      <c r="M31" s="5">
        <f t="shared" si="0"/>
        <v>18159050</v>
      </c>
      <c r="N31" s="5">
        <f t="shared" si="1"/>
        <v>58668159</v>
      </c>
      <c r="O31" s="5">
        <f t="shared" si="2"/>
        <v>393292.32038834953</v>
      </c>
      <c r="P31" s="5">
        <f t="shared" si="3"/>
        <v>288238.88888888888</v>
      </c>
      <c r="Q31" s="16" t="str">
        <f t="shared" si="4"/>
        <v/>
      </c>
    </row>
    <row r="32" spans="1:17" ht="21.75" customHeight="1" x14ac:dyDescent="0.2">
      <c r="A32" s="42">
        <v>46108</v>
      </c>
      <c r="B32" s="43" t="s">
        <v>443</v>
      </c>
      <c r="C32" s="40">
        <v>32768011</v>
      </c>
      <c r="D32" s="40">
        <v>88</v>
      </c>
      <c r="E32" s="40"/>
      <c r="F32" s="40"/>
      <c r="G32" s="40">
        <v>6261846</v>
      </c>
      <c r="H32" s="40">
        <v>9076846</v>
      </c>
      <c r="I32" s="40">
        <v>3529798</v>
      </c>
      <c r="J32" s="40">
        <v>75</v>
      </c>
      <c r="K32" s="40"/>
      <c r="L32" s="41"/>
      <c r="M32" s="5">
        <f t="shared" si="0"/>
        <v>18868490</v>
      </c>
      <c r="N32" s="5">
        <f t="shared" si="1"/>
        <v>51636501</v>
      </c>
      <c r="O32" s="5">
        <f t="shared" si="2"/>
        <v>372363.76136363635</v>
      </c>
      <c r="P32" s="5">
        <f t="shared" si="3"/>
        <v>251579.86666666667</v>
      </c>
      <c r="Q32" s="16" t="str">
        <f t="shared" si="4"/>
        <v/>
      </c>
    </row>
    <row r="33" spans="1:17" ht="21.75" customHeight="1" x14ac:dyDescent="0.2">
      <c r="A33" s="42">
        <v>46109</v>
      </c>
      <c r="B33" s="43" t="s">
        <v>444</v>
      </c>
      <c r="C33" s="40">
        <v>36169902</v>
      </c>
      <c r="D33" s="40">
        <v>92</v>
      </c>
      <c r="E33" s="40"/>
      <c r="F33" s="40"/>
      <c r="G33" s="40">
        <v>11611618</v>
      </c>
      <c r="H33" s="40">
        <v>5503352</v>
      </c>
      <c r="I33" s="40">
        <v>6679400</v>
      </c>
      <c r="J33" s="40">
        <v>90</v>
      </c>
      <c r="K33" s="40">
        <v>1002519</v>
      </c>
      <c r="L33" s="41"/>
      <c r="M33" s="5">
        <f t="shared" si="0"/>
        <v>23794370</v>
      </c>
      <c r="N33" s="5">
        <f t="shared" si="1"/>
        <v>59964272</v>
      </c>
      <c r="O33" s="5">
        <f t="shared" si="2"/>
        <v>393151.10869565216</v>
      </c>
      <c r="P33" s="5">
        <f t="shared" si="3"/>
        <v>264381.88888888888</v>
      </c>
      <c r="Q33" s="16" t="str">
        <f t="shared" si="4"/>
        <v/>
      </c>
    </row>
    <row r="34" spans="1:17" ht="21.75" customHeight="1" x14ac:dyDescent="0.2">
      <c r="A34" s="38">
        <v>46110</v>
      </c>
      <c r="B34" s="39" t="s">
        <v>445</v>
      </c>
      <c r="C34" s="40">
        <v>32717538</v>
      </c>
      <c r="D34" s="40">
        <v>88</v>
      </c>
      <c r="E34" s="40"/>
      <c r="F34" s="40"/>
      <c r="G34" s="40">
        <v>9748599</v>
      </c>
      <c r="H34" s="40">
        <v>1635001</v>
      </c>
      <c r="I34" s="40">
        <v>4957501</v>
      </c>
      <c r="J34" s="40">
        <v>53</v>
      </c>
      <c r="K34" s="40">
        <v>324074</v>
      </c>
      <c r="L34" s="41"/>
      <c r="M34" s="5">
        <f t="shared" si="0"/>
        <v>16341101</v>
      </c>
      <c r="N34" s="5">
        <f t="shared" si="1"/>
        <v>49058639</v>
      </c>
      <c r="O34" s="5">
        <f t="shared" si="2"/>
        <v>371790.20454545453</v>
      </c>
      <c r="P34" s="5">
        <f t="shared" si="3"/>
        <v>308322.66037735849</v>
      </c>
      <c r="Q34" s="16" t="str">
        <f t="shared" si="4"/>
        <v/>
      </c>
    </row>
    <row r="35" spans="1:17" ht="21.75" customHeight="1" x14ac:dyDescent="0.2">
      <c r="A35" s="38">
        <v>46111</v>
      </c>
      <c r="B35" s="39" t="s">
        <v>439</v>
      </c>
      <c r="C35" s="40">
        <v>43893635</v>
      </c>
      <c r="D35" s="40">
        <v>77</v>
      </c>
      <c r="E35" s="40"/>
      <c r="F35" s="40"/>
      <c r="G35" s="40">
        <v>8328011</v>
      </c>
      <c r="H35" s="40">
        <v>2753502</v>
      </c>
      <c r="I35" s="40">
        <v>2520998</v>
      </c>
      <c r="J35" s="40">
        <v>41</v>
      </c>
      <c r="K35" s="40">
        <v>2331096</v>
      </c>
      <c r="L35" s="41"/>
      <c r="M35" s="5">
        <f t="shared" si="0"/>
        <v>13602511</v>
      </c>
      <c r="N35" s="5">
        <f t="shared" si="1"/>
        <v>57496146</v>
      </c>
      <c r="O35" s="5">
        <f t="shared" si="2"/>
        <v>570047.20779220783</v>
      </c>
      <c r="P35" s="5">
        <f t="shared" si="3"/>
        <v>331768.56097560975</v>
      </c>
      <c r="Q35" s="16" t="str">
        <f t="shared" si="4"/>
        <v/>
      </c>
    </row>
    <row r="36" spans="1:17" ht="18.75" customHeight="1" x14ac:dyDescent="0.2">
      <c r="A36" s="105">
        <v>46112</v>
      </c>
      <c r="B36" t="s">
        <v>440</v>
      </c>
      <c r="C36">
        <v>40705585</v>
      </c>
      <c r="D36">
        <v>85</v>
      </c>
      <c r="G36">
        <v>7614002</v>
      </c>
      <c r="H36">
        <v>4194254</v>
      </c>
      <c r="I36">
        <v>5027753</v>
      </c>
      <c r="J36">
        <v>47</v>
      </c>
      <c r="K36">
        <v>643000</v>
      </c>
      <c r="M36">
        <f t="shared" si="0"/>
        <v>16836009</v>
      </c>
      <c r="N36">
        <f t="shared" si="1"/>
        <v>57541594</v>
      </c>
      <c r="O36">
        <f t="shared" si="2"/>
        <v>478889.23529411765</v>
      </c>
      <c r="P36">
        <f t="shared" si="3"/>
        <v>358212.95744680852</v>
      </c>
      <c r="Q36" t="str">
        <f t="shared" si="4"/>
        <v/>
      </c>
    </row>
    <row r="37" spans="1:17" ht="18.75" customHeight="1" x14ac:dyDescent="0.2"/>
    <row r="38" spans="1:17" ht="18.75" customHeight="1" x14ac:dyDescent="0.2"/>
    <row r="39" spans="1:17" ht="18.75" customHeight="1" x14ac:dyDescent="0.2"/>
    <row r="40" spans="1:17" ht="18.75" customHeight="1" x14ac:dyDescent="0.2"/>
    <row r="41" spans="1:17" ht="18.75" customHeight="1" x14ac:dyDescent="0.2"/>
    <row r="42" spans="1:17" ht="18.75" customHeight="1" x14ac:dyDescent="0.2"/>
    <row r="43" spans="1:17" ht="18.75" customHeight="1" x14ac:dyDescent="0.2"/>
    <row r="44" spans="1:17" ht="18.75" customHeight="1" x14ac:dyDescent="0.2"/>
    <row r="45" spans="1:17" ht="18.75" customHeight="1" x14ac:dyDescent="0.2"/>
    <row r="46" spans="1:17" ht="18.75" customHeight="1" x14ac:dyDescent="0.2"/>
    <row r="47" spans="1:17" ht="18.75" customHeight="1" x14ac:dyDescent="0.2"/>
    <row r="48" spans="1:17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9">
    <mergeCell ref="A1:Q1"/>
    <mergeCell ref="E3:F3"/>
    <mergeCell ref="O3:P3"/>
    <mergeCell ref="G3:J3"/>
    <mergeCell ref="A5:B5"/>
    <mergeCell ref="A2:Q2"/>
    <mergeCell ref="M3:N3"/>
    <mergeCell ref="C3:D3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Q200"/>
  <sheetViews>
    <sheetView workbookViewId="0"/>
  </sheetViews>
  <sheetFormatPr baseColWidth="10" defaultColWidth="14" defaultRowHeight="14" x14ac:dyDescent="0.2"/>
  <cols>
    <col min="1" max="1" width="15" customWidth="1"/>
    <col min="2" max="2" width="6" customWidth="1"/>
    <col min="3" max="3" width="19" customWidth="1"/>
    <col min="4" max="4" width="11" customWidth="1"/>
    <col min="5" max="5" width="15" customWidth="1"/>
    <col min="6" max="9" width="17" customWidth="1"/>
    <col min="10" max="10" width="12" customWidth="1"/>
    <col min="11" max="11" width="16" customWidth="1"/>
    <col min="12" max="12" width="27" customWidth="1"/>
    <col min="13" max="14" width="18" customWidth="1"/>
    <col min="15" max="16" width="15" customWidth="1"/>
    <col min="17" max="17" width="12" customWidth="1"/>
    <col min="18" max="20" width="11" customWidth="1"/>
  </cols>
  <sheetData>
    <row r="1" spans="1:17" ht="33" customHeight="1" x14ac:dyDescent="0.2">
      <c r="A1" s="158" t="s">
        <v>452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1.75" customHeight="1" x14ac:dyDescent="0.2">
      <c r="A2" s="146" t="s">
        <v>412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.75" customHeight="1" x14ac:dyDescent="0.2">
      <c r="A3" s="157" t="s">
        <v>413</v>
      </c>
      <c r="B3" s="143"/>
      <c r="C3" s="156" t="s">
        <v>414</v>
      </c>
      <c r="D3" s="143"/>
      <c r="E3" s="159" t="s">
        <v>415</v>
      </c>
      <c r="F3" s="143"/>
      <c r="G3" s="154" t="s">
        <v>416</v>
      </c>
      <c r="H3" s="143"/>
      <c r="I3" s="143"/>
      <c r="J3" s="143"/>
      <c r="K3" s="22" t="s">
        <v>417</v>
      </c>
      <c r="L3" s="23" t="s">
        <v>418</v>
      </c>
      <c r="M3" s="153" t="s">
        <v>419</v>
      </c>
      <c r="N3" s="143"/>
      <c r="O3" s="153" t="s">
        <v>419</v>
      </c>
      <c r="P3" s="143"/>
      <c r="Q3" s="24" t="s">
        <v>420</v>
      </c>
    </row>
    <row r="4" spans="1:17" ht="36" customHeight="1" x14ac:dyDescent="0.2">
      <c r="A4" s="25" t="s">
        <v>421</v>
      </c>
      <c r="B4" s="25" t="s">
        <v>422</v>
      </c>
      <c r="C4" s="26" t="s">
        <v>423</v>
      </c>
      <c r="D4" s="26" t="s">
        <v>424</v>
      </c>
      <c r="E4" s="27" t="s">
        <v>425</v>
      </c>
      <c r="F4" s="27" t="s">
        <v>426</v>
      </c>
      <c r="G4" s="28" t="s">
        <v>427</v>
      </c>
      <c r="H4" s="28" t="s">
        <v>428</v>
      </c>
      <c r="I4" s="28" t="s">
        <v>429</v>
      </c>
      <c r="J4" s="28" t="s">
        <v>430</v>
      </c>
      <c r="K4" s="29" t="s">
        <v>431</v>
      </c>
      <c r="L4" s="30" t="s">
        <v>432</v>
      </c>
      <c r="M4" s="31" t="s">
        <v>433</v>
      </c>
      <c r="N4" s="31" t="s">
        <v>434</v>
      </c>
      <c r="O4" s="31" t="s">
        <v>435</v>
      </c>
      <c r="P4" s="31" t="s">
        <v>436</v>
      </c>
      <c r="Q4" s="31" t="s">
        <v>437</v>
      </c>
    </row>
    <row r="5" spans="1:17" ht="21.75" customHeight="1" x14ac:dyDescent="0.2">
      <c r="A5" s="155" t="s">
        <v>438</v>
      </c>
      <c r="B5" s="143"/>
      <c r="C5" s="32"/>
      <c r="D5" s="33"/>
      <c r="E5" s="33"/>
      <c r="F5" s="33"/>
      <c r="G5" s="34"/>
      <c r="H5" s="34"/>
      <c r="I5" s="34"/>
      <c r="J5" s="33"/>
      <c r="K5" s="33"/>
      <c r="L5" s="33"/>
      <c r="M5" s="35"/>
      <c r="N5" s="35"/>
      <c r="O5" s="36"/>
      <c r="P5" s="36"/>
      <c r="Q5" s="37"/>
    </row>
    <row r="6" spans="1:17" ht="21.75" customHeight="1" x14ac:dyDescent="0.2">
      <c r="A6" s="38">
        <v>46113</v>
      </c>
      <c r="B6" s="39" t="s">
        <v>441</v>
      </c>
      <c r="C6" s="40">
        <v>30806965</v>
      </c>
      <c r="D6" s="40">
        <v>72</v>
      </c>
      <c r="E6" s="40"/>
      <c r="F6" s="40"/>
      <c r="G6" s="40">
        <v>9022459</v>
      </c>
      <c r="H6" s="40">
        <v>2192253</v>
      </c>
      <c r="I6" s="40">
        <v>2027501</v>
      </c>
      <c r="J6" s="40">
        <v>43</v>
      </c>
      <c r="K6" s="40">
        <v>1715200</v>
      </c>
      <c r="L6" s="41"/>
      <c r="M6" s="5">
        <f t="shared" ref="M6:M35" si="0">IF(SUM(G6:I6)&gt;0,SUM(G6:I6),"")</f>
        <v>13242213</v>
      </c>
      <c r="N6" s="5">
        <f t="shared" ref="N6:N35" si="1">IF(N(C6)+N(M6)&gt;0,N(C6)+N(M6),"")</f>
        <v>44049178</v>
      </c>
      <c r="O6" s="5">
        <f t="shared" ref="O6:O35" si="2">IFERROR(IF(D6&gt;0,C6/D6,""),"")</f>
        <v>427874.51388888888</v>
      </c>
      <c r="P6" s="5">
        <f t="shared" ref="P6:P35" si="3">IFERROR(IF(J6&gt;0,M6/J6,""),"")</f>
        <v>307958.4418604651</v>
      </c>
      <c r="Q6" s="16" t="str">
        <f t="shared" ref="Q6:Q35" si="4">IFERROR(IF(E6&gt;0,D6/E6,""),"")</f>
        <v/>
      </c>
    </row>
    <row r="7" spans="1:17" ht="21.75" customHeight="1" x14ac:dyDescent="0.2">
      <c r="A7" s="38">
        <v>46114</v>
      </c>
      <c r="B7" s="39" t="s">
        <v>442</v>
      </c>
      <c r="C7" s="40">
        <v>38234295</v>
      </c>
      <c r="D7" s="40">
        <v>95</v>
      </c>
      <c r="E7" s="40"/>
      <c r="F7" s="40"/>
      <c r="G7" s="40">
        <v>12231952</v>
      </c>
      <c r="H7" s="40">
        <v>3749748</v>
      </c>
      <c r="I7" s="40">
        <v>4128022</v>
      </c>
      <c r="J7" s="40">
        <v>58</v>
      </c>
      <c r="K7" s="40">
        <v>462963</v>
      </c>
      <c r="L7" s="41"/>
      <c r="M7" s="5">
        <f t="shared" si="0"/>
        <v>20109722</v>
      </c>
      <c r="N7" s="5">
        <f t="shared" si="1"/>
        <v>58344017</v>
      </c>
      <c r="O7" s="5">
        <f t="shared" si="2"/>
        <v>402466.26315789472</v>
      </c>
      <c r="P7" s="5">
        <f t="shared" si="3"/>
        <v>346719.3448275862</v>
      </c>
      <c r="Q7" s="16" t="str">
        <f t="shared" si="4"/>
        <v/>
      </c>
    </row>
    <row r="8" spans="1:17" ht="21.75" customHeight="1" x14ac:dyDescent="0.2">
      <c r="A8" s="38">
        <v>46115</v>
      </c>
      <c r="B8" s="39" t="s">
        <v>443</v>
      </c>
      <c r="C8" s="40">
        <v>35884714</v>
      </c>
      <c r="D8" s="40">
        <v>82</v>
      </c>
      <c r="E8" s="40"/>
      <c r="F8" s="40"/>
      <c r="G8" s="40">
        <v>7930496</v>
      </c>
      <c r="H8" s="40">
        <v>3549999</v>
      </c>
      <c r="I8" s="40">
        <v>4440498</v>
      </c>
      <c r="J8" s="40">
        <v>58</v>
      </c>
      <c r="K8" s="40">
        <v>3225987</v>
      </c>
      <c r="L8" s="41"/>
      <c r="M8" s="5">
        <f t="shared" si="0"/>
        <v>15920993</v>
      </c>
      <c r="N8" s="5">
        <f t="shared" si="1"/>
        <v>51805707</v>
      </c>
      <c r="O8" s="5">
        <f t="shared" si="2"/>
        <v>437618.46341463417</v>
      </c>
      <c r="P8" s="5">
        <f t="shared" si="3"/>
        <v>274499.87931034481</v>
      </c>
      <c r="Q8" s="16" t="str">
        <f t="shared" si="4"/>
        <v/>
      </c>
    </row>
    <row r="9" spans="1:17" ht="21.75" customHeight="1" x14ac:dyDescent="0.2">
      <c r="A9" s="38">
        <v>46116</v>
      </c>
      <c r="B9" s="39" t="s">
        <v>444</v>
      </c>
      <c r="C9" s="40">
        <v>25367074</v>
      </c>
      <c r="D9" s="40">
        <v>76</v>
      </c>
      <c r="E9" s="40"/>
      <c r="F9" s="40"/>
      <c r="G9" s="40">
        <v>6754499</v>
      </c>
      <c r="H9" s="40">
        <v>6242500</v>
      </c>
      <c r="I9" s="40">
        <v>3398498</v>
      </c>
      <c r="J9" s="40">
        <v>56</v>
      </c>
      <c r="K9" s="40"/>
      <c r="L9" s="41"/>
      <c r="M9" s="5">
        <f t="shared" si="0"/>
        <v>16395497</v>
      </c>
      <c r="N9" s="5">
        <f t="shared" si="1"/>
        <v>41762571</v>
      </c>
      <c r="O9" s="5">
        <f t="shared" si="2"/>
        <v>333777.28947368421</v>
      </c>
      <c r="P9" s="5">
        <f t="shared" si="3"/>
        <v>292776.73214285716</v>
      </c>
      <c r="Q9" s="16" t="str">
        <f t="shared" si="4"/>
        <v/>
      </c>
    </row>
    <row r="10" spans="1:17" ht="21.75" customHeight="1" x14ac:dyDescent="0.2">
      <c r="A10" s="38">
        <v>46117</v>
      </c>
      <c r="B10" s="39" t="s">
        <v>445</v>
      </c>
      <c r="C10" s="40">
        <v>31838202</v>
      </c>
      <c r="D10" s="40">
        <v>81</v>
      </c>
      <c r="E10" s="40"/>
      <c r="F10" s="40"/>
      <c r="G10" s="40">
        <v>12181008</v>
      </c>
      <c r="H10" s="40">
        <v>2381002</v>
      </c>
      <c r="I10" s="40">
        <v>3736497</v>
      </c>
      <c r="J10" s="40">
        <v>54</v>
      </c>
      <c r="K10" s="40">
        <v>753600</v>
      </c>
      <c r="L10" s="41"/>
      <c r="M10" s="5">
        <f t="shared" si="0"/>
        <v>18298507</v>
      </c>
      <c r="N10" s="5">
        <f t="shared" si="1"/>
        <v>50136709</v>
      </c>
      <c r="O10" s="5">
        <f t="shared" si="2"/>
        <v>393064.22222222225</v>
      </c>
      <c r="P10" s="5">
        <f t="shared" si="3"/>
        <v>338861.24074074073</v>
      </c>
      <c r="Q10" s="16" t="str">
        <f t="shared" si="4"/>
        <v/>
      </c>
    </row>
    <row r="11" spans="1:17" ht="21.75" customHeight="1" x14ac:dyDescent="0.2">
      <c r="A11" s="42">
        <v>46118</v>
      </c>
      <c r="B11" s="43" t="s">
        <v>439</v>
      </c>
      <c r="C11" s="40">
        <v>40785526</v>
      </c>
      <c r="D11" s="40">
        <v>83</v>
      </c>
      <c r="E11" s="40"/>
      <c r="F11" s="40"/>
      <c r="G11" s="40">
        <v>6575255</v>
      </c>
      <c r="H11" s="40">
        <v>3261100</v>
      </c>
      <c r="I11" s="40">
        <v>2384500</v>
      </c>
      <c r="J11" s="40">
        <v>42</v>
      </c>
      <c r="K11" s="40">
        <v>1510281</v>
      </c>
      <c r="L11" s="41"/>
      <c r="M11" s="5">
        <f t="shared" si="0"/>
        <v>12220855</v>
      </c>
      <c r="N11" s="5">
        <f t="shared" si="1"/>
        <v>53006381</v>
      </c>
      <c r="O11" s="5">
        <f t="shared" si="2"/>
        <v>491391.8795180723</v>
      </c>
      <c r="P11" s="5">
        <f t="shared" si="3"/>
        <v>290972.73809523811</v>
      </c>
      <c r="Q11" s="16" t="str">
        <f t="shared" si="4"/>
        <v/>
      </c>
    </row>
    <row r="12" spans="1:17" ht="21.75" customHeight="1" x14ac:dyDescent="0.2">
      <c r="A12" s="42">
        <v>46119</v>
      </c>
      <c r="B12" s="43" t="s">
        <v>440</v>
      </c>
      <c r="C12" s="40">
        <v>41203610</v>
      </c>
      <c r="D12" s="40">
        <v>91</v>
      </c>
      <c r="E12" s="40"/>
      <c r="F12" s="40"/>
      <c r="G12" s="40">
        <v>10137804</v>
      </c>
      <c r="H12" s="40">
        <v>2938501</v>
      </c>
      <c r="I12" s="40">
        <v>2932003</v>
      </c>
      <c r="J12" s="40">
        <v>54</v>
      </c>
      <c r="K12" s="40"/>
      <c r="L12" s="41"/>
      <c r="M12" s="5">
        <f t="shared" si="0"/>
        <v>16008308</v>
      </c>
      <c r="N12" s="5">
        <f t="shared" si="1"/>
        <v>57211918</v>
      </c>
      <c r="O12" s="5">
        <f t="shared" si="2"/>
        <v>452786.92307692306</v>
      </c>
      <c r="P12" s="5">
        <f t="shared" si="3"/>
        <v>296450.14814814815</v>
      </c>
      <c r="Q12" s="16" t="str">
        <f t="shared" si="4"/>
        <v/>
      </c>
    </row>
    <row r="13" spans="1:17" ht="21.75" customHeight="1" x14ac:dyDescent="0.2">
      <c r="A13" s="38">
        <v>46120</v>
      </c>
      <c r="B13" s="39" t="s">
        <v>441</v>
      </c>
      <c r="C13" s="40">
        <v>40000108</v>
      </c>
      <c r="D13" s="40">
        <v>83</v>
      </c>
      <c r="E13" s="40"/>
      <c r="F13" s="40"/>
      <c r="G13" s="40">
        <v>8913601</v>
      </c>
      <c r="H13" s="40">
        <v>4783449</v>
      </c>
      <c r="I13" s="40">
        <v>4538501</v>
      </c>
      <c r="J13" s="40">
        <v>62</v>
      </c>
      <c r="K13" s="40"/>
      <c r="L13" s="41"/>
      <c r="M13" s="5">
        <f t="shared" si="0"/>
        <v>18235551</v>
      </c>
      <c r="N13" s="5">
        <f t="shared" si="1"/>
        <v>58235659</v>
      </c>
      <c r="O13" s="5">
        <f t="shared" si="2"/>
        <v>481929.01204819279</v>
      </c>
      <c r="P13" s="5">
        <f t="shared" si="3"/>
        <v>294121.79032258067</v>
      </c>
      <c r="Q13" s="16" t="str">
        <f t="shared" si="4"/>
        <v/>
      </c>
    </row>
    <row r="14" spans="1:17" ht="21.75" customHeight="1" x14ac:dyDescent="0.2">
      <c r="A14" s="38">
        <v>46121</v>
      </c>
      <c r="B14" s="39" t="s">
        <v>442</v>
      </c>
      <c r="C14" s="40">
        <v>35601100</v>
      </c>
      <c r="D14" s="40">
        <v>86</v>
      </c>
      <c r="E14" s="40"/>
      <c r="F14" s="40"/>
      <c r="G14" s="40">
        <v>7390662</v>
      </c>
      <c r="H14" s="40">
        <v>5753853</v>
      </c>
      <c r="I14" s="40">
        <v>5547001</v>
      </c>
      <c r="J14" s="40">
        <v>67</v>
      </c>
      <c r="K14" s="40">
        <v>714000</v>
      </c>
      <c r="L14" s="41"/>
      <c r="M14" s="5">
        <f t="shared" si="0"/>
        <v>18691516</v>
      </c>
      <c r="N14" s="5">
        <f t="shared" si="1"/>
        <v>54292616</v>
      </c>
      <c r="O14" s="5">
        <f t="shared" si="2"/>
        <v>413966.27906976745</v>
      </c>
      <c r="P14" s="5">
        <f t="shared" si="3"/>
        <v>278977.85074626864</v>
      </c>
      <c r="Q14" s="16" t="str">
        <f t="shared" si="4"/>
        <v/>
      </c>
    </row>
    <row r="15" spans="1:17" ht="21.75" customHeight="1" x14ac:dyDescent="0.2">
      <c r="A15" s="38">
        <v>46122</v>
      </c>
      <c r="B15" s="39" t="s">
        <v>443</v>
      </c>
      <c r="C15" s="40">
        <v>48445905</v>
      </c>
      <c r="D15" s="40">
        <v>110</v>
      </c>
      <c r="E15" s="40"/>
      <c r="F15" s="40"/>
      <c r="G15" s="40">
        <v>7539002</v>
      </c>
      <c r="H15" s="40">
        <v>5951849</v>
      </c>
      <c r="I15" s="40">
        <v>6840998</v>
      </c>
      <c r="J15" s="40">
        <v>69</v>
      </c>
      <c r="K15" s="40">
        <v>409001</v>
      </c>
      <c r="L15" s="41"/>
      <c r="M15" s="5">
        <f t="shared" si="0"/>
        <v>20331849</v>
      </c>
      <c r="N15" s="5">
        <f t="shared" si="1"/>
        <v>68777754</v>
      </c>
      <c r="O15" s="5">
        <f t="shared" si="2"/>
        <v>440417.31818181818</v>
      </c>
      <c r="P15" s="5">
        <f t="shared" si="3"/>
        <v>294664.47826086957</v>
      </c>
      <c r="Q15" s="16" t="str">
        <f t="shared" si="4"/>
        <v/>
      </c>
    </row>
    <row r="16" spans="1:17" ht="21.75" customHeight="1" x14ac:dyDescent="0.2">
      <c r="A16" s="38">
        <v>46123</v>
      </c>
      <c r="B16" s="39" t="s">
        <v>444</v>
      </c>
      <c r="C16" s="40">
        <v>32748555</v>
      </c>
      <c r="D16" s="40">
        <v>75</v>
      </c>
      <c r="E16" s="40"/>
      <c r="F16" s="40"/>
      <c r="G16" s="40">
        <v>14371001</v>
      </c>
      <c r="H16" s="40">
        <v>4038999</v>
      </c>
      <c r="I16" s="40">
        <v>5318002</v>
      </c>
      <c r="J16" s="40">
        <v>83</v>
      </c>
      <c r="K16" s="40">
        <v>2742400</v>
      </c>
      <c r="L16" s="41"/>
      <c r="M16" s="5">
        <f t="shared" si="0"/>
        <v>23728002</v>
      </c>
      <c r="N16" s="5">
        <f t="shared" si="1"/>
        <v>56476557</v>
      </c>
      <c r="O16" s="5">
        <f t="shared" si="2"/>
        <v>436647.4</v>
      </c>
      <c r="P16" s="5">
        <f t="shared" si="3"/>
        <v>285879.5421686747</v>
      </c>
      <c r="Q16" s="16" t="str">
        <f t="shared" si="4"/>
        <v/>
      </c>
    </row>
    <row r="17" spans="1:17" ht="21.75" customHeight="1" x14ac:dyDescent="0.2">
      <c r="A17" s="38">
        <v>46124</v>
      </c>
      <c r="B17" s="39" t="s">
        <v>445</v>
      </c>
      <c r="C17" s="40">
        <v>27581775</v>
      </c>
      <c r="D17" s="40">
        <v>68</v>
      </c>
      <c r="E17" s="40"/>
      <c r="F17" s="40"/>
      <c r="G17" s="40">
        <v>16226218</v>
      </c>
      <c r="H17" s="40">
        <v>4072001</v>
      </c>
      <c r="I17" s="40">
        <v>3814902</v>
      </c>
      <c r="J17" s="40">
        <v>69</v>
      </c>
      <c r="K17" s="40">
        <v>829999</v>
      </c>
      <c r="L17" s="41"/>
      <c r="M17" s="5">
        <f t="shared" si="0"/>
        <v>24113121</v>
      </c>
      <c r="N17" s="5">
        <f t="shared" si="1"/>
        <v>51694896</v>
      </c>
      <c r="O17" s="5">
        <f t="shared" si="2"/>
        <v>405614.3382352941</v>
      </c>
      <c r="P17" s="5">
        <f t="shared" si="3"/>
        <v>349465.52173913043</v>
      </c>
      <c r="Q17" s="16" t="str">
        <f t="shared" si="4"/>
        <v/>
      </c>
    </row>
    <row r="18" spans="1:17" ht="21.75" customHeight="1" x14ac:dyDescent="0.2">
      <c r="A18" s="42">
        <v>46125</v>
      </c>
      <c r="B18" s="43" t="s">
        <v>439</v>
      </c>
      <c r="C18" s="40">
        <v>43769728</v>
      </c>
      <c r="D18" s="40">
        <v>91</v>
      </c>
      <c r="E18" s="40"/>
      <c r="F18" s="40"/>
      <c r="G18" s="40">
        <v>10303247</v>
      </c>
      <c r="H18" s="40">
        <v>1680001</v>
      </c>
      <c r="I18" s="40">
        <v>2527099</v>
      </c>
      <c r="J18" s="40">
        <v>40</v>
      </c>
      <c r="K18" s="40">
        <v>2582400</v>
      </c>
      <c r="L18" s="41"/>
      <c r="M18" s="5">
        <f t="shared" si="0"/>
        <v>14510347</v>
      </c>
      <c r="N18" s="5">
        <f t="shared" si="1"/>
        <v>58280075</v>
      </c>
      <c r="O18" s="5">
        <f t="shared" si="2"/>
        <v>480986.02197802201</v>
      </c>
      <c r="P18" s="5">
        <f t="shared" si="3"/>
        <v>362758.67499999999</v>
      </c>
      <c r="Q18" s="16" t="str">
        <f t="shared" si="4"/>
        <v/>
      </c>
    </row>
    <row r="19" spans="1:17" ht="21.75" customHeight="1" x14ac:dyDescent="0.2">
      <c r="A19" s="42">
        <v>46126</v>
      </c>
      <c r="B19" s="43" t="s">
        <v>440</v>
      </c>
      <c r="C19" s="40">
        <v>37294564</v>
      </c>
      <c r="D19" s="40">
        <v>80</v>
      </c>
      <c r="E19" s="40"/>
      <c r="F19" s="40"/>
      <c r="G19" s="40">
        <v>13724657</v>
      </c>
      <c r="H19" s="40">
        <v>2573902</v>
      </c>
      <c r="I19" s="40">
        <v>3967905</v>
      </c>
      <c r="J19" s="40">
        <v>55</v>
      </c>
      <c r="K19" s="40">
        <v>2084611</v>
      </c>
      <c r="L19" s="41"/>
      <c r="M19" s="5">
        <f t="shared" si="0"/>
        <v>20266464</v>
      </c>
      <c r="N19" s="5">
        <f t="shared" si="1"/>
        <v>57561028</v>
      </c>
      <c r="O19" s="5">
        <f t="shared" si="2"/>
        <v>466182.05</v>
      </c>
      <c r="P19" s="5">
        <f t="shared" si="3"/>
        <v>368481.16363636364</v>
      </c>
      <c r="Q19" s="16" t="str">
        <f t="shared" si="4"/>
        <v/>
      </c>
    </row>
    <row r="20" spans="1:17" ht="21.75" customHeight="1" x14ac:dyDescent="0.2">
      <c r="A20" s="38">
        <v>46127</v>
      </c>
      <c r="B20" s="39" t="s">
        <v>441</v>
      </c>
      <c r="C20" s="40">
        <v>41811237</v>
      </c>
      <c r="D20" s="40">
        <v>92</v>
      </c>
      <c r="E20" s="40"/>
      <c r="F20" s="40"/>
      <c r="G20" s="40">
        <v>10083114</v>
      </c>
      <c r="H20" s="40">
        <v>1940502</v>
      </c>
      <c r="I20" s="40">
        <v>5556301</v>
      </c>
      <c r="J20" s="40">
        <v>57</v>
      </c>
      <c r="K20" s="40">
        <v>400000</v>
      </c>
      <c r="L20" s="41"/>
      <c r="M20" s="5">
        <f t="shared" si="0"/>
        <v>17579917</v>
      </c>
      <c r="N20" s="5">
        <f t="shared" si="1"/>
        <v>59391154</v>
      </c>
      <c r="O20" s="5">
        <f t="shared" si="2"/>
        <v>454469.96739130432</v>
      </c>
      <c r="P20" s="5">
        <f t="shared" si="3"/>
        <v>308419.59649122809</v>
      </c>
      <c r="Q20" s="16" t="str">
        <f t="shared" si="4"/>
        <v/>
      </c>
    </row>
    <row r="21" spans="1:17" ht="21.75" customHeight="1" x14ac:dyDescent="0.2">
      <c r="A21" s="38">
        <v>46128</v>
      </c>
      <c r="B21" s="39" t="s">
        <v>442</v>
      </c>
      <c r="C21" s="40">
        <v>34108042</v>
      </c>
      <c r="D21" s="40">
        <v>77</v>
      </c>
      <c r="E21" s="40"/>
      <c r="F21" s="40"/>
      <c r="G21" s="40">
        <v>12595359</v>
      </c>
      <c r="H21" s="40">
        <v>2005340</v>
      </c>
      <c r="I21" s="40">
        <v>5939996</v>
      </c>
      <c r="J21" s="40">
        <v>52</v>
      </c>
      <c r="K21" s="40">
        <v>519999</v>
      </c>
      <c r="L21" s="41"/>
      <c r="M21" s="5">
        <f t="shared" si="0"/>
        <v>20540695</v>
      </c>
      <c r="N21" s="5">
        <f t="shared" si="1"/>
        <v>54648737</v>
      </c>
      <c r="O21" s="5">
        <f t="shared" si="2"/>
        <v>442961.5844155844</v>
      </c>
      <c r="P21" s="5">
        <f t="shared" si="3"/>
        <v>395013.36538461538</v>
      </c>
      <c r="Q21" s="16" t="str">
        <f t="shared" si="4"/>
        <v/>
      </c>
    </row>
    <row r="22" spans="1:17" ht="21.75" customHeight="1" x14ac:dyDescent="0.2">
      <c r="A22" s="38">
        <v>46129</v>
      </c>
      <c r="B22" s="39" t="s">
        <v>443</v>
      </c>
      <c r="C22" s="40">
        <v>41750675</v>
      </c>
      <c r="D22" s="40">
        <v>95</v>
      </c>
      <c r="E22" s="40"/>
      <c r="F22" s="40"/>
      <c r="G22" s="40">
        <v>11302255</v>
      </c>
      <c r="H22" s="40">
        <v>3952903</v>
      </c>
      <c r="I22" s="40">
        <v>3747501</v>
      </c>
      <c r="J22" s="40">
        <v>75</v>
      </c>
      <c r="K22" s="40">
        <v>502400</v>
      </c>
      <c r="L22" s="41"/>
      <c r="M22" s="5">
        <f t="shared" si="0"/>
        <v>19002659</v>
      </c>
      <c r="N22" s="5">
        <f t="shared" si="1"/>
        <v>60753334</v>
      </c>
      <c r="O22" s="5">
        <f t="shared" si="2"/>
        <v>439480.78947368421</v>
      </c>
      <c r="P22" s="5">
        <f t="shared" si="3"/>
        <v>253368.78666666665</v>
      </c>
      <c r="Q22" s="16" t="str">
        <f t="shared" si="4"/>
        <v/>
      </c>
    </row>
    <row r="23" spans="1:17" ht="21.75" customHeight="1" x14ac:dyDescent="0.2">
      <c r="A23" s="38">
        <v>46130</v>
      </c>
      <c r="B23" s="39" t="s">
        <v>444</v>
      </c>
      <c r="C23" s="40">
        <v>40305861</v>
      </c>
      <c r="D23" s="40">
        <v>98</v>
      </c>
      <c r="E23" s="40"/>
      <c r="F23" s="40"/>
      <c r="G23" s="40">
        <v>10944354</v>
      </c>
      <c r="H23" s="40">
        <v>4883503</v>
      </c>
      <c r="I23" s="40">
        <v>5477898</v>
      </c>
      <c r="J23" s="40">
        <v>71</v>
      </c>
      <c r="K23" s="40"/>
      <c r="L23" s="41"/>
      <c r="M23" s="5">
        <f t="shared" si="0"/>
        <v>21305755</v>
      </c>
      <c r="N23" s="5">
        <f t="shared" si="1"/>
        <v>61611616</v>
      </c>
      <c r="O23" s="5">
        <f t="shared" si="2"/>
        <v>411284.29591836734</v>
      </c>
      <c r="P23" s="5">
        <f t="shared" si="3"/>
        <v>300081.05633802817</v>
      </c>
      <c r="Q23" s="16" t="str">
        <f t="shared" si="4"/>
        <v/>
      </c>
    </row>
    <row r="24" spans="1:17" ht="21.75" customHeight="1" x14ac:dyDescent="0.2">
      <c r="A24" s="38">
        <v>46131</v>
      </c>
      <c r="B24" s="39" t="s">
        <v>445</v>
      </c>
      <c r="C24" s="40">
        <v>40803576</v>
      </c>
      <c r="D24" s="40">
        <v>81</v>
      </c>
      <c r="E24" s="40"/>
      <c r="F24" s="40"/>
      <c r="G24" s="40">
        <v>13679597</v>
      </c>
      <c r="H24" s="40">
        <v>2844001</v>
      </c>
      <c r="I24" s="40">
        <v>5170525</v>
      </c>
      <c r="J24" s="40">
        <v>64</v>
      </c>
      <c r="K24" s="40">
        <v>686400</v>
      </c>
      <c r="L24" s="41"/>
      <c r="M24" s="5">
        <f t="shared" si="0"/>
        <v>21694123</v>
      </c>
      <c r="N24" s="5">
        <f t="shared" si="1"/>
        <v>62497699</v>
      </c>
      <c r="O24" s="5">
        <f t="shared" si="2"/>
        <v>503747.85185185185</v>
      </c>
      <c r="P24" s="5">
        <f t="shared" si="3"/>
        <v>338970.671875</v>
      </c>
      <c r="Q24" s="16" t="str">
        <f t="shared" si="4"/>
        <v/>
      </c>
    </row>
    <row r="25" spans="1:17" ht="21.75" customHeight="1" x14ac:dyDescent="0.2">
      <c r="A25" s="42">
        <v>46132</v>
      </c>
      <c r="B25" s="43" t="s">
        <v>439</v>
      </c>
      <c r="C25" s="40">
        <v>42438632</v>
      </c>
      <c r="D25" s="40">
        <v>78</v>
      </c>
      <c r="E25" s="40"/>
      <c r="F25" s="40"/>
      <c r="G25" s="40">
        <v>10407616</v>
      </c>
      <c r="H25" s="40">
        <v>3405004</v>
      </c>
      <c r="I25" s="40">
        <v>3120902</v>
      </c>
      <c r="J25" s="40">
        <v>56</v>
      </c>
      <c r="K25" s="40"/>
      <c r="L25" s="41"/>
      <c r="M25" s="5">
        <f t="shared" si="0"/>
        <v>16933522</v>
      </c>
      <c r="N25" s="5">
        <f t="shared" si="1"/>
        <v>59372154</v>
      </c>
      <c r="O25" s="5">
        <f t="shared" si="2"/>
        <v>544085.02564102563</v>
      </c>
      <c r="P25" s="5">
        <f t="shared" si="3"/>
        <v>302384.32142857142</v>
      </c>
      <c r="Q25" s="16" t="str">
        <f t="shared" si="4"/>
        <v/>
      </c>
    </row>
    <row r="26" spans="1:17" ht="21.75" customHeight="1" x14ac:dyDescent="0.2">
      <c r="A26" s="42">
        <v>46133</v>
      </c>
      <c r="B26" s="43" t="s">
        <v>440</v>
      </c>
      <c r="C26" s="40">
        <v>44615945</v>
      </c>
      <c r="D26" s="40">
        <v>94</v>
      </c>
      <c r="E26" s="40"/>
      <c r="F26" s="40"/>
      <c r="G26" s="40">
        <v>25164390</v>
      </c>
      <c r="H26" s="40">
        <v>4268497</v>
      </c>
      <c r="I26" s="40">
        <v>6557975</v>
      </c>
      <c r="J26" s="40">
        <v>73</v>
      </c>
      <c r="K26" s="40">
        <v>1496429</v>
      </c>
      <c r="L26" s="41"/>
      <c r="M26" s="5">
        <f t="shared" si="0"/>
        <v>35990862</v>
      </c>
      <c r="N26" s="5">
        <f t="shared" si="1"/>
        <v>80606807</v>
      </c>
      <c r="O26" s="5">
        <f t="shared" si="2"/>
        <v>474637.71276595746</v>
      </c>
      <c r="P26" s="5">
        <f t="shared" si="3"/>
        <v>493025.50684931508</v>
      </c>
      <c r="Q26" s="16" t="str">
        <f t="shared" si="4"/>
        <v/>
      </c>
    </row>
    <row r="27" spans="1:17" ht="21.75" customHeight="1" x14ac:dyDescent="0.2">
      <c r="A27" s="38">
        <v>46134</v>
      </c>
      <c r="B27" s="39" t="s">
        <v>441</v>
      </c>
      <c r="C27" s="40">
        <v>46968036</v>
      </c>
      <c r="D27" s="40">
        <v>91</v>
      </c>
      <c r="E27" s="40"/>
      <c r="F27" s="40"/>
      <c r="G27" s="40">
        <v>9925701</v>
      </c>
      <c r="H27" s="40">
        <v>4895001</v>
      </c>
      <c r="I27" s="40">
        <v>2419499</v>
      </c>
      <c r="J27" s="40">
        <v>54</v>
      </c>
      <c r="K27" s="40">
        <v>1028800</v>
      </c>
      <c r="L27" s="41"/>
      <c r="M27" s="5">
        <f t="shared" si="0"/>
        <v>17240201</v>
      </c>
      <c r="N27" s="5">
        <f t="shared" si="1"/>
        <v>64208237</v>
      </c>
      <c r="O27" s="5">
        <f t="shared" si="2"/>
        <v>516132.26373626373</v>
      </c>
      <c r="P27" s="5">
        <f t="shared" si="3"/>
        <v>319262.98148148146</v>
      </c>
      <c r="Q27" s="16" t="str">
        <f t="shared" si="4"/>
        <v/>
      </c>
    </row>
    <row r="28" spans="1:17" ht="21.75" customHeight="1" x14ac:dyDescent="0.2">
      <c r="A28" s="38">
        <v>46135</v>
      </c>
      <c r="B28" s="39" t="s">
        <v>442</v>
      </c>
      <c r="C28" s="40">
        <v>48506914</v>
      </c>
      <c r="D28" s="40">
        <v>99</v>
      </c>
      <c r="E28" s="40"/>
      <c r="F28" s="40"/>
      <c r="G28" s="40">
        <v>12962706</v>
      </c>
      <c r="H28" s="40">
        <v>5777007</v>
      </c>
      <c r="I28" s="40">
        <v>4969909</v>
      </c>
      <c r="J28" s="40">
        <v>82</v>
      </c>
      <c r="K28" s="40">
        <v>1828800</v>
      </c>
      <c r="L28" s="41"/>
      <c r="M28" s="5">
        <f t="shared" si="0"/>
        <v>23709622</v>
      </c>
      <c r="N28" s="5">
        <f t="shared" si="1"/>
        <v>72216536</v>
      </c>
      <c r="O28" s="5">
        <f t="shared" si="2"/>
        <v>489968.82828282827</v>
      </c>
      <c r="P28" s="5">
        <f t="shared" si="3"/>
        <v>289141.73170731706</v>
      </c>
      <c r="Q28" s="16" t="str">
        <f t="shared" si="4"/>
        <v/>
      </c>
    </row>
    <row r="29" spans="1:17" ht="21.75" customHeight="1" x14ac:dyDescent="0.2">
      <c r="A29" s="38">
        <v>46136</v>
      </c>
      <c r="B29" s="39" t="s">
        <v>443</v>
      </c>
      <c r="C29" s="40">
        <v>44193675</v>
      </c>
      <c r="D29" s="40">
        <v>102</v>
      </c>
      <c r="E29" s="40"/>
      <c r="F29" s="40"/>
      <c r="G29" s="40">
        <v>14004011</v>
      </c>
      <c r="H29" s="40">
        <v>5472501</v>
      </c>
      <c r="I29" s="40">
        <v>8106499</v>
      </c>
      <c r="J29" s="40">
        <v>90</v>
      </c>
      <c r="K29" s="40">
        <v>1142400</v>
      </c>
      <c r="L29" s="41"/>
      <c r="M29" s="5">
        <f t="shared" si="0"/>
        <v>27583011</v>
      </c>
      <c r="N29" s="5">
        <f t="shared" si="1"/>
        <v>71776686</v>
      </c>
      <c r="O29" s="5">
        <f t="shared" si="2"/>
        <v>433271.32352941175</v>
      </c>
      <c r="P29" s="5">
        <f t="shared" si="3"/>
        <v>306477.90000000002</v>
      </c>
      <c r="Q29" s="16" t="str">
        <f t="shared" si="4"/>
        <v/>
      </c>
    </row>
    <row r="30" spans="1:17" ht="21.75" customHeight="1" x14ac:dyDescent="0.2">
      <c r="A30" s="38">
        <v>46137</v>
      </c>
      <c r="B30" s="39" t="s">
        <v>444</v>
      </c>
      <c r="C30" s="40">
        <v>47978218</v>
      </c>
      <c r="D30" s="40">
        <v>108</v>
      </c>
      <c r="E30" s="40"/>
      <c r="F30" s="40"/>
      <c r="G30" s="40">
        <v>10855847</v>
      </c>
      <c r="H30" s="40">
        <v>6140000</v>
      </c>
      <c r="I30" s="40">
        <v>5182513</v>
      </c>
      <c r="J30" s="40">
        <v>86</v>
      </c>
      <c r="K30" s="40">
        <v>1151222</v>
      </c>
      <c r="L30" s="41"/>
      <c r="M30" s="5">
        <f t="shared" si="0"/>
        <v>22178360</v>
      </c>
      <c r="N30" s="5">
        <f t="shared" si="1"/>
        <v>70156578</v>
      </c>
      <c r="O30" s="5">
        <f t="shared" si="2"/>
        <v>444242.75925925927</v>
      </c>
      <c r="P30" s="5">
        <f t="shared" si="3"/>
        <v>257887.90697674418</v>
      </c>
      <c r="Q30" s="16" t="str">
        <f t="shared" si="4"/>
        <v/>
      </c>
    </row>
    <row r="31" spans="1:17" ht="21.75" customHeight="1" x14ac:dyDescent="0.2">
      <c r="A31" s="38">
        <v>46138</v>
      </c>
      <c r="B31" s="39" t="s">
        <v>445</v>
      </c>
      <c r="C31" s="40">
        <v>24146432</v>
      </c>
      <c r="D31" s="40">
        <v>56</v>
      </c>
      <c r="E31" s="40"/>
      <c r="F31" s="40"/>
      <c r="G31" s="40">
        <v>12397157</v>
      </c>
      <c r="H31" s="40">
        <v>3882898</v>
      </c>
      <c r="I31" s="40"/>
      <c r="J31" s="40">
        <v>49</v>
      </c>
      <c r="K31" s="40"/>
      <c r="L31" s="41"/>
      <c r="M31" s="5">
        <f t="shared" si="0"/>
        <v>16280055</v>
      </c>
      <c r="N31" s="5">
        <f t="shared" si="1"/>
        <v>40426487</v>
      </c>
      <c r="O31" s="5">
        <f t="shared" si="2"/>
        <v>431186.28571428574</v>
      </c>
      <c r="P31" s="5">
        <f t="shared" si="3"/>
        <v>332246.02040816325</v>
      </c>
      <c r="Q31" s="16" t="str">
        <f t="shared" si="4"/>
        <v/>
      </c>
    </row>
    <row r="32" spans="1:17" ht="21.75" customHeight="1" x14ac:dyDescent="0.2">
      <c r="A32" s="42">
        <v>46139</v>
      </c>
      <c r="B32" s="43" t="s">
        <v>439</v>
      </c>
      <c r="C32" s="40">
        <v>30229599</v>
      </c>
      <c r="D32" s="40">
        <v>69</v>
      </c>
      <c r="E32" s="40"/>
      <c r="F32" s="40"/>
      <c r="G32" s="40">
        <v>12240260</v>
      </c>
      <c r="H32" s="40">
        <v>1611001</v>
      </c>
      <c r="I32" s="40">
        <v>4888503</v>
      </c>
      <c r="J32" s="40">
        <v>58</v>
      </c>
      <c r="K32" s="40">
        <v>509259</v>
      </c>
      <c r="L32" s="41"/>
      <c r="M32" s="5">
        <f t="shared" si="0"/>
        <v>18739764</v>
      </c>
      <c r="N32" s="5">
        <f t="shared" si="1"/>
        <v>48969363</v>
      </c>
      <c r="O32" s="5">
        <f t="shared" si="2"/>
        <v>438110.13043478259</v>
      </c>
      <c r="P32" s="5">
        <f t="shared" si="3"/>
        <v>323099.37931034481</v>
      </c>
      <c r="Q32" s="16" t="str">
        <f t="shared" si="4"/>
        <v/>
      </c>
    </row>
    <row r="33" spans="1:17" ht="21.75" customHeight="1" x14ac:dyDescent="0.2">
      <c r="A33" s="42">
        <v>46140</v>
      </c>
      <c r="B33" s="43" t="s">
        <v>440</v>
      </c>
      <c r="C33" s="40">
        <v>41597705</v>
      </c>
      <c r="D33" s="40">
        <v>95</v>
      </c>
      <c r="E33" s="40"/>
      <c r="F33" s="40"/>
      <c r="G33" s="40">
        <v>8980101</v>
      </c>
      <c r="H33" s="40">
        <v>6387498</v>
      </c>
      <c r="I33" s="40">
        <v>3913502</v>
      </c>
      <c r="J33" s="40">
        <v>69</v>
      </c>
      <c r="K33" s="40"/>
      <c r="L33" s="41"/>
      <c r="M33" s="5">
        <f t="shared" si="0"/>
        <v>19281101</v>
      </c>
      <c r="N33" s="5">
        <f t="shared" si="1"/>
        <v>60878806</v>
      </c>
      <c r="O33" s="5">
        <f t="shared" si="2"/>
        <v>437870.57894736843</v>
      </c>
      <c r="P33" s="5">
        <f t="shared" si="3"/>
        <v>279436.24637681158</v>
      </c>
      <c r="Q33" s="16" t="str">
        <f t="shared" si="4"/>
        <v/>
      </c>
    </row>
    <row r="34" spans="1:17" ht="21.75" customHeight="1" x14ac:dyDescent="0.2">
      <c r="A34" s="38">
        <v>46141</v>
      </c>
      <c r="B34" s="39" t="s">
        <v>441</v>
      </c>
      <c r="C34" s="40">
        <v>43139466</v>
      </c>
      <c r="D34" s="40">
        <v>92</v>
      </c>
      <c r="E34" s="40"/>
      <c r="F34" s="40"/>
      <c r="G34" s="40">
        <v>14280514</v>
      </c>
      <c r="H34" s="40">
        <v>5334499</v>
      </c>
      <c r="I34" s="40">
        <v>2967001</v>
      </c>
      <c r="J34" s="40">
        <v>62</v>
      </c>
      <c r="K34" s="40"/>
      <c r="L34" s="41"/>
      <c r="M34" s="5">
        <f t="shared" si="0"/>
        <v>22582014</v>
      </c>
      <c r="N34" s="5">
        <f t="shared" si="1"/>
        <v>65721480</v>
      </c>
      <c r="O34" s="5">
        <f t="shared" si="2"/>
        <v>468907.23913043475</v>
      </c>
      <c r="P34" s="5">
        <f t="shared" si="3"/>
        <v>364226.03225806454</v>
      </c>
      <c r="Q34" s="16" t="str">
        <f t="shared" si="4"/>
        <v/>
      </c>
    </row>
    <row r="35" spans="1:17" ht="21.75" customHeight="1" x14ac:dyDescent="0.2">
      <c r="A35" s="38">
        <v>46142</v>
      </c>
      <c r="B35" s="39" t="s">
        <v>442</v>
      </c>
      <c r="C35" s="40">
        <v>38811455</v>
      </c>
      <c r="D35" s="40">
        <v>89</v>
      </c>
      <c r="E35" s="40"/>
      <c r="F35" s="40"/>
      <c r="G35" s="40">
        <v>6364498</v>
      </c>
      <c r="H35" s="40">
        <v>3359003</v>
      </c>
      <c r="I35" s="40"/>
      <c r="J35" s="40">
        <v>35</v>
      </c>
      <c r="K35" s="40">
        <v>380000</v>
      </c>
      <c r="L35" s="41"/>
      <c r="M35" s="5">
        <f t="shared" si="0"/>
        <v>9723501</v>
      </c>
      <c r="N35" s="5">
        <f t="shared" si="1"/>
        <v>48534956</v>
      </c>
      <c r="O35" s="5">
        <f t="shared" si="2"/>
        <v>436083.76404494385</v>
      </c>
      <c r="P35" s="5">
        <f t="shared" si="3"/>
        <v>277814.3142857143</v>
      </c>
      <c r="Q35" s="16" t="str">
        <f t="shared" si="4"/>
        <v/>
      </c>
    </row>
    <row r="36" spans="1:17" ht="18.75" customHeight="1" x14ac:dyDescent="0.2"/>
    <row r="37" spans="1:17" ht="18.75" customHeight="1" x14ac:dyDescent="0.2"/>
    <row r="38" spans="1:17" ht="18.75" customHeight="1" x14ac:dyDescent="0.2"/>
    <row r="39" spans="1:17" ht="18.75" customHeight="1" x14ac:dyDescent="0.2"/>
    <row r="40" spans="1:17" ht="18.75" customHeight="1" x14ac:dyDescent="0.2"/>
    <row r="41" spans="1:17" ht="18.75" customHeight="1" x14ac:dyDescent="0.2"/>
    <row r="42" spans="1:17" ht="18.75" customHeight="1" x14ac:dyDescent="0.2"/>
    <row r="43" spans="1:17" ht="18.75" customHeight="1" x14ac:dyDescent="0.2"/>
    <row r="44" spans="1:17" ht="18.75" customHeight="1" x14ac:dyDescent="0.2"/>
    <row r="45" spans="1:17" ht="18.75" customHeight="1" x14ac:dyDescent="0.2"/>
    <row r="46" spans="1:17" ht="18.75" customHeight="1" x14ac:dyDescent="0.2"/>
    <row r="47" spans="1:17" ht="18.75" customHeight="1" x14ac:dyDescent="0.2"/>
    <row r="48" spans="1:17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9">
    <mergeCell ref="A1:Q1"/>
    <mergeCell ref="E3:F3"/>
    <mergeCell ref="O3:P3"/>
    <mergeCell ref="G3:J3"/>
    <mergeCell ref="A5:B5"/>
    <mergeCell ref="A2:Q2"/>
    <mergeCell ref="M3:N3"/>
    <mergeCell ref="C3:D3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Q200"/>
  <sheetViews>
    <sheetView workbookViewId="0"/>
  </sheetViews>
  <sheetFormatPr baseColWidth="10" defaultColWidth="14" defaultRowHeight="14" x14ac:dyDescent="0.2"/>
  <cols>
    <col min="1" max="1" width="15" customWidth="1"/>
    <col min="2" max="2" width="6" customWidth="1"/>
    <col min="3" max="3" width="19" customWidth="1"/>
    <col min="4" max="4" width="11" customWidth="1"/>
    <col min="5" max="5" width="15" customWidth="1"/>
    <col min="6" max="9" width="17" customWidth="1"/>
    <col min="10" max="10" width="12" customWidth="1"/>
    <col min="11" max="11" width="16" customWidth="1"/>
    <col min="12" max="12" width="27" customWidth="1"/>
    <col min="13" max="14" width="18" customWidth="1"/>
    <col min="15" max="16" width="15" customWidth="1"/>
    <col min="17" max="17" width="12" customWidth="1"/>
    <col min="18" max="20" width="11" customWidth="1"/>
  </cols>
  <sheetData>
    <row r="1" spans="1:17" ht="33" customHeight="1" x14ac:dyDescent="0.2">
      <c r="A1" s="158" t="s">
        <v>453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1.75" customHeight="1" x14ac:dyDescent="0.2">
      <c r="A2" s="146" t="s">
        <v>412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.75" customHeight="1" x14ac:dyDescent="0.2">
      <c r="A3" s="157" t="s">
        <v>413</v>
      </c>
      <c r="B3" s="143"/>
      <c r="C3" s="156" t="s">
        <v>414</v>
      </c>
      <c r="D3" s="143"/>
      <c r="E3" s="159" t="s">
        <v>415</v>
      </c>
      <c r="F3" s="143"/>
      <c r="G3" s="154" t="s">
        <v>416</v>
      </c>
      <c r="H3" s="143"/>
      <c r="I3" s="143"/>
      <c r="J3" s="143"/>
      <c r="K3" s="22" t="s">
        <v>417</v>
      </c>
      <c r="L3" s="23" t="s">
        <v>418</v>
      </c>
      <c r="M3" s="153" t="s">
        <v>419</v>
      </c>
      <c r="N3" s="143"/>
      <c r="O3" s="153" t="s">
        <v>419</v>
      </c>
      <c r="P3" s="143"/>
      <c r="Q3" s="24" t="s">
        <v>420</v>
      </c>
    </row>
    <row r="4" spans="1:17" ht="36" customHeight="1" x14ac:dyDescent="0.2">
      <c r="A4" s="25" t="s">
        <v>421</v>
      </c>
      <c r="B4" s="25" t="s">
        <v>422</v>
      </c>
      <c r="C4" s="26" t="s">
        <v>423</v>
      </c>
      <c r="D4" s="26" t="s">
        <v>424</v>
      </c>
      <c r="E4" s="27" t="s">
        <v>425</v>
      </c>
      <c r="F4" s="27" t="s">
        <v>426</v>
      </c>
      <c r="G4" s="28" t="s">
        <v>427</v>
      </c>
      <c r="H4" s="28" t="s">
        <v>428</v>
      </c>
      <c r="I4" s="28" t="s">
        <v>429</v>
      </c>
      <c r="J4" s="28" t="s">
        <v>430</v>
      </c>
      <c r="K4" s="29" t="s">
        <v>431</v>
      </c>
      <c r="L4" s="30" t="s">
        <v>432</v>
      </c>
      <c r="M4" s="31" t="s">
        <v>433</v>
      </c>
      <c r="N4" s="31" t="s">
        <v>434</v>
      </c>
      <c r="O4" s="31" t="s">
        <v>435</v>
      </c>
      <c r="P4" s="31" t="s">
        <v>436</v>
      </c>
      <c r="Q4" s="31" t="s">
        <v>437</v>
      </c>
    </row>
    <row r="5" spans="1:17" ht="21.75" customHeight="1" x14ac:dyDescent="0.2">
      <c r="A5" s="155" t="s">
        <v>438</v>
      </c>
      <c r="B5" s="143"/>
      <c r="C5" s="32"/>
      <c r="D5" s="33"/>
      <c r="E5" s="33"/>
      <c r="F5" s="33"/>
      <c r="G5" s="34"/>
      <c r="H5" s="34"/>
      <c r="I5" s="34"/>
      <c r="J5" s="33"/>
      <c r="K5" s="33"/>
      <c r="L5" s="33"/>
      <c r="M5" s="35"/>
      <c r="N5" s="35"/>
      <c r="O5" s="36"/>
      <c r="P5" s="36"/>
      <c r="Q5" s="37"/>
    </row>
    <row r="6" spans="1:17" ht="21.75" customHeight="1" x14ac:dyDescent="0.2">
      <c r="A6" s="38">
        <v>46143</v>
      </c>
      <c r="B6" s="39" t="s">
        <v>443</v>
      </c>
      <c r="C6" s="40">
        <v>26448193</v>
      </c>
      <c r="D6" s="40">
        <v>62</v>
      </c>
      <c r="E6" s="40"/>
      <c r="F6" s="40"/>
      <c r="G6" s="40">
        <v>11333596</v>
      </c>
      <c r="H6" s="40">
        <v>2048998</v>
      </c>
      <c r="I6" s="40"/>
      <c r="J6" s="40">
        <v>42</v>
      </c>
      <c r="K6" s="40"/>
      <c r="L6" s="41"/>
      <c r="M6" s="5">
        <f t="shared" ref="M6:M36" si="0">IF(SUM(G6:I6)&gt;0,SUM(G6:I6),"")</f>
        <v>13382594</v>
      </c>
      <c r="N6" s="5">
        <f t="shared" ref="N6:N36" si="1">IF(N(C6)+N(M6)&gt;0,N(C6)+N(M6),"")</f>
        <v>39830787</v>
      </c>
      <c r="O6" s="5">
        <f t="shared" ref="O6:O36" si="2">IFERROR(IF(D6&gt;0,C6/D6,""),"")</f>
        <v>426583.75806451612</v>
      </c>
      <c r="P6" s="5">
        <f t="shared" ref="P6:P36" si="3">IFERROR(IF(J6&gt;0,M6/J6,""),"")</f>
        <v>318633.19047619047</v>
      </c>
      <c r="Q6" s="16" t="str">
        <f t="shared" ref="Q6:Q36" si="4">IFERROR(IF(E6&gt;0,D6/E6,""),"")</f>
        <v/>
      </c>
    </row>
    <row r="7" spans="1:17" ht="21.75" customHeight="1" x14ac:dyDescent="0.2">
      <c r="A7" s="38">
        <v>46144</v>
      </c>
      <c r="B7" s="39" t="s">
        <v>444</v>
      </c>
      <c r="C7" s="40">
        <v>29385536</v>
      </c>
      <c r="D7" s="40">
        <v>48</v>
      </c>
      <c r="E7" s="40"/>
      <c r="F7" s="40"/>
      <c r="G7" s="40">
        <v>4326200</v>
      </c>
      <c r="H7" s="40">
        <v>4097999</v>
      </c>
      <c r="I7" s="40">
        <v>3458002</v>
      </c>
      <c r="J7" s="40">
        <v>40</v>
      </c>
      <c r="K7" s="40"/>
      <c r="L7" s="41"/>
      <c r="M7" s="5">
        <f t="shared" si="0"/>
        <v>11882201</v>
      </c>
      <c r="N7" s="5">
        <f t="shared" si="1"/>
        <v>41267737</v>
      </c>
      <c r="O7" s="5">
        <f t="shared" si="2"/>
        <v>612198.66666666663</v>
      </c>
      <c r="P7" s="5">
        <f t="shared" si="3"/>
        <v>297055.02500000002</v>
      </c>
      <c r="Q7" s="16" t="str">
        <f t="shared" si="4"/>
        <v/>
      </c>
    </row>
    <row r="8" spans="1:17" ht="21.75" customHeight="1" x14ac:dyDescent="0.2">
      <c r="A8" s="38">
        <v>46145</v>
      </c>
      <c r="B8" s="39" t="s">
        <v>445</v>
      </c>
      <c r="C8" s="40">
        <v>21512516</v>
      </c>
      <c r="D8" s="40">
        <v>49</v>
      </c>
      <c r="E8" s="40"/>
      <c r="F8" s="40"/>
      <c r="G8" s="40">
        <v>9745104</v>
      </c>
      <c r="H8" s="40">
        <v>4637006</v>
      </c>
      <c r="I8" s="40">
        <v>5008005</v>
      </c>
      <c r="J8" s="40">
        <v>56</v>
      </c>
      <c r="K8" s="40"/>
      <c r="L8" s="41"/>
      <c r="M8" s="5">
        <f t="shared" si="0"/>
        <v>19390115</v>
      </c>
      <c r="N8" s="5">
        <f t="shared" si="1"/>
        <v>40902631</v>
      </c>
      <c r="O8" s="5">
        <f t="shared" si="2"/>
        <v>439030.93877551018</v>
      </c>
      <c r="P8" s="5">
        <f t="shared" si="3"/>
        <v>346252.05357142858</v>
      </c>
      <c r="Q8" s="16" t="str">
        <f t="shared" si="4"/>
        <v/>
      </c>
    </row>
    <row r="9" spans="1:17" ht="21.75" customHeight="1" x14ac:dyDescent="0.2">
      <c r="A9" s="38">
        <v>46146</v>
      </c>
      <c r="B9" s="39" t="s">
        <v>439</v>
      </c>
      <c r="C9" s="40">
        <v>35395609</v>
      </c>
      <c r="D9" s="40">
        <v>71</v>
      </c>
      <c r="E9" s="40"/>
      <c r="F9" s="40"/>
      <c r="G9" s="40">
        <v>4553505</v>
      </c>
      <c r="H9" s="40">
        <v>6019488</v>
      </c>
      <c r="I9" s="40">
        <v>2275000</v>
      </c>
      <c r="J9" s="40">
        <v>39</v>
      </c>
      <c r="K9" s="40">
        <v>2857372</v>
      </c>
      <c r="L9" s="41"/>
      <c r="M9" s="5">
        <f t="shared" si="0"/>
        <v>12847993</v>
      </c>
      <c r="N9" s="5">
        <f t="shared" si="1"/>
        <v>48243602</v>
      </c>
      <c r="O9" s="5">
        <f t="shared" si="2"/>
        <v>498529.70422535209</v>
      </c>
      <c r="P9" s="5">
        <f t="shared" si="3"/>
        <v>329435.71794871794</v>
      </c>
      <c r="Q9" s="16" t="str">
        <f t="shared" si="4"/>
        <v/>
      </c>
    </row>
    <row r="10" spans="1:17" ht="21.75" customHeight="1" x14ac:dyDescent="0.2">
      <c r="A10" s="38">
        <v>46147</v>
      </c>
      <c r="B10" s="39" t="s">
        <v>440</v>
      </c>
      <c r="C10" s="40">
        <v>26552335</v>
      </c>
      <c r="D10" s="40">
        <v>64</v>
      </c>
      <c r="E10" s="40"/>
      <c r="F10" s="40"/>
      <c r="G10" s="40">
        <v>6107505</v>
      </c>
      <c r="H10" s="40">
        <v>3698496</v>
      </c>
      <c r="I10" s="40">
        <v>2642994</v>
      </c>
      <c r="J10" s="40">
        <v>41</v>
      </c>
      <c r="K10" s="40">
        <v>1028800</v>
      </c>
      <c r="L10" s="41"/>
      <c r="M10" s="5">
        <f t="shared" si="0"/>
        <v>12448995</v>
      </c>
      <c r="N10" s="5">
        <f t="shared" si="1"/>
        <v>39001330</v>
      </c>
      <c r="O10" s="5">
        <f t="shared" si="2"/>
        <v>414880.234375</v>
      </c>
      <c r="P10" s="5">
        <f t="shared" si="3"/>
        <v>303634.02439024393</v>
      </c>
      <c r="Q10" s="16" t="str">
        <f t="shared" si="4"/>
        <v/>
      </c>
    </row>
    <row r="11" spans="1:17" ht="21.75" customHeight="1" x14ac:dyDescent="0.2">
      <c r="A11" s="42">
        <v>46148</v>
      </c>
      <c r="B11" s="43" t="s">
        <v>441</v>
      </c>
      <c r="C11" s="40">
        <v>40661908</v>
      </c>
      <c r="D11" s="40">
        <v>88</v>
      </c>
      <c r="E11" s="40"/>
      <c r="F11" s="40"/>
      <c r="G11" s="40">
        <v>12843001</v>
      </c>
      <c r="H11" s="40">
        <v>3602000</v>
      </c>
      <c r="I11" s="40">
        <v>4095501</v>
      </c>
      <c r="J11" s="40">
        <v>62</v>
      </c>
      <c r="K11" s="40">
        <v>1695466</v>
      </c>
      <c r="L11" s="41"/>
      <c r="M11" s="5">
        <f t="shared" si="0"/>
        <v>20540502</v>
      </c>
      <c r="N11" s="5">
        <f t="shared" si="1"/>
        <v>61202410</v>
      </c>
      <c r="O11" s="5">
        <f t="shared" si="2"/>
        <v>462067.13636363635</v>
      </c>
      <c r="P11" s="5">
        <f t="shared" si="3"/>
        <v>331298.41935483873</v>
      </c>
      <c r="Q11" s="16" t="str">
        <f t="shared" si="4"/>
        <v/>
      </c>
    </row>
    <row r="12" spans="1:17" ht="21.75" customHeight="1" x14ac:dyDescent="0.2">
      <c r="A12" s="42">
        <v>46149</v>
      </c>
      <c r="B12" s="43" t="s">
        <v>442</v>
      </c>
      <c r="C12" s="40">
        <v>43871216</v>
      </c>
      <c r="D12" s="40">
        <v>105</v>
      </c>
      <c r="E12" s="40"/>
      <c r="F12" s="40"/>
      <c r="G12" s="40">
        <v>17461257</v>
      </c>
      <c r="H12" s="40">
        <v>3504499</v>
      </c>
      <c r="I12" s="40">
        <v>4951399</v>
      </c>
      <c r="J12" s="40">
        <v>81</v>
      </c>
      <c r="K12" s="40">
        <v>259259</v>
      </c>
      <c r="L12" s="41"/>
      <c r="M12" s="5">
        <f t="shared" si="0"/>
        <v>25917155</v>
      </c>
      <c r="N12" s="5">
        <f t="shared" si="1"/>
        <v>69788371</v>
      </c>
      <c r="O12" s="5">
        <f t="shared" si="2"/>
        <v>417821.10476190475</v>
      </c>
      <c r="P12" s="5">
        <f t="shared" si="3"/>
        <v>319964.87654320989</v>
      </c>
      <c r="Q12" s="16" t="str">
        <f t="shared" si="4"/>
        <v/>
      </c>
    </row>
    <row r="13" spans="1:17" ht="21.75" customHeight="1" x14ac:dyDescent="0.2">
      <c r="A13" s="38">
        <v>46150</v>
      </c>
      <c r="B13" s="39" t="s">
        <v>443</v>
      </c>
      <c r="C13" s="40">
        <v>40833963</v>
      </c>
      <c r="D13" s="40">
        <v>107</v>
      </c>
      <c r="E13" s="40"/>
      <c r="F13" s="40"/>
      <c r="G13" s="40">
        <v>11082505</v>
      </c>
      <c r="H13" s="40">
        <v>3137001</v>
      </c>
      <c r="I13" s="40">
        <v>4316401</v>
      </c>
      <c r="J13" s="40">
        <v>65</v>
      </c>
      <c r="K13" s="40"/>
      <c r="L13" s="41"/>
      <c r="M13" s="5">
        <f t="shared" si="0"/>
        <v>18535907</v>
      </c>
      <c r="N13" s="5">
        <f t="shared" si="1"/>
        <v>59369870</v>
      </c>
      <c r="O13" s="5">
        <f t="shared" si="2"/>
        <v>381625.82242990652</v>
      </c>
      <c r="P13" s="5">
        <f t="shared" si="3"/>
        <v>285167.8</v>
      </c>
      <c r="Q13" s="16" t="str">
        <f t="shared" si="4"/>
        <v/>
      </c>
    </row>
    <row r="14" spans="1:17" ht="21.75" customHeight="1" x14ac:dyDescent="0.2">
      <c r="A14" s="38">
        <v>46151</v>
      </c>
      <c r="B14" s="39" t="s">
        <v>444</v>
      </c>
      <c r="C14" s="40">
        <v>34559573</v>
      </c>
      <c r="D14" s="40">
        <v>80</v>
      </c>
      <c r="E14" s="40"/>
      <c r="F14" s="40"/>
      <c r="G14" s="40">
        <v>8960511</v>
      </c>
      <c r="H14" s="40">
        <v>4466502</v>
      </c>
      <c r="I14" s="40">
        <v>6676516</v>
      </c>
      <c r="J14" s="40">
        <v>75</v>
      </c>
      <c r="K14" s="40">
        <v>289000</v>
      </c>
      <c r="L14" s="41"/>
      <c r="M14" s="5">
        <f t="shared" si="0"/>
        <v>20103529</v>
      </c>
      <c r="N14" s="5">
        <f t="shared" si="1"/>
        <v>54663102</v>
      </c>
      <c r="O14" s="5">
        <f t="shared" si="2"/>
        <v>431994.66249999998</v>
      </c>
      <c r="P14" s="5">
        <f t="shared" si="3"/>
        <v>268047.05333333334</v>
      </c>
      <c r="Q14" s="16" t="str">
        <f t="shared" si="4"/>
        <v/>
      </c>
    </row>
    <row r="15" spans="1:17" ht="21.75" customHeight="1" x14ac:dyDescent="0.2">
      <c r="A15" s="38">
        <v>46152</v>
      </c>
      <c r="B15" s="39" t="s">
        <v>445</v>
      </c>
      <c r="C15" s="40">
        <v>33781541</v>
      </c>
      <c r="D15" s="40">
        <v>71</v>
      </c>
      <c r="E15" s="40"/>
      <c r="F15" s="40"/>
      <c r="G15" s="40">
        <v>10664487</v>
      </c>
      <c r="H15" s="40">
        <v>8145747</v>
      </c>
      <c r="I15" s="40">
        <v>5464624</v>
      </c>
      <c r="J15" s="40">
        <v>77</v>
      </c>
      <c r="K15" s="40"/>
      <c r="L15" s="41"/>
      <c r="M15" s="5">
        <f t="shared" si="0"/>
        <v>24274858</v>
      </c>
      <c r="N15" s="5">
        <f t="shared" si="1"/>
        <v>58056399</v>
      </c>
      <c r="O15" s="5">
        <f t="shared" si="2"/>
        <v>475796.35211267608</v>
      </c>
      <c r="P15" s="5">
        <f t="shared" si="3"/>
        <v>315257.89610389608</v>
      </c>
      <c r="Q15" s="16" t="str">
        <f t="shared" si="4"/>
        <v/>
      </c>
    </row>
    <row r="16" spans="1:17" ht="21.75" customHeight="1" x14ac:dyDescent="0.2">
      <c r="A16" s="38">
        <v>46153</v>
      </c>
      <c r="B16" s="39" t="s">
        <v>439</v>
      </c>
      <c r="C16" s="40">
        <v>41717735</v>
      </c>
      <c r="D16" s="40">
        <v>90</v>
      </c>
      <c r="E16" s="40"/>
      <c r="F16" s="40"/>
      <c r="G16" s="40">
        <v>10255009</v>
      </c>
      <c r="H16" s="40">
        <v>2115000</v>
      </c>
      <c r="I16" s="40">
        <v>4446002</v>
      </c>
      <c r="J16" s="40">
        <v>53</v>
      </c>
      <c r="K16" s="40">
        <v>543000</v>
      </c>
      <c r="L16" s="41"/>
      <c r="M16" s="5">
        <f t="shared" si="0"/>
        <v>16816011</v>
      </c>
      <c r="N16" s="5">
        <f t="shared" si="1"/>
        <v>58533746</v>
      </c>
      <c r="O16" s="5">
        <f t="shared" si="2"/>
        <v>463530.38888888888</v>
      </c>
      <c r="P16" s="5">
        <f t="shared" si="3"/>
        <v>317283.22641509434</v>
      </c>
      <c r="Q16" s="16" t="str">
        <f t="shared" si="4"/>
        <v/>
      </c>
    </row>
    <row r="17" spans="1:17" ht="21.75" customHeight="1" x14ac:dyDescent="0.2">
      <c r="A17" s="38">
        <v>46154</v>
      </c>
      <c r="B17" s="39" t="s">
        <v>440</v>
      </c>
      <c r="C17" s="40">
        <v>33983603</v>
      </c>
      <c r="D17" s="40">
        <v>84</v>
      </c>
      <c r="E17" s="40"/>
      <c r="F17" s="40"/>
      <c r="G17" s="40">
        <v>9741504</v>
      </c>
      <c r="H17" s="40">
        <v>1479004</v>
      </c>
      <c r="I17" s="40">
        <v>3181402</v>
      </c>
      <c r="J17" s="40">
        <v>50</v>
      </c>
      <c r="K17" s="40">
        <v>259259</v>
      </c>
      <c r="L17" s="41"/>
      <c r="M17" s="5">
        <f t="shared" si="0"/>
        <v>14401910</v>
      </c>
      <c r="N17" s="5">
        <f t="shared" si="1"/>
        <v>48385513</v>
      </c>
      <c r="O17" s="5">
        <f t="shared" si="2"/>
        <v>404566.70238095237</v>
      </c>
      <c r="P17" s="5">
        <f t="shared" si="3"/>
        <v>288038.2</v>
      </c>
      <c r="Q17" s="16" t="str">
        <f t="shared" si="4"/>
        <v/>
      </c>
    </row>
    <row r="18" spans="1:17" ht="21.75" customHeight="1" x14ac:dyDescent="0.2">
      <c r="A18" s="42">
        <v>46155</v>
      </c>
      <c r="B18" s="43" t="s">
        <v>441</v>
      </c>
      <c r="C18" s="40">
        <v>31933951</v>
      </c>
      <c r="D18" s="40">
        <v>73</v>
      </c>
      <c r="E18" s="40"/>
      <c r="F18" s="40"/>
      <c r="G18" s="40">
        <v>6135006</v>
      </c>
      <c r="H18" s="40">
        <v>5499254</v>
      </c>
      <c r="I18" s="40">
        <v>2501003</v>
      </c>
      <c r="J18" s="40">
        <v>41</v>
      </c>
      <c r="K18" s="40"/>
      <c r="L18" s="41"/>
      <c r="M18" s="5">
        <f t="shared" si="0"/>
        <v>14135263</v>
      </c>
      <c r="N18" s="5">
        <f t="shared" si="1"/>
        <v>46069214</v>
      </c>
      <c r="O18" s="5">
        <f t="shared" si="2"/>
        <v>437451.38356164383</v>
      </c>
      <c r="P18" s="5">
        <f t="shared" si="3"/>
        <v>344762.51219512196</v>
      </c>
      <c r="Q18" s="16" t="str">
        <f t="shared" si="4"/>
        <v/>
      </c>
    </row>
    <row r="19" spans="1:17" ht="21.75" customHeight="1" x14ac:dyDescent="0.2">
      <c r="A19" s="42">
        <v>46156</v>
      </c>
      <c r="B19" s="43" t="s">
        <v>442</v>
      </c>
      <c r="C19" s="40">
        <v>33173717</v>
      </c>
      <c r="D19" s="40">
        <v>78</v>
      </c>
      <c r="E19" s="40"/>
      <c r="F19" s="40"/>
      <c r="G19" s="40">
        <v>7934004</v>
      </c>
      <c r="H19" s="40">
        <v>6887007</v>
      </c>
      <c r="I19" s="40">
        <v>2356001</v>
      </c>
      <c r="J19" s="40">
        <v>60</v>
      </c>
      <c r="K19" s="40">
        <v>1896000</v>
      </c>
      <c r="L19" s="41"/>
      <c r="M19" s="5">
        <f t="shared" si="0"/>
        <v>17177012</v>
      </c>
      <c r="N19" s="5">
        <f t="shared" si="1"/>
        <v>50350729</v>
      </c>
      <c r="O19" s="5">
        <f t="shared" si="2"/>
        <v>425304.06410256412</v>
      </c>
      <c r="P19" s="5">
        <f t="shared" si="3"/>
        <v>286283.53333333333</v>
      </c>
      <c r="Q19" s="16" t="str">
        <f t="shared" si="4"/>
        <v/>
      </c>
    </row>
    <row r="20" spans="1:17" ht="21.75" customHeight="1" x14ac:dyDescent="0.2">
      <c r="A20" s="38">
        <v>46157</v>
      </c>
      <c r="B20" s="39" t="s">
        <v>443</v>
      </c>
      <c r="C20" s="40">
        <v>38712449</v>
      </c>
      <c r="D20" s="40">
        <v>88</v>
      </c>
      <c r="E20" s="40"/>
      <c r="F20" s="40"/>
      <c r="G20" s="40">
        <v>8501256</v>
      </c>
      <c r="H20" s="40">
        <v>4542500</v>
      </c>
      <c r="I20" s="40">
        <v>4664003</v>
      </c>
      <c r="J20" s="40">
        <v>72</v>
      </c>
      <c r="K20" s="40">
        <v>200000</v>
      </c>
      <c r="L20" s="41"/>
      <c r="M20" s="5">
        <f t="shared" si="0"/>
        <v>17707759</v>
      </c>
      <c r="N20" s="5">
        <f t="shared" si="1"/>
        <v>56420208</v>
      </c>
      <c r="O20" s="5">
        <f t="shared" si="2"/>
        <v>439914.19318181818</v>
      </c>
      <c r="P20" s="5">
        <f t="shared" si="3"/>
        <v>245941.09722222222</v>
      </c>
      <c r="Q20" s="16" t="str">
        <f t="shared" si="4"/>
        <v/>
      </c>
    </row>
    <row r="21" spans="1:17" ht="21.75" customHeight="1" x14ac:dyDescent="0.2">
      <c r="A21" s="38">
        <v>46158</v>
      </c>
      <c r="B21" s="39" t="s">
        <v>444</v>
      </c>
      <c r="C21" s="40">
        <v>45056706</v>
      </c>
      <c r="D21" s="40">
        <v>102</v>
      </c>
      <c r="E21" s="40"/>
      <c r="F21" s="40"/>
      <c r="G21" s="40">
        <v>8882502</v>
      </c>
      <c r="H21" s="40">
        <v>5587106</v>
      </c>
      <c r="I21" s="40">
        <v>3272501</v>
      </c>
      <c r="J21" s="40">
        <v>59</v>
      </c>
      <c r="K21" s="40">
        <v>280000</v>
      </c>
      <c r="L21" s="41"/>
      <c r="M21" s="5">
        <f t="shared" si="0"/>
        <v>17742109</v>
      </c>
      <c r="N21" s="5">
        <f t="shared" si="1"/>
        <v>62798815</v>
      </c>
      <c r="O21" s="5">
        <f t="shared" si="2"/>
        <v>441732.4117647059</v>
      </c>
      <c r="P21" s="5">
        <f t="shared" si="3"/>
        <v>300713.71186440677</v>
      </c>
      <c r="Q21" s="16" t="str">
        <f t="shared" si="4"/>
        <v/>
      </c>
    </row>
    <row r="22" spans="1:17" ht="21.75" customHeight="1" x14ac:dyDescent="0.2">
      <c r="A22" s="38">
        <v>46159</v>
      </c>
      <c r="B22" s="39" t="s">
        <v>445</v>
      </c>
      <c r="C22" s="40">
        <v>32457528</v>
      </c>
      <c r="D22" s="40">
        <v>67</v>
      </c>
      <c r="E22" s="40"/>
      <c r="F22" s="40"/>
      <c r="G22" s="40">
        <v>7765007</v>
      </c>
      <c r="H22" s="40">
        <v>2848999</v>
      </c>
      <c r="I22" s="40">
        <v>3090499</v>
      </c>
      <c r="J22" s="40">
        <v>53</v>
      </c>
      <c r="K22" s="40">
        <v>249999</v>
      </c>
      <c r="L22" s="41"/>
      <c r="M22" s="5">
        <f t="shared" si="0"/>
        <v>13704505</v>
      </c>
      <c r="N22" s="5">
        <f t="shared" si="1"/>
        <v>46162033</v>
      </c>
      <c r="O22" s="5">
        <f t="shared" si="2"/>
        <v>484440.71641791047</v>
      </c>
      <c r="P22" s="5">
        <f t="shared" si="3"/>
        <v>258575.56603773584</v>
      </c>
      <c r="Q22" s="16" t="str">
        <f t="shared" si="4"/>
        <v/>
      </c>
    </row>
    <row r="23" spans="1:17" ht="21.75" customHeight="1" x14ac:dyDescent="0.2">
      <c r="A23" s="38">
        <v>46160</v>
      </c>
      <c r="B23" s="39" t="s">
        <v>439</v>
      </c>
      <c r="C23" s="40">
        <v>39407260</v>
      </c>
      <c r="D23" s="40">
        <v>88</v>
      </c>
      <c r="E23" s="40"/>
      <c r="F23" s="40"/>
      <c r="G23" s="40">
        <v>5223503</v>
      </c>
      <c r="H23" s="40">
        <v>1822002</v>
      </c>
      <c r="I23" s="40">
        <v>2777998</v>
      </c>
      <c r="J23" s="40">
        <v>33</v>
      </c>
      <c r="K23" s="40">
        <v>2610686</v>
      </c>
      <c r="L23" s="41"/>
      <c r="M23" s="5">
        <f t="shared" si="0"/>
        <v>9823503</v>
      </c>
      <c r="N23" s="5">
        <f t="shared" si="1"/>
        <v>49230763</v>
      </c>
      <c r="O23" s="5">
        <f t="shared" si="2"/>
        <v>447809.77272727271</v>
      </c>
      <c r="P23" s="5">
        <f t="shared" si="3"/>
        <v>297681.90909090912</v>
      </c>
      <c r="Q23" s="16" t="str">
        <f t="shared" si="4"/>
        <v/>
      </c>
    </row>
    <row r="24" spans="1:17" ht="21.75" customHeight="1" x14ac:dyDescent="0.2">
      <c r="A24" s="38">
        <v>46161</v>
      </c>
      <c r="B24" s="39" t="s">
        <v>440</v>
      </c>
      <c r="C24" s="40">
        <v>39406593</v>
      </c>
      <c r="D24" s="40">
        <v>75</v>
      </c>
      <c r="E24" s="40"/>
      <c r="F24" s="40"/>
      <c r="G24" s="40">
        <v>9799008</v>
      </c>
      <c r="H24" s="40">
        <v>1269504</v>
      </c>
      <c r="I24" s="40">
        <v>3404502</v>
      </c>
      <c r="J24" s="40">
        <v>45</v>
      </c>
      <c r="K24" s="40">
        <v>1936000</v>
      </c>
      <c r="L24" s="41"/>
      <c r="M24" s="5">
        <f t="shared" si="0"/>
        <v>14473014</v>
      </c>
      <c r="N24" s="5">
        <f t="shared" si="1"/>
        <v>53879607</v>
      </c>
      <c r="O24" s="5">
        <f t="shared" si="2"/>
        <v>525421.24</v>
      </c>
      <c r="P24" s="5">
        <f t="shared" si="3"/>
        <v>321622.53333333333</v>
      </c>
      <c r="Q24" s="16" t="str">
        <f t="shared" si="4"/>
        <v/>
      </c>
    </row>
    <row r="25" spans="1:17" ht="21.75" customHeight="1" x14ac:dyDescent="0.2">
      <c r="A25" s="42">
        <v>46162</v>
      </c>
      <c r="B25" s="43" t="s">
        <v>441</v>
      </c>
      <c r="C25" s="40">
        <v>43472649</v>
      </c>
      <c r="D25" s="40">
        <v>98</v>
      </c>
      <c r="E25" s="40"/>
      <c r="F25" s="40"/>
      <c r="G25" s="40">
        <v>4599500</v>
      </c>
      <c r="H25" s="40">
        <v>6359500</v>
      </c>
      <c r="I25" s="40">
        <v>3839000</v>
      </c>
      <c r="J25" s="40">
        <v>51</v>
      </c>
      <c r="K25" s="40">
        <v>2261258</v>
      </c>
      <c r="L25" s="41"/>
      <c r="M25" s="5">
        <f t="shared" si="0"/>
        <v>14798000</v>
      </c>
      <c r="N25" s="5">
        <f t="shared" si="1"/>
        <v>58270649</v>
      </c>
      <c r="O25" s="5">
        <f t="shared" si="2"/>
        <v>443598.45918367349</v>
      </c>
      <c r="P25" s="5">
        <f t="shared" si="3"/>
        <v>290156.86274509801</v>
      </c>
      <c r="Q25" s="16" t="str">
        <f t="shared" si="4"/>
        <v/>
      </c>
    </row>
    <row r="26" spans="1:17" ht="21.75" customHeight="1" x14ac:dyDescent="0.2">
      <c r="A26" s="42">
        <v>46163</v>
      </c>
      <c r="B26" s="43" t="s">
        <v>442</v>
      </c>
      <c r="C26" s="40">
        <v>39772317</v>
      </c>
      <c r="D26" s="40">
        <v>88</v>
      </c>
      <c r="E26" s="40"/>
      <c r="F26" s="40"/>
      <c r="G26" s="40">
        <v>8231500</v>
      </c>
      <c r="H26" s="40">
        <v>9556005</v>
      </c>
      <c r="I26" s="40">
        <v>4731502</v>
      </c>
      <c r="J26" s="40">
        <v>86</v>
      </c>
      <c r="K26" s="40">
        <v>350000</v>
      </c>
      <c r="L26" s="41"/>
      <c r="M26" s="5">
        <f t="shared" si="0"/>
        <v>22519007</v>
      </c>
      <c r="N26" s="5">
        <f t="shared" si="1"/>
        <v>62291324</v>
      </c>
      <c r="O26" s="5">
        <f t="shared" si="2"/>
        <v>451958.14772727271</v>
      </c>
      <c r="P26" s="5">
        <f t="shared" si="3"/>
        <v>261848.91860465117</v>
      </c>
      <c r="Q26" s="16" t="str">
        <f t="shared" si="4"/>
        <v/>
      </c>
    </row>
    <row r="27" spans="1:17" ht="21.75" customHeight="1" x14ac:dyDescent="0.2">
      <c r="A27" s="38">
        <v>46164</v>
      </c>
      <c r="B27" s="39" t="s">
        <v>443</v>
      </c>
      <c r="C27" s="40">
        <v>44106651</v>
      </c>
      <c r="D27" s="40">
        <v>106</v>
      </c>
      <c r="E27" s="40"/>
      <c r="F27" s="40"/>
      <c r="G27" s="40">
        <v>5913500</v>
      </c>
      <c r="H27" s="40">
        <v>3844499</v>
      </c>
      <c r="I27" s="40">
        <v>3693000</v>
      </c>
      <c r="J27" s="40">
        <v>64</v>
      </c>
      <c r="K27" s="40">
        <v>370370</v>
      </c>
      <c r="L27" s="41"/>
      <c r="M27" s="5">
        <f t="shared" si="0"/>
        <v>13450999</v>
      </c>
      <c r="N27" s="5">
        <f t="shared" si="1"/>
        <v>57557650</v>
      </c>
      <c r="O27" s="5">
        <f t="shared" si="2"/>
        <v>416100.48113207548</v>
      </c>
      <c r="P27" s="5">
        <f t="shared" si="3"/>
        <v>210171.859375</v>
      </c>
      <c r="Q27" s="16" t="str">
        <f t="shared" si="4"/>
        <v/>
      </c>
    </row>
    <row r="28" spans="1:17" ht="21.75" customHeight="1" x14ac:dyDescent="0.2">
      <c r="A28" s="38">
        <v>46165</v>
      </c>
      <c r="B28" s="39" t="s">
        <v>444</v>
      </c>
      <c r="C28" s="40">
        <v>35900031</v>
      </c>
      <c r="D28" s="40">
        <v>84</v>
      </c>
      <c r="E28" s="40"/>
      <c r="F28" s="40"/>
      <c r="G28" s="40">
        <v>10370253</v>
      </c>
      <c r="H28" s="40">
        <v>3410502</v>
      </c>
      <c r="I28" s="40">
        <v>3414502</v>
      </c>
      <c r="J28" s="40">
        <v>60</v>
      </c>
      <c r="K28" s="40">
        <v>1028572</v>
      </c>
      <c r="L28" s="41"/>
      <c r="M28" s="5">
        <f t="shared" si="0"/>
        <v>17195257</v>
      </c>
      <c r="N28" s="5">
        <f t="shared" si="1"/>
        <v>53095288</v>
      </c>
      <c r="O28" s="5">
        <f t="shared" si="2"/>
        <v>427381.32142857142</v>
      </c>
      <c r="P28" s="5">
        <f t="shared" si="3"/>
        <v>286587.61666666664</v>
      </c>
      <c r="Q28" s="16" t="str">
        <f t="shared" si="4"/>
        <v/>
      </c>
    </row>
    <row r="29" spans="1:17" ht="21.75" customHeight="1" x14ac:dyDescent="0.2">
      <c r="A29" s="38">
        <v>46166</v>
      </c>
      <c r="B29" s="39" t="s">
        <v>445</v>
      </c>
      <c r="C29" s="40">
        <v>28293572</v>
      </c>
      <c r="D29" s="40">
        <v>70</v>
      </c>
      <c r="E29" s="40"/>
      <c r="F29" s="40"/>
      <c r="G29" s="40">
        <v>11182065</v>
      </c>
      <c r="H29" s="40">
        <v>5467001</v>
      </c>
      <c r="I29" s="40">
        <v>4921994</v>
      </c>
      <c r="J29" s="40">
        <v>71</v>
      </c>
      <c r="K29" s="40"/>
      <c r="L29" s="41"/>
      <c r="M29" s="5">
        <f t="shared" si="0"/>
        <v>21571060</v>
      </c>
      <c r="N29" s="5">
        <f t="shared" si="1"/>
        <v>49864632</v>
      </c>
      <c r="O29" s="5">
        <f t="shared" si="2"/>
        <v>404193.88571428572</v>
      </c>
      <c r="P29" s="5">
        <f t="shared" si="3"/>
        <v>303817.74647887325</v>
      </c>
      <c r="Q29" s="16" t="str">
        <f t="shared" si="4"/>
        <v/>
      </c>
    </row>
    <row r="30" spans="1:17" ht="21.75" customHeight="1" x14ac:dyDescent="0.2">
      <c r="A30" s="38">
        <v>46167</v>
      </c>
      <c r="B30" s="39" t="s">
        <v>439</v>
      </c>
      <c r="C30" s="40">
        <v>33749048</v>
      </c>
      <c r="D30" s="40">
        <v>75</v>
      </c>
      <c r="E30" s="40"/>
      <c r="F30" s="40"/>
      <c r="G30" s="40">
        <v>6839505</v>
      </c>
      <c r="H30" s="40">
        <v>2009001</v>
      </c>
      <c r="I30" s="40">
        <v>1983001</v>
      </c>
      <c r="J30" s="40">
        <v>35</v>
      </c>
      <c r="K30" s="40">
        <v>1531200</v>
      </c>
      <c r="L30" s="41"/>
      <c r="M30" s="5">
        <f t="shared" si="0"/>
        <v>10831507</v>
      </c>
      <c r="N30" s="5">
        <f t="shared" si="1"/>
        <v>44580555</v>
      </c>
      <c r="O30" s="5">
        <f t="shared" si="2"/>
        <v>449987.30666666664</v>
      </c>
      <c r="P30" s="5">
        <f t="shared" si="3"/>
        <v>309471.62857142859</v>
      </c>
      <c r="Q30" s="16" t="str">
        <f t="shared" si="4"/>
        <v/>
      </c>
    </row>
    <row r="31" spans="1:17" ht="21.75" customHeight="1" x14ac:dyDescent="0.2">
      <c r="A31" s="38">
        <v>46168</v>
      </c>
      <c r="B31" s="39" t="s">
        <v>440</v>
      </c>
      <c r="C31" s="40">
        <v>31441281</v>
      </c>
      <c r="D31" s="40">
        <v>66</v>
      </c>
      <c r="E31" s="40"/>
      <c r="F31" s="40"/>
      <c r="G31" s="40">
        <v>10033510</v>
      </c>
      <c r="H31" s="40">
        <v>1421002</v>
      </c>
      <c r="I31" s="40">
        <v>2722000</v>
      </c>
      <c r="J31" s="40">
        <v>39</v>
      </c>
      <c r="K31" s="40"/>
      <c r="L31" s="41"/>
      <c r="M31" s="5">
        <f t="shared" si="0"/>
        <v>14176512</v>
      </c>
      <c r="N31" s="5">
        <f t="shared" si="1"/>
        <v>45617793</v>
      </c>
      <c r="O31" s="5">
        <f t="shared" si="2"/>
        <v>476383.04545454547</v>
      </c>
      <c r="P31" s="5">
        <f t="shared" si="3"/>
        <v>363500.30769230769</v>
      </c>
      <c r="Q31" s="16" t="str">
        <f t="shared" si="4"/>
        <v/>
      </c>
    </row>
    <row r="32" spans="1:17" ht="21.75" customHeight="1" x14ac:dyDescent="0.2">
      <c r="A32" s="42">
        <v>46169</v>
      </c>
      <c r="B32" s="43" t="s">
        <v>441</v>
      </c>
      <c r="C32" s="40">
        <v>30667303</v>
      </c>
      <c r="D32" s="40">
        <v>77</v>
      </c>
      <c r="E32" s="40"/>
      <c r="F32" s="40"/>
      <c r="G32" s="40">
        <v>6756507</v>
      </c>
      <c r="H32" s="40">
        <v>1873003</v>
      </c>
      <c r="I32" s="40">
        <v>3070501</v>
      </c>
      <c r="J32" s="40">
        <v>41</v>
      </c>
      <c r="K32" s="40"/>
      <c r="L32" s="41"/>
      <c r="M32" s="5">
        <f t="shared" si="0"/>
        <v>11700011</v>
      </c>
      <c r="N32" s="5">
        <f t="shared" si="1"/>
        <v>42367314</v>
      </c>
      <c r="O32" s="5">
        <f t="shared" si="2"/>
        <v>398276.66233766236</v>
      </c>
      <c r="P32" s="5">
        <f t="shared" si="3"/>
        <v>285366.12195121951</v>
      </c>
      <c r="Q32" s="16" t="str">
        <f t="shared" si="4"/>
        <v/>
      </c>
    </row>
    <row r="33" spans="1:17" ht="21.75" customHeight="1" x14ac:dyDescent="0.2">
      <c r="A33" s="42">
        <v>46170</v>
      </c>
      <c r="B33" s="43" t="s">
        <v>442</v>
      </c>
      <c r="C33" s="40">
        <v>39578601</v>
      </c>
      <c r="D33" s="40">
        <v>95</v>
      </c>
      <c r="E33" s="40"/>
      <c r="F33" s="40"/>
      <c r="G33" s="40">
        <v>5816000</v>
      </c>
      <c r="H33" s="40">
        <v>2652504</v>
      </c>
      <c r="I33" s="40">
        <v>3292498</v>
      </c>
      <c r="J33" s="40">
        <v>45</v>
      </c>
      <c r="K33" s="40">
        <v>1028800</v>
      </c>
      <c r="L33" s="41"/>
      <c r="M33" s="5">
        <f t="shared" si="0"/>
        <v>11761002</v>
      </c>
      <c r="N33" s="5">
        <f t="shared" si="1"/>
        <v>51339603</v>
      </c>
      <c r="O33" s="5">
        <f t="shared" si="2"/>
        <v>416616.85263157892</v>
      </c>
      <c r="P33" s="5">
        <f t="shared" si="3"/>
        <v>261355.6</v>
      </c>
      <c r="Q33" s="16" t="str">
        <f t="shared" si="4"/>
        <v/>
      </c>
    </row>
    <row r="34" spans="1:17" ht="21.75" customHeight="1" x14ac:dyDescent="0.2">
      <c r="A34" s="38">
        <v>46171</v>
      </c>
      <c r="B34" s="39" t="s">
        <v>443</v>
      </c>
      <c r="C34" s="40">
        <v>40559010</v>
      </c>
      <c r="D34" s="40">
        <v>94</v>
      </c>
      <c r="E34" s="40"/>
      <c r="F34" s="40"/>
      <c r="G34" s="40">
        <v>9073004</v>
      </c>
      <c r="H34" s="40">
        <v>3908503</v>
      </c>
      <c r="I34" s="40">
        <v>2813501</v>
      </c>
      <c r="J34" s="40">
        <v>54</v>
      </c>
      <c r="K34" s="40"/>
      <c r="L34" s="41"/>
      <c r="M34" s="5">
        <f t="shared" si="0"/>
        <v>15795008</v>
      </c>
      <c r="N34" s="5">
        <f t="shared" si="1"/>
        <v>56354018</v>
      </c>
      <c r="O34" s="5">
        <f t="shared" si="2"/>
        <v>431478.82978723402</v>
      </c>
      <c r="P34" s="5">
        <f t="shared" si="3"/>
        <v>292500.14814814815</v>
      </c>
      <c r="Q34" s="16" t="str">
        <f t="shared" si="4"/>
        <v/>
      </c>
    </row>
    <row r="35" spans="1:17" ht="21.75" customHeight="1" x14ac:dyDescent="0.2">
      <c r="A35" s="38">
        <v>46172</v>
      </c>
      <c r="B35" s="39" t="s">
        <v>444</v>
      </c>
      <c r="C35" s="40">
        <v>39113532</v>
      </c>
      <c r="D35" s="40">
        <v>92</v>
      </c>
      <c r="E35" s="40"/>
      <c r="F35" s="40"/>
      <c r="G35" s="40">
        <v>9234509</v>
      </c>
      <c r="H35" s="40">
        <v>4282501</v>
      </c>
      <c r="I35" s="40">
        <v>3932500</v>
      </c>
      <c r="J35" s="40">
        <v>68</v>
      </c>
      <c r="K35" s="40"/>
      <c r="L35" s="41"/>
      <c r="M35" s="5">
        <f t="shared" si="0"/>
        <v>17449510</v>
      </c>
      <c r="N35" s="5">
        <f t="shared" si="1"/>
        <v>56563042</v>
      </c>
      <c r="O35" s="5">
        <f t="shared" si="2"/>
        <v>425147.08695652173</v>
      </c>
      <c r="P35" s="5">
        <f t="shared" si="3"/>
        <v>256610.4411764706</v>
      </c>
      <c r="Q35" s="16" t="str">
        <f t="shared" si="4"/>
        <v/>
      </c>
    </row>
    <row r="36" spans="1:17" ht="18.75" customHeight="1" x14ac:dyDescent="0.2">
      <c r="A36" s="105">
        <v>46173</v>
      </c>
      <c r="B36" t="s">
        <v>445</v>
      </c>
      <c r="C36">
        <v>35355824</v>
      </c>
      <c r="D36">
        <v>77</v>
      </c>
      <c r="G36">
        <v>7227506</v>
      </c>
      <c r="H36">
        <v>4850753</v>
      </c>
      <c r="I36">
        <v>5554004</v>
      </c>
      <c r="J36">
        <v>60</v>
      </c>
      <c r="M36">
        <f t="shared" si="0"/>
        <v>17632263</v>
      </c>
      <c r="N36">
        <f t="shared" si="1"/>
        <v>52988087</v>
      </c>
      <c r="O36">
        <f t="shared" si="2"/>
        <v>459166.54545454547</v>
      </c>
      <c r="P36">
        <f t="shared" si="3"/>
        <v>293871.05</v>
      </c>
      <c r="Q36" t="str">
        <f t="shared" si="4"/>
        <v/>
      </c>
    </row>
    <row r="37" spans="1:17" ht="18.75" customHeight="1" x14ac:dyDescent="0.2"/>
    <row r="38" spans="1:17" ht="18.75" customHeight="1" x14ac:dyDescent="0.2"/>
    <row r="39" spans="1:17" ht="18.75" customHeight="1" x14ac:dyDescent="0.2"/>
    <row r="40" spans="1:17" ht="18.75" customHeight="1" x14ac:dyDescent="0.2"/>
    <row r="41" spans="1:17" ht="18.75" customHeight="1" x14ac:dyDescent="0.2"/>
    <row r="42" spans="1:17" ht="18.75" customHeight="1" x14ac:dyDescent="0.2"/>
    <row r="43" spans="1:17" ht="18.75" customHeight="1" x14ac:dyDescent="0.2"/>
    <row r="44" spans="1:17" ht="18.75" customHeight="1" x14ac:dyDescent="0.2"/>
    <row r="45" spans="1:17" ht="18.75" customHeight="1" x14ac:dyDescent="0.2"/>
    <row r="46" spans="1:17" ht="18.75" customHeight="1" x14ac:dyDescent="0.2"/>
    <row r="47" spans="1:17" ht="18.75" customHeight="1" x14ac:dyDescent="0.2"/>
    <row r="48" spans="1:17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9">
    <mergeCell ref="A1:Q1"/>
    <mergeCell ref="E3:F3"/>
    <mergeCell ref="O3:P3"/>
    <mergeCell ref="G3:J3"/>
    <mergeCell ref="A5:B5"/>
    <mergeCell ref="A2:Q2"/>
    <mergeCell ref="M3:N3"/>
    <mergeCell ref="C3:D3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Q20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6" sqref="E6"/>
    </sheetView>
  </sheetViews>
  <sheetFormatPr baseColWidth="10" defaultColWidth="14" defaultRowHeight="14" x14ac:dyDescent="0.2"/>
  <cols>
    <col min="1" max="1" width="15" customWidth="1"/>
    <col min="2" max="2" width="6" customWidth="1"/>
    <col min="3" max="3" width="19" customWidth="1"/>
    <col min="4" max="4" width="11" customWidth="1"/>
    <col min="5" max="5" width="15" customWidth="1"/>
    <col min="6" max="9" width="17" customWidth="1"/>
    <col min="10" max="10" width="12" customWidth="1"/>
    <col min="11" max="11" width="16" customWidth="1"/>
    <col min="12" max="12" width="27" customWidth="1"/>
    <col min="13" max="14" width="18" customWidth="1"/>
    <col min="15" max="16" width="15" customWidth="1"/>
    <col min="17" max="17" width="12" customWidth="1"/>
    <col min="18" max="20" width="11" customWidth="1"/>
  </cols>
  <sheetData>
    <row r="1" spans="1:17" ht="33" customHeight="1" x14ac:dyDescent="0.2">
      <c r="A1" s="158" t="s">
        <v>454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1.75" customHeight="1" x14ac:dyDescent="0.2">
      <c r="A2" s="146" t="s">
        <v>412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.75" customHeight="1" x14ac:dyDescent="0.2">
      <c r="A3" s="157" t="s">
        <v>413</v>
      </c>
      <c r="B3" s="143"/>
      <c r="C3" s="156" t="s">
        <v>414</v>
      </c>
      <c r="D3" s="143"/>
      <c r="E3" s="159" t="s">
        <v>415</v>
      </c>
      <c r="F3" s="143"/>
      <c r="G3" s="154" t="s">
        <v>416</v>
      </c>
      <c r="H3" s="143"/>
      <c r="I3" s="143"/>
      <c r="J3" s="143"/>
      <c r="K3" s="22" t="s">
        <v>417</v>
      </c>
      <c r="L3" s="23" t="s">
        <v>418</v>
      </c>
      <c r="M3" s="153" t="s">
        <v>419</v>
      </c>
      <c r="N3" s="143"/>
      <c r="O3" s="153" t="s">
        <v>419</v>
      </c>
      <c r="P3" s="143"/>
      <c r="Q3" s="24" t="s">
        <v>420</v>
      </c>
    </row>
    <row r="4" spans="1:17" ht="36" customHeight="1" x14ac:dyDescent="0.2">
      <c r="A4" s="25" t="s">
        <v>421</v>
      </c>
      <c r="B4" s="25" t="s">
        <v>422</v>
      </c>
      <c r="C4" s="26" t="s">
        <v>423</v>
      </c>
      <c r="D4" s="26" t="s">
        <v>424</v>
      </c>
      <c r="E4" s="27" t="s">
        <v>425</v>
      </c>
      <c r="F4" s="27" t="s">
        <v>426</v>
      </c>
      <c r="G4" s="28" t="s">
        <v>427</v>
      </c>
      <c r="H4" s="28" t="s">
        <v>428</v>
      </c>
      <c r="I4" s="28" t="s">
        <v>429</v>
      </c>
      <c r="J4" s="28" t="s">
        <v>430</v>
      </c>
      <c r="K4" s="29" t="s">
        <v>431</v>
      </c>
      <c r="L4" s="30" t="s">
        <v>432</v>
      </c>
      <c r="M4" s="31" t="s">
        <v>433</v>
      </c>
      <c r="N4" s="31" t="s">
        <v>434</v>
      </c>
      <c r="O4" s="31" t="s">
        <v>435</v>
      </c>
      <c r="P4" s="31" t="s">
        <v>436</v>
      </c>
      <c r="Q4" s="31" t="s">
        <v>437</v>
      </c>
    </row>
    <row r="5" spans="1:17" ht="21.75" customHeight="1" x14ac:dyDescent="0.2">
      <c r="A5" s="155" t="s">
        <v>438</v>
      </c>
      <c r="B5" s="143"/>
      <c r="C5" s="32">
        <v>1149763530</v>
      </c>
      <c r="D5" s="33"/>
      <c r="E5" s="33"/>
      <c r="F5" s="33"/>
      <c r="G5" s="34">
        <v>296326827</v>
      </c>
      <c r="H5" s="34">
        <v>202633626</v>
      </c>
      <c r="I5" s="34">
        <v>115735977</v>
      </c>
      <c r="J5" s="33"/>
      <c r="K5" s="33"/>
      <c r="L5" s="33"/>
      <c r="M5" s="35">
        <v>614696430</v>
      </c>
      <c r="N5" s="35">
        <v>1764459960</v>
      </c>
      <c r="O5" s="36">
        <v>450000</v>
      </c>
      <c r="P5" s="36">
        <v>330000</v>
      </c>
      <c r="Q5" s="37"/>
    </row>
    <row r="6" spans="1:17" ht="21.75" customHeight="1" x14ac:dyDescent="0.2">
      <c r="A6" s="38">
        <v>46174</v>
      </c>
      <c r="B6" s="39" t="s">
        <v>439</v>
      </c>
      <c r="C6" s="40">
        <v>45107806</v>
      </c>
      <c r="D6" s="40">
        <v>98</v>
      </c>
      <c r="E6" s="40"/>
      <c r="F6" s="40"/>
      <c r="G6" s="40">
        <v>6767007</v>
      </c>
      <c r="H6" s="40">
        <v>3596508</v>
      </c>
      <c r="I6" s="40">
        <v>2887199</v>
      </c>
      <c r="J6" s="40">
        <v>44</v>
      </c>
      <c r="K6" s="40">
        <v>687037</v>
      </c>
      <c r="L6" s="41"/>
      <c r="M6" s="5">
        <f t="shared" ref="M6:M35" si="0">IF(SUM(G6:I6)&gt;0,SUM(G6:I6),"")</f>
        <v>13250714</v>
      </c>
      <c r="N6" s="5">
        <f t="shared" ref="N6:N35" si="1">IF(N(C6)+N(M6)&gt;0,N(C6)+N(M6),"")</f>
        <v>58358520</v>
      </c>
      <c r="O6" s="5">
        <f t="shared" ref="O6:O35" si="2">IFERROR(IF(D6&gt;0,C6/D6,""),"")</f>
        <v>460283.73469387757</v>
      </c>
      <c r="P6" s="5">
        <f t="shared" ref="P6:P35" si="3">IFERROR(IF(J6&gt;0,M6/J6,""),"")</f>
        <v>301152.59090909088</v>
      </c>
      <c r="Q6" s="16" t="str">
        <f t="shared" ref="Q6:Q35" si="4">IFERROR(IF(E6&gt;0,D6/E6,""),"")</f>
        <v/>
      </c>
    </row>
    <row r="7" spans="1:17" ht="21.75" customHeight="1" x14ac:dyDescent="0.2">
      <c r="A7" s="38">
        <v>46175</v>
      </c>
      <c r="B7" s="39" t="s">
        <v>440</v>
      </c>
      <c r="C7" s="40">
        <v>32694802</v>
      </c>
      <c r="D7" s="40">
        <v>67</v>
      </c>
      <c r="E7" s="40"/>
      <c r="F7" s="40"/>
      <c r="G7" s="40">
        <v>4259006</v>
      </c>
      <c r="H7" s="40">
        <v>3072003</v>
      </c>
      <c r="I7" s="40">
        <v>6150503</v>
      </c>
      <c r="J7" s="40">
        <v>43</v>
      </c>
      <c r="K7" s="40">
        <v>324074</v>
      </c>
      <c r="L7" s="41"/>
      <c r="M7" s="5">
        <f t="shared" si="0"/>
        <v>13481512</v>
      </c>
      <c r="N7" s="5">
        <f t="shared" si="1"/>
        <v>46176314</v>
      </c>
      <c r="O7" s="5">
        <f t="shared" si="2"/>
        <v>487982.11940298509</v>
      </c>
      <c r="P7" s="5">
        <f t="shared" si="3"/>
        <v>313523.53488372092</v>
      </c>
      <c r="Q7" s="16" t="str">
        <f t="shared" si="4"/>
        <v/>
      </c>
    </row>
    <row r="8" spans="1:17" ht="21.75" customHeight="1" x14ac:dyDescent="0.2">
      <c r="A8" s="38">
        <v>46176</v>
      </c>
      <c r="B8" s="39" t="s">
        <v>441</v>
      </c>
      <c r="C8" s="40">
        <v>36993477</v>
      </c>
      <c r="D8" s="40">
        <v>89</v>
      </c>
      <c r="E8" s="40"/>
      <c r="F8" s="40"/>
      <c r="G8" s="40">
        <v>8799511</v>
      </c>
      <c r="H8" s="40">
        <v>1862000</v>
      </c>
      <c r="I8" s="40">
        <v>3738504</v>
      </c>
      <c r="J8" s="40">
        <v>48</v>
      </c>
      <c r="K8" s="40">
        <v>259259</v>
      </c>
      <c r="L8" s="41"/>
      <c r="M8" s="5">
        <f t="shared" si="0"/>
        <v>14400015</v>
      </c>
      <c r="N8" s="5">
        <f t="shared" si="1"/>
        <v>51393492</v>
      </c>
      <c r="O8" s="5">
        <f t="shared" si="2"/>
        <v>415657.04494382022</v>
      </c>
      <c r="P8" s="5">
        <f t="shared" si="3"/>
        <v>300000.3125</v>
      </c>
      <c r="Q8" s="16" t="str">
        <f t="shared" si="4"/>
        <v/>
      </c>
    </row>
    <row r="9" spans="1:17" ht="21.75" customHeight="1" x14ac:dyDescent="0.2">
      <c r="A9" s="38">
        <v>46177</v>
      </c>
      <c r="B9" s="39" t="s">
        <v>442</v>
      </c>
      <c r="C9" s="40">
        <v>36154516</v>
      </c>
      <c r="D9" s="40">
        <v>84</v>
      </c>
      <c r="E9" s="40"/>
      <c r="F9" s="40"/>
      <c r="G9" s="40">
        <v>9745005</v>
      </c>
      <c r="H9" s="40">
        <v>5478499</v>
      </c>
      <c r="I9" s="40">
        <v>4638009</v>
      </c>
      <c r="J9" s="40">
        <v>60</v>
      </c>
      <c r="K9" s="40"/>
      <c r="L9" s="41"/>
      <c r="M9" s="5">
        <f t="shared" si="0"/>
        <v>19861513</v>
      </c>
      <c r="N9" s="5">
        <f t="shared" si="1"/>
        <v>56016029</v>
      </c>
      <c r="O9" s="5">
        <f t="shared" si="2"/>
        <v>430410.90476190473</v>
      </c>
      <c r="P9" s="5">
        <f t="shared" si="3"/>
        <v>331025.21666666667</v>
      </c>
      <c r="Q9" s="16" t="str">
        <f t="shared" si="4"/>
        <v/>
      </c>
    </row>
    <row r="10" spans="1:17" ht="21.75" customHeight="1" x14ac:dyDescent="0.2">
      <c r="A10" s="38">
        <v>46178</v>
      </c>
      <c r="B10" s="39" t="s">
        <v>443</v>
      </c>
      <c r="C10" s="40">
        <v>31950186</v>
      </c>
      <c r="D10" s="40">
        <v>76</v>
      </c>
      <c r="E10" s="40"/>
      <c r="F10" s="40"/>
      <c r="G10" s="40">
        <v>12953499</v>
      </c>
      <c r="H10" s="40">
        <v>3054750</v>
      </c>
      <c r="I10" s="40">
        <v>5426001</v>
      </c>
      <c r="J10" s="40">
        <v>69</v>
      </c>
      <c r="K10" s="40">
        <v>1644800</v>
      </c>
      <c r="L10" s="41"/>
      <c r="M10" s="5">
        <f t="shared" si="0"/>
        <v>21434250</v>
      </c>
      <c r="N10" s="5">
        <f t="shared" si="1"/>
        <v>53384436</v>
      </c>
      <c r="O10" s="5">
        <f t="shared" si="2"/>
        <v>420397.18421052629</v>
      </c>
      <c r="P10" s="5">
        <f t="shared" si="3"/>
        <v>310641.30434782611</v>
      </c>
      <c r="Q10" s="16" t="str">
        <f t="shared" si="4"/>
        <v/>
      </c>
    </row>
    <row r="11" spans="1:17" ht="21.75" customHeight="1" x14ac:dyDescent="0.2">
      <c r="A11" s="42">
        <v>46179</v>
      </c>
      <c r="B11" s="43" t="s">
        <v>444</v>
      </c>
      <c r="C11" s="40">
        <v>36088690</v>
      </c>
      <c r="D11" s="40">
        <v>83</v>
      </c>
      <c r="E11" s="40"/>
      <c r="F11" s="40"/>
      <c r="G11" s="40">
        <v>9757501</v>
      </c>
      <c r="H11" s="40">
        <v>5894250</v>
      </c>
      <c r="I11" s="40">
        <v>4723999</v>
      </c>
      <c r="J11" s="40">
        <v>74</v>
      </c>
      <c r="K11" s="40">
        <v>450000</v>
      </c>
      <c r="L11" s="41"/>
      <c r="M11" s="5">
        <f t="shared" si="0"/>
        <v>20375750</v>
      </c>
      <c r="N11" s="5">
        <f t="shared" si="1"/>
        <v>56464440</v>
      </c>
      <c r="O11" s="5">
        <f t="shared" si="2"/>
        <v>434803.49397590361</v>
      </c>
      <c r="P11" s="5">
        <f t="shared" si="3"/>
        <v>275347.97297297296</v>
      </c>
      <c r="Q11" s="16" t="str">
        <f t="shared" si="4"/>
        <v/>
      </c>
    </row>
    <row r="12" spans="1:17" ht="21.75" customHeight="1" x14ac:dyDescent="0.2">
      <c r="A12" s="42">
        <v>46180</v>
      </c>
      <c r="B12" s="43" t="s">
        <v>445</v>
      </c>
      <c r="C12" s="40">
        <v>26475036</v>
      </c>
      <c r="D12" s="40">
        <v>65</v>
      </c>
      <c r="E12" s="40"/>
      <c r="F12" s="40"/>
      <c r="G12" s="40">
        <v>10669504</v>
      </c>
      <c r="H12" s="40">
        <v>3797504</v>
      </c>
      <c r="I12" s="40">
        <v>7983209</v>
      </c>
      <c r="J12" s="40">
        <v>69</v>
      </c>
      <c r="K12" s="40">
        <v>464700</v>
      </c>
      <c r="L12" s="41"/>
      <c r="M12" s="5">
        <f t="shared" si="0"/>
        <v>22450217</v>
      </c>
      <c r="N12" s="5">
        <f t="shared" si="1"/>
        <v>48925253</v>
      </c>
      <c r="O12" s="5">
        <f t="shared" si="2"/>
        <v>407308.24615384615</v>
      </c>
      <c r="P12" s="5">
        <f t="shared" si="3"/>
        <v>325365.46376811597</v>
      </c>
      <c r="Q12" s="16" t="str">
        <f t="shared" si="4"/>
        <v/>
      </c>
    </row>
    <row r="13" spans="1:17" ht="21.75" customHeight="1" x14ac:dyDescent="0.2">
      <c r="A13" s="38">
        <v>46181</v>
      </c>
      <c r="B13" s="39" t="s">
        <v>439</v>
      </c>
      <c r="C13" s="40">
        <v>37366494</v>
      </c>
      <c r="D13" s="40">
        <v>77</v>
      </c>
      <c r="E13" s="40"/>
      <c r="F13" s="40"/>
      <c r="G13" s="40">
        <v>6963251</v>
      </c>
      <c r="H13" s="40">
        <v>4895998</v>
      </c>
      <c r="I13" s="40">
        <v>4444501</v>
      </c>
      <c r="J13" s="40">
        <v>40</v>
      </c>
      <c r="K13" s="40">
        <v>500001</v>
      </c>
      <c r="L13" s="41"/>
      <c r="M13" s="5">
        <f t="shared" si="0"/>
        <v>16303750</v>
      </c>
      <c r="N13" s="5">
        <f t="shared" si="1"/>
        <v>53670244</v>
      </c>
      <c r="O13" s="5">
        <f t="shared" si="2"/>
        <v>485279.14285714284</v>
      </c>
      <c r="P13" s="5">
        <f t="shared" si="3"/>
        <v>407593.75</v>
      </c>
      <c r="Q13" s="16" t="str">
        <f t="shared" si="4"/>
        <v/>
      </c>
    </row>
    <row r="14" spans="1:17" ht="21.75" customHeight="1" x14ac:dyDescent="0.2">
      <c r="A14" s="38">
        <v>46182</v>
      </c>
      <c r="B14" s="39" t="s">
        <v>440</v>
      </c>
      <c r="C14" s="40">
        <v>32556501</v>
      </c>
      <c r="D14" s="40">
        <v>78</v>
      </c>
      <c r="E14" s="40"/>
      <c r="F14" s="40"/>
      <c r="G14" s="40">
        <v>5794398</v>
      </c>
      <c r="H14" s="40">
        <v>3027007</v>
      </c>
      <c r="I14" s="40">
        <v>2752999</v>
      </c>
      <c r="J14" s="40">
        <v>41</v>
      </c>
      <c r="K14" s="40">
        <v>3360458</v>
      </c>
      <c r="L14" s="41"/>
      <c r="M14" s="5">
        <f t="shared" si="0"/>
        <v>11574404</v>
      </c>
      <c r="N14" s="5">
        <f t="shared" si="1"/>
        <v>44130905</v>
      </c>
      <c r="O14" s="5">
        <f t="shared" si="2"/>
        <v>417391.03846153844</v>
      </c>
      <c r="P14" s="5">
        <f t="shared" si="3"/>
        <v>282302.53658536583</v>
      </c>
      <c r="Q14" s="16" t="str">
        <f t="shared" si="4"/>
        <v/>
      </c>
    </row>
    <row r="15" spans="1:17" ht="21.75" customHeight="1" x14ac:dyDescent="0.2">
      <c r="A15" s="38">
        <v>46183</v>
      </c>
      <c r="B15" s="39" t="s">
        <v>441</v>
      </c>
      <c r="C15" s="40">
        <v>35076777</v>
      </c>
      <c r="D15" s="40">
        <v>78</v>
      </c>
      <c r="E15" s="40"/>
      <c r="F15" s="40"/>
      <c r="G15" s="40">
        <v>5953000</v>
      </c>
      <c r="H15" s="40">
        <v>6386501</v>
      </c>
      <c r="I15" s="40">
        <v>3655000</v>
      </c>
      <c r="J15" s="40">
        <v>54</v>
      </c>
      <c r="K15" s="40"/>
      <c r="L15" s="41"/>
      <c r="M15" s="5">
        <f t="shared" si="0"/>
        <v>15994501</v>
      </c>
      <c r="N15" s="5">
        <f t="shared" si="1"/>
        <v>51071278</v>
      </c>
      <c r="O15" s="5">
        <f t="shared" si="2"/>
        <v>449702.26923076925</v>
      </c>
      <c r="P15" s="5">
        <f t="shared" si="3"/>
        <v>296194.46296296298</v>
      </c>
      <c r="Q15" s="16" t="str">
        <f t="shared" si="4"/>
        <v/>
      </c>
    </row>
    <row r="16" spans="1:17" ht="21.75" customHeight="1" x14ac:dyDescent="0.2">
      <c r="A16" s="38">
        <v>46184</v>
      </c>
      <c r="B16" s="39" t="s">
        <v>442</v>
      </c>
      <c r="C16" s="40">
        <v>38982670</v>
      </c>
      <c r="D16" s="40">
        <v>93</v>
      </c>
      <c r="E16" s="40"/>
      <c r="F16" s="40"/>
      <c r="G16" s="40">
        <v>4152001</v>
      </c>
      <c r="H16" s="40">
        <v>6902001</v>
      </c>
      <c r="I16" s="40">
        <v>4139000</v>
      </c>
      <c r="J16" s="40">
        <v>41</v>
      </c>
      <c r="K16" s="40"/>
      <c r="L16" s="41"/>
      <c r="M16" s="5">
        <f t="shared" si="0"/>
        <v>15193002</v>
      </c>
      <c r="N16" s="5">
        <f t="shared" si="1"/>
        <v>54175672</v>
      </c>
      <c r="O16" s="5">
        <f t="shared" si="2"/>
        <v>419168.49462365592</v>
      </c>
      <c r="P16" s="5">
        <f t="shared" si="3"/>
        <v>370561.02439024393</v>
      </c>
      <c r="Q16" s="16" t="str">
        <f t="shared" si="4"/>
        <v/>
      </c>
    </row>
    <row r="17" spans="1:17" ht="21.75" customHeight="1" x14ac:dyDescent="0.2">
      <c r="A17" s="38">
        <v>46185</v>
      </c>
      <c r="B17" s="39" t="s">
        <v>443</v>
      </c>
      <c r="C17" s="40">
        <v>38728177</v>
      </c>
      <c r="D17" s="40">
        <v>91</v>
      </c>
      <c r="E17" s="40"/>
      <c r="F17" s="40"/>
      <c r="G17" s="40">
        <v>12255008</v>
      </c>
      <c r="H17" s="40">
        <v>2257002</v>
      </c>
      <c r="I17" s="40">
        <v>4691505</v>
      </c>
      <c r="J17" s="40">
        <v>67</v>
      </c>
      <c r="K17" s="40">
        <v>1028800</v>
      </c>
      <c r="L17" s="41"/>
      <c r="M17" s="5">
        <f t="shared" si="0"/>
        <v>19203515</v>
      </c>
      <c r="N17" s="5">
        <f t="shared" si="1"/>
        <v>57931692</v>
      </c>
      <c r="O17" s="5">
        <f t="shared" si="2"/>
        <v>425584.36263736262</v>
      </c>
      <c r="P17" s="5">
        <f t="shared" si="3"/>
        <v>286619.62686567166</v>
      </c>
      <c r="Q17" s="16" t="str">
        <f t="shared" si="4"/>
        <v/>
      </c>
    </row>
    <row r="18" spans="1:17" ht="21.75" customHeight="1" x14ac:dyDescent="0.2">
      <c r="A18" s="42">
        <v>46186</v>
      </c>
      <c r="B18" s="43" t="s">
        <v>444</v>
      </c>
      <c r="C18" s="40">
        <v>31497793</v>
      </c>
      <c r="D18" s="40">
        <v>83</v>
      </c>
      <c r="E18" s="40"/>
      <c r="F18" s="40"/>
      <c r="G18" s="40">
        <v>11464504</v>
      </c>
      <c r="H18" s="40">
        <v>7201257</v>
      </c>
      <c r="I18" s="40">
        <v>6032008</v>
      </c>
      <c r="J18" s="40">
        <v>92</v>
      </c>
      <c r="K18" s="40">
        <v>247224</v>
      </c>
      <c r="L18" s="41"/>
      <c r="M18" s="5">
        <f t="shared" si="0"/>
        <v>24697769</v>
      </c>
      <c r="N18" s="5">
        <f t="shared" si="1"/>
        <v>56195562</v>
      </c>
      <c r="O18" s="5">
        <f t="shared" si="2"/>
        <v>379491.48192771082</v>
      </c>
      <c r="P18" s="5">
        <f t="shared" si="3"/>
        <v>268454.01086956525</v>
      </c>
      <c r="Q18" s="16" t="str">
        <f t="shared" si="4"/>
        <v/>
      </c>
    </row>
    <row r="19" spans="1:17" ht="21.75" customHeight="1" x14ac:dyDescent="0.2">
      <c r="A19" s="42">
        <v>46187</v>
      </c>
      <c r="B19" s="43" t="s">
        <v>445</v>
      </c>
      <c r="C19" s="40">
        <v>28744795</v>
      </c>
      <c r="D19" s="40">
        <v>66</v>
      </c>
      <c r="E19" s="40"/>
      <c r="F19" s="40"/>
      <c r="G19" s="40">
        <v>13214251</v>
      </c>
      <c r="H19" s="40">
        <v>5159002</v>
      </c>
      <c r="I19" s="40">
        <v>3576999</v>
      </c>
      <c r="J19" s="40">
        <v>62</v>
      </c>
      <c r="K19" s="40">
        <v>1325096</v>
      </c>
      <c r="L19" s="41"/>
      <c r="M19" s="5">
        <f t="shared" si="0"/>
        <v>21950252</v>
      </c>
      <c r="N19" s="5">
        <f t="shared" si="1"/>
        <v>50695047</v>
      </c>
      <c r="O19" s="5">
        <f t="shared" si="2"/>
        <v>435527.19696969696</v>
      </c>
      <c r="P19" s="5">
        <f t="shared" si="3"/>
        <v>354036.32258064515</v>
      </c>
      <c r="Q19" s="16" t="str">
        <f t="shared" si="4"/>
        <v/>
      </c>
    </row>
    <row r="20" spans="1:17" ht="21.75" customHeight="1" x14ac:dyDescent="0.2">
      <c r="A20" s="38">
        <v>46188</v>
      </c>
      <c r="B20" s="39" t="s">
        <v>439</v>
      </c>
      <c r="C20" s="40">
        <v>43171287</v>
      </c>
      <c r="D20" s="40">
        <v>108</v>
      </c>
      <c r="E20" s="40"/>
      <c r="F20" s="40"/>
      <c r="G20" s="40">
        <v>5703750</v>
      </c>
      <c r="H20" s="40">
        <v>5266005</v>
      </c>
      <c r="I20" s="40">
        <v>2257998</v>
      </c>
      <c r="J20" s="40">
        <v>36</v>
      </c>
      <c r="K20" s="40">
        <v>1428800</v>
      </c>
      <c r="L20" s="41"/>
      <c r="M20" s="5">
        <f t="shared" si="0"/>
        <v>13227753</v>
      </c>
      <c r="N20" s="5">
        <f t="shared" si="1"/>
        <v>56399040</v>
      </c>
      <c r="O20" s="5">
        <f t="shared" si="2"/>
        <v>399734.13888888888</v>
      </c>
      <c r="P20" s="5">
        <f t="shared" si="3"/>
        <v>367437.58333333331</v>
      </c>
      <c r="Q20" s="16" t="str">
        <f t="shared" si="4"/>
        <v/>
      </c>
    </row>
    <row r="21" spans="1:17" ht="21.75" customHeight="1" x14ac:dyDescent="0.2">
      <c r="A21" s="38">
        <v>46189</v>
      </c>
      <c r="B21" s="39" t="s">
        <v>440</v>
      </c>
      <c r="C21" s="40">
        <v>46580087</v>
      </c>
      <c r="D21" s="40">
        <v>111</v>
      </c>
      <c r="E21" s="40"/>
      <c r="F21" s="40"/>
      <c r="G21" s="40">
        <v>8659502</v>
      </c>
      <c r="H21" s="40">
        <v>2660002</v>
      </c>
      <c r="I21" s="40">
        <v>5711999</v>
      </c>
      <c r="J21" s="40">
        <v>55</v>
      </c>
      <c r="K21" s="40">
        <v>1936000</v>
      </c>
      <c r="L21" s="41"/>
      <c r="M21" s="5">
        <f t="shared" si="0"/>
        <v>17031503</v>
      </c>
      <c r="N21" s="5">
        <f t="shared" si="1"/>
        <v>63611590</v>
      </c>
      <c r="O21" s="5">
        <f t="shared" si="2"/>
        <v>419640.42342342343</v>
      </c>
      <c r="P21" s="5">
        <f t="shared" si="3"/>
        <v>309663.69090909092</v>
      </c>
      <c r="Q21" s="16" t="str">
        <f t="shared" si="4"/>
        <v/>
      </c>
    </row>
    <row r="22" spans="1:17" ht="21.75" customHeight="1" x14ac:dyDescent="0.2">
      <c r="A22" s="38">
        <v>46190</v>
      </c>
      <c r="B22" s="39" t="s">
        <v>441</v>
      </c>
      <c r="C22" s="40">
        <v>43863858</v>
      </c>
      <c r="D22" s="40">
        <v>101</v>
      </c>
      <c r="E22" s="40"/>
      <c r="F22" s="40"/>
      <c r="G22" s="40">
        <v>7292002</v>
      </c>
      <c r="H22" s="40">
        <v>3709999</v>
      </c>
      <c r="I22" s="40">
        <v>2986701</v>
      </c>
      <c r="J22" s="40">
        <v>51</v>
      </c>
      <c r="K22" s="40">
        <v>686400</v>
      </c>
      <c r="L22" s="41"/>
      <c r="M22" s="5">
        <f t="shared" si="0"/>
        <v>13988702</v>
      </c>
      <c r="N22" s="5">
        <f t="shared" si="1"/>
        <v>57852560</v>
      </c>
      <c r="O22" s="5">
        <f t="shared" si="2"/>
        <v>434295.62376237626</v>
      </c>
      <c r="P22" s="5">
        <f t="shared" si="3"/>
        <v>274288.27450980392</v>
      </c>
      <c r="Q22" s="16" t="str">
        <f t="shared" si="4"/>
        <v/>
      </c>
    </row>
    <row r="23" spans="1:17" ht="21.75" customHeight="1" x14ac:dyDescent="0.2">
      <c r="A23" s="38">
        <v>46191</v>
      </c>
      <c r="B23" s="39" t="s">
        <v>442</v>
      </c>
      <c r="C23" s="40">
        <v>50451089</v>
      </c>
      <c r="D23" s="40">
        <v>116</v>
      </c>
      <c r="E23" s="40"/>
      <c r="F23" s="40"/>
      <c r="G23" s="40">
        <v>6905755</v>
      </c>
      <c r="H23" s="40">
        <v>7952503</v>
      </c>
      <c r="I23" s="40">
        <v>3556500</v>
      </c>
      <c r="J23" s="40">
        <v>51</v>
      </c>
      <c r="K23" s="40"/>
      <c r="L23" s="41"/>
      <c r="M23" s="5">
        <f t="shared" si="0"/>
        <v>18414758</v>
      </c>
      <c r="N23" s="5">
        <f t="shared" si="1"/>
        <v>68865847</v>
      </c>
      <c r="O23" s="5">
        <f t="shared" si="2"/>
        <v>434923.18103448278</v>
      </c>
      <c r="P23" s="5">
        <f t="shared" si="3"/>
        <v>361073.68627450982</v>
      </c>
      <c r="Q23" s="16" t="str">
        <f t="shared" si="4"/>
        <v/>
      </c>
    </row>
    <row r="24" spans="1:17" ht="21.75" customHeight="1" x14ac:dyDescent="0.2">
      <c r="A24" s="38">
        <v>46192</v>
      </c>
      <c r="B24" s="39" t="s">
        <v>443</v>
      </c>
      <c r="C24" s="40">
        <v>46483315</v>
      </c>
      <c r="D24" s="40">
        <v>104</v>
      </c>
      <c r="E24" s="40"/>
      <c r="F24" s="40"/>
      <c r="G24" s="40">
        <v>10739751</v>
      </c>
      <c r="H24" s="40">
        <v>4609999</v>
      </c>
      <c r="I24" s="40">
        <v>5580499</v>
      </c>
      <c r="J24" s="40">
        <v>66</v>
      </c>
      <c r="K24" s="40">
        <v>2124867</v>
      </c>
      <c r="L24" s="41"/>
      <c r="M24" s="5">
        <f t="shared" si="0"/>
        <v>20930249</v>
      </c>
      <c r="N24" s="5">
        <f t="shared" si="1"/>
        <v>67413564</v>
      </c>
      <c r="O24" s="5">
        <f t="shared" si="2"/>
        <v>446954.95192307694</v>
      </c>
      <c r="P24" s="5">
        <f t="shared" si="3"/>
        <v>317124.98484848486</v>
      </c>
      <c r="Q24" s="16" t="str">
        <f t="shared" si="4"/>
        <v/>
      </c>
    </row>
    <row r="25" spans="1:17" ht="21.75" customHeight="1" x14ac:dyDescent="0.2">
      <c r="A25" s="42">
        <v>46193</v>
      </c>
      <c r="B25" s="43" t="s">
        <v>444</v>
      </c>
      <c r="C25" s="40">
        <v>35169565</v>
      </c>
      <c r="D25" s="40">
        <v>81</v>
      </c>
      <c r="E25" s="40"/>
      <c r="F25" s="40"/>
      <c r="G25" s="40">
        <v>9487759</v>
      </c>
      <c r="H25" s="40">
        <v>2568998</v>
      </c>
      <c r="I25" s="40">
        <v>4029501</v>
      </c>
      <c r="J25" s="40">
        <v>60</v>
      </c>
      <c r="K25" s="40">
        <v>502400</v>
      </c>
      <c r="L25" s="41"/>
      <c r="M25" s="5">
        <f t="shared" si="0"/>
        <v>16086258</v>
      </c>
      <c r="N25" s="5">
        <f t="shared" si="1"/>
        <v>51255823</v>
      </c>
      <c r="O25" s="5">
        <f t="shared" si="2"/>
        <v>434192.16049382713</v>
      </c>
      <c r="P25" s="5">
        <f t="shared" si="3"/>
        <v>268104.3</v>
      </c>
      <c r="Q25" s="16" t="str">
        <f t="shared" si="4"/>
        <v/>
      </c>
    </row>
    <row r="26" spans="1:17" ht="21.75" customHeight="1" x14ac:dyDescent="0.2">
      <c r="A26" s="42">
        <v>46194</v>
      </c>
      <c r="B26" s="43" t="s">
        <v>445</v>
      </c>
      <c r="C26" s="40">
        <v>36436552</v>
      </c>
      <c r="D26" s="40">
        <v>65</v>
      </c>
      <c r="E26" s="40"/>
      <c r="F26" s="40"/>
      <c r="G26" s="40">
        <v>7185011</v>
      </c>
      <c r="H26" s="40">
        <v>3444004</v>
      </c>
      <c r="I26" s="40">
        <v>4879516</v>
      </c>
      <c r="J26" s="40">
        <v>59</v>
      </c>
      <c r="K26" s="40">
        <v>3473370</v>
      </c>
      <c r="L26" s="41"/>
      <c r="M26" s="5">
        <f t="shared" si="0"/>
        <v>15508531</v>
      </c>
      <c r="N26" s="5">
        <f t="shared" si="1"/>
        <v>51945083</v>
      </c>
      <c r="O26" s="5">
        <f t="shared" si="2"/>
        <v>560562.33846153843</v>
      </c>
      <c r="P26" s="5">
        <f t="shared" si="3"/>
        <v>262856.45762711862</v>
      </c>
      <c r="Q26" s="16" t="str">
        <f t="shared" si="4"/>
        <v/>
      </c>
    </row>
    <row r="27" spans="1:17" ht="21.75" customHeight="1" x14ac:dyDescent="0.2">
      <c r="A27" s="38">
        <v>46195</v>
      </c>
      <c r="B27" s="39" t="s">
        <v>439</v>
      </c>
      <c r="C27" s="40">
        <v>45398787</v>
      </c>
      <c r="D27" s="40">
        <v>84</v>
      </c>
      <c r="E27" s="40"/>
      <c r="F27" s="40"/>
      <c r="G27" s="40">
        <v>5823399</v>
      </c>
      <c r="H27" s="40">
        <v>2786003</v>
      </c>
      <c r="I27" s="40">
        <v>4425502</v>
      </c>
      <c r="J27" s="40">
        <v>43</v>
      </c>
      <c r="K27" s="40">
        <v>259259</v>
      </c>
      <c r="L27" s="41"/>
      <c r="M27" s="5">
        <f t="shared" si="0"/>
        <v>13034904</v>
      </c>
      <c r="N27" s="5">
        <f t="shared" si="1"/>
        <v>58433691</v>
      </c>
      <c r="O27" s="5">
        <f t="shared" si="2"/>
        <v>540461.75</v>
      </c>
      <c r="P27" s="5">
        <f t="shared" si="3"/>
        <v>303137.30232558138</v>
      </c>
      <c r="Q27" s="16" t="str">
        <f t="shared" si="4"/>
        <v/>
      </c>
    </row>
    <row r="28" spans="1:17" ht="21.75" customHeight="1" x14ac:dyDescent="0.2">
      <c r="A28" s="38">
        <v>46196</v>
      </c>
      <c r="B28" s="39" t="s">
        <v>440</v>
      </c>
      <c r="C28" s="40">
        <v>33422535</v>
      </c>
      <c r="D28" s="40">
        <v>72</v>
      </c>
      <c r="E28" s="40"/>
      <c r="F28" s="40"/>
      <c r="G28" s="40">
        <v>6753005</v>
      </c>
      <c r="H28" s="40">
        <v>2019004</v>
      </c>
      <c r="I28" s="40">
        <v>2999505</v>
      </c>
      <c r="J28" s="40">
        <v>33</v>
      </c>
      <c r="K28" s="40"/>
      <c r="L28" s="41"/>
      <c r="M28" s="5">
        <f t="shared" si="0"/>
        <v>11771514</v>
      </c>
      <c r="N28" s="5">
        <f t="shared" si="1"/>
        <v>45194049</v>
      </c>
      <c r="O28" s="5">
        <f t="shared" si="2"/>
        <v>464201.875</v>
      </c>
      <c r="P28" s="5">
        <f t="shared" si="3"/>
        <v>356712.54545454547</v>
      </c>
      <c r="Q28" s="16" t="str">
        <f t="shared" si="4"/>
        <v/>
      </c>
    </row>
    <row r="29" spans="1:17" ht="21.75" customHeight="1" x14ac:dyDescent="0.2">
      <c r="A29" s="38">
        <v>46197</v>
      </c>
      <c r="B29" s="39" t="s">
        <v>441</v>
      </c>
      <c r="C29" s="40">
        <v>32879297</v>
      </c>
      <c r="D29" s="40">
        <v>84</v>
      </c>
      <c r="E29" s="40"/>
      <c r="F29" s="40"/>
      <c r="G29" s="40">
        <v>8755015</v>
      </c>
      <c r="H29" s="40">
        <v>3973002</v>
      </c>
      <c r="I29" s="40">
        <v>2503001</v>
      </c>
      <c r="J29" s="40">
        <v>42</v>
      </c>
      <c r="K29" s="40"/>
      <c r="L29" s="41"/>
      <c r="M29" s="5">
        <f t="shared" si="0"/>
        <v>15231018</v>
      </c>
      <c r="N29" s="5">
        <f t="shared" si="1"/>
        <v>48110315</v>
      </c>
      <c r="O29" s="5">
        <f t="shared" si="2"/>
        <v>391420.20238095237</v>
      </c>
      <c r="P29" s="5">
        <f t="shared" si="3"/>
        <v>362643.28571428574</v>
      </c>
      <c r="Q29" s="16" t="str">
        <f t="shared" si="4"/>
        <v/>
      </c>
    </row>
    <row r="30" spans="1:17" ht="21.75" customHeight="1" x14ac:dyDescent="0.2">
      <c r="A30" s="38">
        <v>46198</v>
      </c>
      <c r="B30" s="39" t="s">
        <v>442</v>
      </c>
      <c r="C30" s="40">
        <v>39936389</v>
      </c>
      <c r="D30" s="40">
        <v>100</v>
      </c>
      <c r="E30" s="40"/>
      <c r="F30" s="40"/>
      <c r="G30" s="40">
        <v>7045999</v>
      </c>
      <c r="H30" s="40">
        <v>3766497</v>
      </c>
      <c r="I30" s="40">
        <v>2877502</v>
      </c>
      <c r="J30" s="40">
        <v>52</v>
      </c>
      <c r="K30" s="40"/>
      <c r="L30" s="41"/>
      <c r="M30" s="5">
        <f t="shared" si="0"/>
        <v>13689998</v>
      </c>
      <c r="N30" s="5">
        <f t="shared" si="1"/>
        <v>53626387</v>
      </c>
      <c r="O30" s="5">
        <f t="shared" si="2"/>
        <v>399363.89</v>
      </c>
      <c r="P30" s="5">
        <f t="shared" si="3"/>
        <v>263269.19230769231</v>
      </c>
      <c r="Q30" s="16" t="str">
        <f t="shared" si="4"/>
        <v/>
      </c>
    </row>
    <row r="31" spans="1:17" ht="21.75" customHeight="1" x14ac:dyDescent="0.2">
      <c r="A31" s="38">
        <v>46199</v>
      </c>
      <c r="B31" s="39" t="s">
        <v>443</v>
      </c>
      <c r="C31" s="40">
        <v>34725263</v>
      </c>
      <c r="D31" s="40">
        <v>83</v>
      </c>
      <c r="E31" s="40"/>
      <c r="F31" s="40"/>
      <c r="G31" s="40">
        <v>10419503</v>
      </c>
      <c r="H31" s="40">
        <v>5531499</v>
      </c>
      <c r="I31" s="40">
        <v>4600001</v>
      </c>
      <c r="J31" s="40">
        <v>72</v>
      </c>
      <c r="K31" s="40">
        <v>14000</v>
      </c>
      <c r="L31" s="41"/>
      <c r="M31" s="5">
        <f t="shared" si="0"/>
        <v>20551003</v>
      </c>
      <c r="N31" s="5">
        <f t="shared" si="1"/>
        <v>55276266</v>
      </c>
      <c r="O31" s="5">
        <f t="shared" si="2"/>
        <v>418376.6626506024</v>
      </c>
      <c r="P31" s="5">
        <f t="shared" si="3"/>
        <v>285430.59722222225</v>
      </c>
      <c r="Q31" s="16" t="str">
        <f t="shared" si="4"/>
        <v/>
      </c>
    </row>
    <row r="32" spans="1:17" ht="21.75" customHeight="1" x14ac:dyDescent="0.2">
      <c r="A32" s="42">
        <v>46200</v>
      </c>
      <c r="B32" s="43" t="s">
        <v>444</v>
      </c>
      <c r="C32" s="40">
        <v>31660032</v>
      </c>
      <c r="D32" s="40">
        <v>75</v>
      </c>
      <c r="E32" s="40"/>
      <c r="F32" s="40"/>
      <c r="G32" s="40">
        <v>10394010</v>
      </c>
      <c r="H32" s="40">
        <v>4001503</v>
      </c>
      <c r="I32" s="40">
        <v>5706997</v>
      </c>
      <c r="J32" s="40">
        <v>69</v>
      </c>
      <c r="K32" s="40">
        <v>620370</v>
      </c>
      <c r="L32" s="41"/>
      <c r="M32" s="5">
        <f t="shared" si="0"/>
        <v>20102510</v>
      </c>
      <c r="N32" s="5">
        <f t="shared" si="1"/>
        <v>51762542</v>
      </c>
      <c r="O32" s="5">
        <f t="shared" si="2"/>
        <v>422133.76000000001</v>
      </c>
      <c r="P32" s="5">
        <f t="shared" si="3"/>
        <v>291340.72463768115</v>
      </c>
      <c r="Q32" s="16" t="str">
        <f t="shared" si="4"/>
        <v/>
      </c>
    </row>
    <row r="33" spans="1:17" ht="21.75" customHeight="1" x14ac:dyDescent="0.2">
      <c r="A33" s="42">
        <v>46201</v>
      </c>
      <c r="B33" s="43" t="s">
        <v>445</v>
      </c>
      <c r="C33" s="40">
        <v>28009525</v>
      </c>
      <c r="D33" s="40">
        <v>60</v>
      </c>
      <c r="E33" s="40"/>
      <c r="F33" s="40"/>
      <c r="G33" s="40">
        <v>9633250</v>
      </c>
      <c r="H33" s="40">
        <v>4499504</v>
      </c>
      <c r="I33" s="40">
        <v>2545502</v>
      </c>
      <c r="J33" s="40">
        <v>60</v>
      </c>
      <c r="K33" s="40">
        <v>2516022</v>
      </c>
      <c r="L33" s="41"/>
      <c r="M33" s="5">
        <f t="shared" si="0"/>
        <v>16678256</v>
      </c>
      <c r="N33" s="5">
        <f t="shared" si="1"/>
        <v>44687781</v>
      </c>
      <c r="O33" s="5">
        <f t="shared" si="2"/>
        <v>466825.41666666669</v>
      </c>
      <c r="P33" s="5">
        <f t="shared" si="3"/>
        <v>277970.93333333335</v>
      </c>
      <c r="Q33" s="16" t="str">
        <f t="shared" si="4"/>
        <v/>
      </c>
    </row>
    <row r="34" spans="1:17" ht="21.75" customHeight="1" x14ac:dyDescent="0.2">
      <c r="A34" s="38">
        <v>46202</v>
      </c>
      <c r="B34" s="39" t="s">
        <v>439</v>
      </c>
      <c r="C34" s="40">
        <v>35600022</v>
      </c>
      <c r="D34" s="40">
        <v>73</v>
      </c>
      <c r="E34" s="40"/>
      <c r="F34" s="40"/>
      <c r="G34" s="40">
        <v>7841005</v>
      </c>
      <c r="H34" s="40">
        <v>2889754</v>
      </c>
      <c r="I34" s="40">
        <v>1261999</v>
      </c>
      <c r="J34" s="40">
        <v>35</v>
      </c>
      <c r="K34" s="40"/>
      <c r="L34" s="41"/>
      <c r="M34" s="5">
        <f t="shared" si="0"/>
        <v>11992758</v>
      </c>
      <c r="N34" s="5">
        <f t="shared" si="1"/>
        <v>47592780</v>
      </c>
      <c r="O34" s="5">
        <f t="shared" si="2"/>
        <v>487671.53424657532</v>
      </c>
      <c r="P34" s="5">
        <f t="shared" si="3"/>
        <v>342650.22857142857</v>
      </c>
      <c r="Q34" s="16" t="str">
        <f t="shared" si="4"/>
        <v/>
      </c>
    </row>
    <row r="35" spans="1:17" ht="21.75" customHeight="1" x14ac:dyDescent="0.2">
      <c r="A35" s="38">
        <v>46203</v>
      </c>
      <c r="B35" s="39" t="s">
        <v>440</v>
      </c>
      <c r="C35" s="40">
        <v>36062654</v>
      </c>
      <c r="D35" s="40">
        <v>84</v>
      </c>
      <c r="E35" s="40"/>
      <c r="F35" s="40"/>
      <c r="G35" s="40">
        <v>9861013</v>
      </c>
      <c r="H35" s="40">
        <v>3477498</v>
      </c>
      <c r="I35" s="40">
        <v>3029002</v>
      </c>
      <c r="J35" s="40">
        <v>54</v>
      </c>
      <c r="K35" s="40"/>
      <c r="L35" s="41"/>
      <c r="M35" s="5">
        <f t="shared" si="0"/>
        <v>16367513</v>
      </c>
      <c r="N35" s="5">
        <f t="shared" si="1"/>
        <v>52430167</v>
      </c>
      <c r="O35" s="5">
        <f t="shared" si="2"/>
        <v>429317.30952380953</v>
      </c>
      <c r="P35" s="5">
        <f t="shared" si="3"/>
        <v>303102.09259259258</v>
      </c>
      <c r="Q35" s="16" t="str">
        <f t="shared" si="4"/>
        <v/>
      </c>
    </row>
    <row r="36" spans="1:17" ht="18.75" customHeight="1" x14ac:dyDescent="0.2"/>
    <row r="37" spans="1:17" ht="18.75" customHeight="1" x14ac:dyDescent="0.2"/>
    <row r="38" spans="1:17" ht="18.75" customHeight="1" x14ac:dyDescent="0.2"/>
    <row r="39" spans="1:17" ht="18.75" customHeight="1" x14ac:dyDescent="0.2"/>
    <row r="40" spans="1:17" ht="18.75" customHeight="1" x14ac:dyDescent="0.2"/>
    <row r="41" spans="1:17" ht="18.75" customHeight="1" x14ac:dyDescent="0.2"/>
    <row r="42" spans="1:17" ht="18.75" customHeight="1" x14ac:dyDescent="0.2"/>
    <row r="43" spans="1:17" ht="18.75" customHeight="1" x14ac:dyDescent="0.2"/>
    <row r="44" spans="1:17" ht="18.75" customHeight="1" x14ac:dyDescent="0.2"/>
    <row r="45" spans="1:17" ht="18.75" customHeight="1" x14ac:dyDescent="0.2"/>
    <row r="46" spans="1:17" ht="18.75" customHeight="1" x14ac:dyDescent="0.2"/>
    <row r="47" spans="1:17" ht="18.75" customHeight="1" x14ac:dyDescent="0.2"/>
    <row r="48" spans="1:17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9">
    <mergeCell ref="A1:Q1"/>
    <mergeCell ref="E3:F3"/>
    <mergeCell ref="O3:P3"/>
    <mergeCell ref="G3:J3"/>
    <mergeCell ref="A5:B5"/>
    <mergeCell ref="A2:Q2"/>
    <mergeCell ref="M3:N3"/>
    <mergeCell ref="C3:D3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T200"/>
  <sheetViews>
    <sheetView topLeftCell="A3" zoomScaleNormal="100" workbookViewId="0">
      <pane xSplit="1" topLeftCell="B1" activePane="topRight" state="frozen"/>
      <selection activeCell="A3" sqref="A3"/>
      <selection pane="topRight" activeCell="A35" sqref="A35:L35"/>
    </sheetView>
  </sheetViews>
  <sheetFormatPr baseColWidth="10" defaultColWidth="14" defaultRowHeight="14" x14ac:dyDescent="0.2"/>
  <cols>
    <col min="1" max="1" width="10" customWidth="1"/>
    <col min="2" max="2" width="34.59765625" customWidth="1"/>
    <col min="3" max="3" width="19" customWidth="1"/>
    <col min="4" max="4" width="12" customWidth="1"/>
    <col min="5" max="6" width="18" customWidth="1"/>
    <col min="7" max="7" width="12" customWidth="1"/>
    <col min="8" max="9" width="19" customWidth="1"/>
    <col min="10" max="11" width="17" customWidth="1"/>
    <col min="12" max="12" width="24" customWidth="1"/>
    <col min="13" max="20" width="11" customWidth="1"/>
  </cols>
  <sheetData>
    <row r="1" spans="1:12" ht="33" customHeight="1" x14ac:dyDescent="0.2">
      <c r="A1" s="158" t="s">
        <v>455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spans="1:12" ht="18.75" customHeight="1" x14ac:dyDescent="0.2">
      <c r="A2" s="146" t="s">
        <v>456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</row>
    <row r="3" spans="1:12" ht="36" customHeight="1" x14ac:dyDescent="0.2">
      <c r="A3" s="26" t="s">
        <v>457</v>
      </c>
      <c r="B3" s="26" t="s">
        <v>421</v>
      </c>
      <c r="C3" s="26" t="s">
        <v>423</v>
      </c>
      <c r="D3" s="26" t="s">
        <v>424</v>
      </c>
      <c r="E3" s="26" t="s">
        <v>458</v>
      </c>
      <c r="F3" s="27" t="s">
        <v>426</v>
      </c>
      <c r="G3" s="27" t="s">
        <v>459</v>
      </c>
      <c r="H3" s="28" t="s">
        <v>460</v>
      </c>
      <c r="I3" s="31" t="s">
        <v>461</v>
      </c>
      <c r="J3" s="31" t="s">
        <v>462</v>
      </c>
      <c r="K3" s="31" t="s">
        <v>463</v>
      </c>
      <c r="L3" s="30" t="s">
        <v>432</v>
      </c>
    </row>
    <row r="4" spans="1:12" ht="24" customHeight="1" x14ac:dyDescent="0.2">
      <c r="A4" s="44" t="s">
        <v>464</v>
      </c>
      <c r="B4" s="45" t="s">
        <v>465</v>
      </c>
      <c r="C4" s="46">
        <v>245464513</v>
      </c>
      <c r="D4" s="46">
        <v>551</v>
      </c>
      <c r="E4" s="46">
        <v>441193</v>
      </c>
      <c r="F4" s="47">
        <v>562</v>
      </c>
      <c r="G4" s="48">
        <v>436769</v>
      </c>
      <c r="H4" s="49">
        <v>125253971</v>
      </c>
      <c r="I4" s="50">
        <v>368351482</v>
      </c>
      <c r="J4" s="51">
        <v>0.1991</v>
      </c>
      <c r="K4" s="51">
        <v>0.19109999999999999</v>
      </c>
      <c r="L4" s="52"/>
    </row>
    <row r="5" spans="1:12" ht="24" customHeight="1" x14ac:dyDescent="0.2">
      <c r="A5" s="53" t="s">
        <v>466</v>
      </c>
      <c r="B5" s="54" t="s">
        <v>467</v>
      </c>
      <c r="C5" s="46">
        <v>242953207</v>
      </c>
      <c r="D5" s="46">
        <v>549</v>
      </c>
      <c r="E5" s="46">
        <v>431143</v>
      </c>
      <c r="F5" s="47">
        <v>566</v>
      </c>
      <c r="G5" s="48">
        <v>429245</v>
      </c>
      <c r="H5" s="49">
        <v>124917193</v>
      </c>
      <c r="I5" s="50">
        <v>361614806</v>
      </c>
      <c r="J5" s="51">
        <v>0.39290000000000003</v>
      </c>
      <c r="K5" s="51">
        <v>0.38159999999999999</v>
      </c>
      <c r="L5" s="52"/>
    </row>
    <row r="6" spans="1:12" ht="24" customHeight="1" x14ac:dyDescent="0.2">
      <c r="A6" s="55" t="s">
        <v>468</v>
      </c>
      <c r="B6" s="56" t="s">
        <v>469</v>
      </c>
      <c r="C6" s="46">
        <v>302155753</v>
      </c>
      <c r="D6" s="46">
        <v>668</v>
      </c>
      <c r="E6" s="46">
        <v>441213</v>
      </c>
      <c r="F6" s="47">
        <v>686</v>
      </c>
      <c r="G6" s="48">
        <v>440460</v>
      </c>
      <c r="H6" s="49">
        <v>115187754</v>
      </c>
      <c r="I6" s="50">
        <v>409918206</v>
      </c>
      <c r="J6" s="51">
        <v>0.63429999999999997</v>
      </c>
      <c r="K6" s="51">
        <v>0.55740000000000001</v>
      </c>
      <c r="L6" s="52"/>
    </row>
    <row r="7" spans="1:12" ht="24" customHeight="1" x14ac:dyDescent="0.2">
      <c r="A7" s="57" t="s">
        <v>470</v>
      </c>
      <c r="B7" s="58" t="s">
        <v>471</v>
      </c>
      <c r="C7" s="46">
        <v>246031828</v>
      </c>
      <c r="D7" s="46">
        <v>547</v>
      </c>
      <c r="E7" s="46">
        <v>445341</v>
      </c>
      <c r="F7" s="47">
        <v>558</v>
      </c>
      <c r="G7" s="48">
        <v>440917</v>
      </c>
      <c r="H7" s="49">
        <v>111059203</v>
      </c>
      <c r="I7" s="50">
        <v>354660904</v>
      </c>
      <c r="J7" s="51">
        <v>0.83379999999999999</v>
      </c>
      <c r="K7" s="51">
        <v>0.7268</v>
      </c>
      <c r="L7" s="52"/>
    </row>
    <row r="8" spans="1:12" ht="24" customHeight="1" x14ac:dyDescent="0.2">
      <c r="A8" s="59" t="s">
        <v>472</v>
      </c>
      <c r="B8" s="60" t="s">
        <v>473</v>
      </c>
      <c r="C8" s="46">
        <v>71662676</v>
      </c>
      <c r="D8" s="46">
        <v>156</v>
      </c>
      <c r="E8" s="46">
        <v>452653</v>
      </c>
      <c r="F8" s="47">
        <v>157</v>
      </c>
      <c r="G8" s="48">
        <v>456450</v>
      </c>
      <c r="H8" s="49">
        <v>28360271</v>
      </c>
      <c r="I8" s="50">
        <v>98974196</v>
      </c>
      <c r="J8" s="51">
        <v>0.89159999999999995</v>
      </c>
      <c r="K8" s="51">
        <v>0.77</v>
      </c>
      <c r="L8" s="52"/>
    </row>
    <row r="9" spans="1:12" ht="4.5" customHeight="1" x14ac:dyDescent="0.2">
      <c r="A9" s="61"/>
    </row>
    <row r="10" spans="1:12" ht="18.75" customHeight="1" x14ac:dyDescent="0.2">
      <c r="B10" s="61"/>
    </row>
    <row r="11" spans="1:12" ht="18.75" customHeight="1" x14ac:dyDescent="0.2">
      <c r="C11" s="61"/>
    </row>
    <row r="12" spans="1:12" ht="18.75" customHeight="1" x14ac:dyDescent="0.2">
      <c r="D12" s="61"/>
    </row>
    <row r="13" spans="1:12" ht="18.75" customHeight="1" x14ac:dyDescent="0.2">
      <c r="E13" s="61"/>
    </row>
    <row r="14" spans="1:12" ht="18.75" customHeight="1" x14ac:dyDescent="0.2">
      <c r="F14" s="61"/>
    </row>
    <row r="15" spans="1:12" ht="18.75" customHeight="1" x14ac:dyDescent="0.2">
      <c r="G15" s="61"/>
    </row>
    <row r="16" spans="1:12" ht="18.75" customHeight="1" x14ac:dyDescent="0.2">
      <c r="H16" s="61"/>
    </row>
    <row r="17" spans="1:20" ht="18.75" customHeight="1" x14ac:dyDescent="0.2">
      <c r="I17" s="61"/>
    </row>
    <row r="18" spans="1:20" ht="18.75" customHeight="1" x14ac:dyDescent="0.2">
      <c r="J18" s="61"/>
    </row>
    <row r="19" spans="1:20" ht="18.75" customHeight="1" x14ac:dyDescent="0.2">
      <c r="K19" s="61"/>
    </row>
    <row r="20" spans="1:20" ht="18.75" customHeight="1" x14ac:dyDescent="0.2">
      <c r="L20" s="61"/>
    </row>
    <row r="21" spans="1:20" ht="25.5" customHeight="1" x14ac:dyDescent="0.2">
      <c r="A21" s="62" t="s">
        <v>474</v>
      </c>
      <c r="B21" s="63" t="s">
        <v>475</v>
      </c>
      <c r="C21" s="64">
        <v>1088741202</v>
      </c>
      <c r="D21" s="64">
        <v>2471</v>
      </c>
      <c r="E21" s="64">
        <v>440608</v>
      </c>
      <c r="F21" s="64"/>
      <c r="G21" s="65"/>
      <c r="H21" s="64">
        <v>504778392</v>
      </c>
      <c r="I21" s="64">
        <v>1593519594</v>
      </c>
      <c r="J21" s="66">
        <v>0.89159999999999995</v>
      </c>
      <c r="K21" s="66">
        <v>0.77</v>
      </c>
      <c r="L21" s="61"/>
    </row>
    <row r="22" spans="1:20" ht="18.75" customHeight="1" x14ac:dyDescent="0.2"/>
    <row r="23" spans="1:20" ht="21.75" customHeight="1" x14ac:dyDescent="0.2">
      <c r="A23" s="161" t="s">
        <v>476</v>
      </c>
      <c r="B23" s="143"/>
      <c r="C23" s="67">
        <v>1221140305</v>
      </c>
      <c r="D23" s="33"/>
      <c r="E23" s="33"/>
      <c r="F23" s="33"/>
      <c r="G23" s="33"/>
      <c r="H23" s="68">
        <v>655527931</v>
      </c>
      <c r="I23" s="69">
        <v>1876668236</v>
      </c>
      <c r="J23" s="33"/>
      <c r="K23" s="33"/>
      <c r="L23" s="33"/>
    </row>
    <row r="24" spans="1:20" ht="18.75" customHeight="1" x14ac:dyDescent="0.2"/>
    <row r="25" spans="1:20" ht="18.75" customHeight="1" x14ac:dyDescent="0.2">
      <c r="A25" s="160" t="s">
        <v>477</v>
      </c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</row>
    <row r="26" spans="1:20" ht="18.75" customHeight="1" x14ac:dyDescent="0.2"/>
    <row r="27" spans="1:20" ht="42" customHeight="1" x14ac:dyDescent="0.2">
      <c r="A27" s="162" t="s">
        <v>478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63"/>
      <c r="M27" s="70"/>
      <c r="N27" s="70"/>
      <c r="O27" s="70"/>
      <c r="P27" s="70"/>
      <c r="Q27" s="70"/>
      <c r="R27" s="70"/>
      <c r="S27" s="70"/>
      <c r="T27" s="70"/>
    </row>
    <row r="28" spans="1:20" ht="13.5" customHeight="1" x14ac:dyDescent="0.2">
      <c r="A28" s="71" t="s">
        <v>479</v>
      </c>
      <c r="B28" s="71" t="s">
        <v>480</v>
      </c>
      <c r="C28" s="71" t="s">
        <v>481</v>
      </c>
      <c r="D28" s="71" t="s">
        <v>482</v>
      </c>
      <c r="E28" s="71" t="s">
        <v>483</v>
      </c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</row>
    <row r="29" spans="1:20" ht="300" customHeight="1" x14ac:dyDescent="0.2">
      <c r="A29" s="72">
        <v>1</v>
      </c>
      <c r="B29" s="73" t="s">
        <v>484</v>
      </c>
      <c r="C29" s="73" t="s">
        <v>485</v>
      </c>
      <c r="D29" s="73" t="s">
        <v>486</v>
      </c>
      <c r="E29" s="74" t="s">
        <v>487</v>
      </c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</row>
    <row r="30" spans="1:20" ht="90" customHeight="1" x14ac:dyDescent="0.2">
      <c r="A30" s="72">
        <v>2</v>
      </c>
      <c r="B30" s="73" t="s">
        <v>488</v>
      </c>
      <c r="C30" s="73" t="s">
        <v>489</v>
      </c>
      <c r="D30" s="73" t="s">
        <v>486</v>
      </c>
      <c r="E30" s="74">
        <v>0.8</v>
      </c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</row>
    <row r="31" spans="1:20" ht="135" customHeight="1" x14ac:dyDescent="0.2">
      <c r="A31" s="72">
        <v>3</v>
      </c>
      <c r="B31" s="73" t="s">
        <v>490</v>
      </c>
      <c r="C31" s="73" t="s">
        <v>491</v>
      </c>
      <c r="D31" s="73" t="s">
        <v>492</v>
      </c>
      <c r="E31" s="74">
        <v>1</v>
      </c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</row>
    <row r="32" spans="1:20" ht="150" customHeight="1" x14ac:dyDescent="0.2">
      <c r="A32" s="72">
        <v>4</v>
      </c>
      <c r="B32" s="73" t="s">
        <v>493</v>
      </c>
      <c r="C32" s="73" t="s">
        <v>494</v>
      </c>
      <c r="D32" s="73" t="s">
        <v>486</v>
      </c>
      <c r="E32" s="74">
        <v>0.85</v>
      </c>
      <c r="F32" s="75" t="s">
        <v>495</v>
      </c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</row>
    <row r="33" spans="1:20" ht="45" customHeight="1" x14ac:dyDescent="0.2">
      <c r="A33" s="72">
        <v>5</v>
      </c>
      <c r="B33" s="73" t="s">
        <v>496</v>
      </c>
      <c r="C33" s="73"/>
      <c r="D33" s="73" t="s">
        <v>497</v>
      </c>
      <c r="E33" s="73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</row>
    <row r="34" spans="1:20" ht="90" customHeight="1" x14ac:dyDescent="0.2">
      <c r="A34" s="72">
        <v>6</v>
      </c>
      <c r="B34" s="73" t="s">
        <v>498</v>
      </c>
      <c r="C34" s="73" t="s">
        <v>499</v>
      </c>
      <c r="D34" s="73" t="s">
        <v>500</v>
      </c>
      <c r="E34" s="73" t="s">
        <v>501</v>
      </c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</row>
    <row r="35" spans="1:20" ht="16.5" customHeight="1" x14ac:dyDescent="0.2">
      <c r="A35" s="162" t="s">
        <v>502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63"/>
      <c r="M35" s="75"/>
      <c r="N35" s="75"/>
      <c r="O35" s="75"/>
      <c r="P35" s="75"/>
      <c r="Q35" s="75"/>
      <c r="R35" s="75"/>
      <c r="S35" s="75"/>
      <c r="T35" s="75"/>
    </row>
    <row r="36" spans="1:20" ht="30" customHeight="1" x14ac:dyDescent="0.2">
      <c r="A36" s="72" t="s">
        <v>479</v>
      </c>
      <c r="B36" s="73" t="s">
        <v>503</v>
      </c>
      <c r="C36" s="73" t="s">
        <v>504</v>
      </c>
      <c r="D36" s="73" t="s">
        <v>505</v>
      </c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</row>
    <row r="37" spans="1:20" ht="195" customHeight="1" x14ac:dyDescent="0.2">
      <c r="A37" s="72">
        <v>1</v>
      </c>
      <c r="B37" s="73"/>
      <c r="C37" s="73"/>
      <c r="D37" s="73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</row>
    <row r="38" spans="1:20" ht="105" customHeight="1" x14ac:dyDescent="0.2">
      <c r="A38" s="72">
        <v>2</v>
      </c>
      <c r="B38" s="73"/>
      <c r="C38" s="73"/>
      <c r="D38" s="73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</row>
    <row r="39" spans="1:20" ht="18.75" customHeight="1" x14ac:dyDescent="0.2">
      <c r="A39" s="76">
        <v>3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</row>
    <row r="40" spans="1:20" ht="18.75" customHeight="1" x14ac:dyDescent="0.2"/>
    <row r="41" spans="1:20" ht="18.75" customHeight="1" x14ac:dyDescent="0.2"/>
    <row r="42" spans="1:20" ht="18.75" customHeight="1" x14ac:dyDescent="0.2"/>
    <row r="43" spans="1:20" ht="18.75" customHeight="1" x14ac:dyDescent="0.2"/>
    <row r="44" spans="1:20" ht="18.75" customHeight="1" x14ac:dyDescent="0.2"/>
    <row r="45" spans="1:20" ht="18.75" customHeight="1" x14ac:dyDescent="0.2"/>
    <row r="46" spans="1:20" ht="18.75" customHeight="1" x14ac:dyDescent="0.2"/>
    <row r="47" spans="1:20" ht="18.75" customHeight="1" x14ac:dyDescent="0.2"/>
    <row r="48" spans="1:20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6">
    <mergeCell ref="A35:L35"/>
    <mergeCell ref="A2:L2"/>
    <mergeCell ref="A25:L25"/>
    <mergeCell ref="A1:L1"/>
    <mergeCell ref="A23:B23"/>
    <mergeCell ref="A27:L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Q200"/>
  <sheetViews>
    <sheetView zoomScaleNormal="100" workbookViewId="0">
      <pane xSplit="2" ySplit="4" topLeftCell="C13" activePane="bottomRight" state="frozen"/>
      <selection pane="topRight" activeCell="C1" sqref="C1"/>
      <selection pane="bottomLeft" activeCell="A5" sqref="A5"/>
      <selection pane="bottomRight" activeCell="E6" sqref="E6"/>
    </sheetView>
  </sheetViews>
  <sheetFormatPr baseColWidth="10" defaultColWidth="14" defaultRowHeight="14" x14ac:dyDescent="0.2"/>
  <cols>
    <col min="1" max="1" width="15" customWidth="1"/>
    <col min="2" max="2" width="6" customWidth="1"/>
    <col min="3" max="3" width="19" customWidth="1"/>
    <col min="4" max="4" width="11" customWidth="1"/>
    <col min="5" max="5" width="15" customWidth="1"/>
    <col min="6" max="9" width="17" customWidth="1"/>
    <col min="10" max="10" width="12" customWidth="1"/>
    <col min="11" max="11" width="16" customWidth="1"/>
    <col min="12" max="12" width="27" customWidth="1"/>
    <col min="13" max="14" width="18" customWidth="1"/>
    <col min="15" max="16" width="15" customWidth="1"/>
    <col min="17" max="17" width="12" customWidth="1"/>
    <col min="18" max="20" width="11" customWidth="1"/>
  </cols>
  <sheetData>
    <row r="1" spans="1:17" ht="33" customHeight="1" x14ac:dyDescent="0.2">
      <c r="A1" s="158" t="s">
        <v>506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1.75" customHeight="1" x14ac:dyDescent="0.2">
      <c r="A2" s="146" t="s">
        <v>412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.75" customHeight="1" x14ac:dyDescent="0.2">
      <c r="A3" s="157" t="s">
        <v>413</v>
      </c>
      <c r="B3" s="143"/>
      <c r="C3" s="156" t="s">
        <v>414</v>
      </c>
      <c r="D3" s="143"/>
      <c r="E3" s="159" t="s">
        <v>415</v>
      </c>
      <c r="F3" s="143"/>
      <c r="G3" s="154" t="s">
        <v>416</v>
      </c>
      <c r="H3" s="143"/>
      <c r="I3" s="143"/>
      <c r="J3" s="143"/>
      <c r="K3" s="22" t="s">
        <v>417</v>
      </c>
      <c r="L3" s="23" t="s">
        <v>418</v>
      </c>
      <c r="M3" s="153" t="s">
        <v>419</v>
      </c>
      <c r="N3" s="143"/>
      <c r="O3" s="153" t="s">
        <v>419</v>
      </c>
      <c r="P3" s="143"/>
      <c r="Q3" s="24" t="s">
        <v>420</v>
      </c>
    </row>
    <row r="4" spans="1:17" ht="36" customHeight="1" x14ac:dyDescent="0.2">
      <c r="A4" s="25" t="s">
        <v>421</v>
      </c>
      <c r="B4" s="25" t="s">
        <v>422</v>
      </c>
      <c r="C4" s="26" t="s">
        <v>423</v>
      </c>
      <c r="D4" s="26" t="s">
        <v>424</v>
      </c>
      <c r="E4" s="27" t="s">
        <v>425</v>
      </c>
      <c r="F4" s="27" t="s">
        <v>426</v>
      </c>
      <c r="G4" s="28" t="s">
        <v>427</v>
      </c>
      <c r="H4" s="28" t="s">
        <v>428</v>
      </c>
      <c r="I4" s="28" t="s">
        <v>429</v>
      </c>
      <c r="J4" s="28" t="s">
        <v>430</v>
      </c>
      <c r="K4" s="29" t="s">
        <v>431</v>
      </c>
      <c r="L4" s="30" t="s">
        <v>432</v>
      </c>
      <c r="M4" s="31" t="s">
        <v>433</v>
      </c>
      <c r="N4" s="31" t="s">
        <v>434</v>
      </c>
      <c r="O4" s="31" t="s">
        <v>435</v>
      </c>
      <c r="P4" s="31" t="s">
        <v>436</v>
      </c>
      <c r="Q4" s="31" t="s">
        <v>437</v>
      </c>
    </row>
    <row r="5" spans="1:17" ht="21.75" customHeight="1" x14ac:dyDescent="0.2">
      <c r="A5" s="155" t="s">
        <v>438</v>
      </c>
      <c r="B5" s="143"/>
      <c r="C5" s="32">
        <v>1214990084</v>
      </c>
      <c r="D5" s="33"/>
      <c r="E5" s="33"/>
      <c r="F5" s="33"/>
      <c r="G5" s="34">
        <v>343229305</v>
      </c>
      <c r="H5" s="34">
        <v>169214438</v>
      </c>
      <c r="I5" s="34">
        <v>139782649</v>
      </c>
      <c r="J5" s="33"/>
      <c r="K5" s="33"/>
      <c r="L5" s="33"/>
      <c r="M5" s="35">
        <v>652226392</v>
      </c>
      <c r="N5" s="35">
        <v>1867216476</v>
      </c>
      <c r="O5" s="36">
        <v>450000</v>
      </c>
      <c r="P5" s="36">
        <v>330000</v>
      </c>
      <c r="Q5" s="37"/>
    </row>
    <row r="6" spans="1:17" ht="21.75" customHeight="1" x14ac:dyDescent="0.2">
      <c r="A6" s="38">
        <v>46204</v>
      </c>
      <c r="B6" s="39" t="s">
        <v>441</v>
      </c>
      <c r="C6" s="40">
        <v>41816554</v>
      </c>
      <c r="D6" s="40">
        <v>98</v>
      </c>
      <c r="E6" s="40"/>
      <c r="F6" s="40"/>
      <c r="G6" s="40">
        <v>5255003</v>
      </c>
      <c r="H6" s="40">
        <v>4262751</v>
      </c>
      <c r="I6" s="40">
        <v>5003500</v>
      </c>
      <c r="J6" s="40">
        <v>42</v>
      </c>
      <c r="K6" s="40">
        <v>502858</v>
      </c>
      <c r="L6" s="41"/>
      <c r="M6" s="5">
        <f t="shared" ref="M6:M36" si="0">IF(SUM(G6:I6)&gt;0,SUM(G6:I6),"")</f>
        <v>14521254</v>
      </c>
      <c r="N6" s="5">
        <f t="shared" ref="N6:N36" si="1">IF(N(C6)+N(M6)&gt;0,N(C6)+N(M6),"")</f>
        <v>56337808</v>
      </c>
      <c r="O6" s="5">
        <f t="shared" ref="O6:O36" si="2">IFERROR(IF(D6&gt;0,C6/D6,""),"")</f>
        <v>426699.53061224491</v>
      </c>
      <c r="P6" s="5">
        <f t="shared" ref="P6:P36" si="3">IFERROR(IF(J6&gt;0,M6/J6,""),"")</f>
        <v>345744.14285714284</v>
      </c>
      <c r="Q6" s="16" t="str">
        <f t="shared" ref="Q6:Q36" si="4">IFERROR(IF(E6&gt;0,D6/E6,""),"")</f>
        <v/>
      </c>
    </row>
    <row r="7" spans="1:17" ht="21.75" customHeight="1" x14ac:dyDescent="0.2">
      <c r="A7" s="38">
        <v>46205</v>
      </c>
      <c r="B7" s="39" t="s">
        <v>442</v>
      </c>
      <c r="C7" s="40">
        <v>38248053</v>
      </c>
      <c r="D7" s="40">
        <v>88</v>
      </c>
      <c r="E7" s="40"/>
      <c r="F7" s="40"/>
      <c r="G7" s="40">
        <v>9476011</v>
      </c>
      <c r="H7" s="40">
        <v>5529501</v>
      </c>
      <c r="I7" s="40">
        <v>4494505</v>
      </c>
      <c r="J7" s="40">
        <v>57</v>
      </c>
      <c r="K7" s="40">
        <v>200000</v>
      </c>
      <c r="L7" s="41"/>
      <c r="M7" s="5">
        <f t="shared" si="0"/>
        <v>19500017</v>
      </c>
      <c r="N7" s="5">
        <f t="shared" si="1"/>
        <v>57748070</v>
      </c>
      <c r="O7" s="5">
        <f t="shared" si="2"/>
        <v>434636.96590909088</v>
      </c>
      <c r="P7" s="5">
        <f t="shared" si="3"/>
        <v>342105.56140350876</v>
      </c>
      <c r="Q7" s="16" t="str">
        <f t="shared" si="4"/>
        <v/>
      </c>
    </row>
    <row r="8" spans="1:17" ht="21.75" customHeight="1" x14ac:dyDescent="0.2">
      <c r="A8" s="38">
        <v>46206</v>
      </c>
      <c r="B8" s="39" t="s">
        <v>443</v>
      </c>
      <c r="C8" s="40">
        <v>49557375</v>
      </c>
      <c r="D8" s="40">
        <v>117</v>
      </c>
      <c r="E8" s="40"/>
      <c r="F8" s="40"/>
      <c r="G8" s="40">
        <v>9565500</v>
      </c>
      <c r="H8" s="40">
        <v>4396003</v>
      </c>
      <c r="I8" s="40">
        <v>4959521</v>
      </c>
      <c r="J8" s="40">
        <v>62</v>
      </c>
      <c r="K8" s="40">
        <v>796000</v>
      </c>
      <c r="L8" s="41"/>
      <c r="M8" s="5">
        <f t="shared" si="0"/>
        <v>18921024</v>
      </c>
      <c r="N8" s="5">
        <f t="shared" si="1"/>
        <v>68478399</v>
      </c>
      <c r="O8" s="5">
        <f t="shared" si="2"/>
        <v>423567.30769230769</v>
      </c>
      <c r="P8" s="5">
        <f t="shared" si="3"/>
        <v>305177.80645161291</v>
      </c>
      <c r="Q8" s="16" t="str">
        <f t="shared" si="4"/>
        <v/>
      </c>
    </row>
    <row r="9" spans="1:17" ht="21.75" customHeight="1" x14ac:dyDescent="0.2">
      <c r="A9" s="42">
        <v>46207</v>
      </c>
      <c r="B9" s="43" t="s">
        <v>444</v>
      </c>
      <c r="C9" s="40">
        <v>39630033</v>
      </c>
      <c r="D9" s="40">
        <v>98</v>
      </c>
      <c r="E9" s="40"/>
      <c r="F9" s="40"/>
      <c r="G9" s="40">
        <v>6833004</v>
      </c>
      <c r="H9" s="40">
        <v>6019997</v>
      </c>
      <c r="I9" s="40">
        <v>3574999</v>
      </c>
      <c r="J9" s="40">
        <v>61</v>
      </c>
      <c r="K9" s="40">
        <v>868800</v>
      </c>
      <c r="L9" s="41"/>
      <c r="M9" s="5">
        <f t="shared" si="0"/>
        <v>16428000</v>
      </c>
      <c r="N9" s="5">
        <f t="shared" si="1"/>
        <v>56058033</v>
      </c>
      <c r="O9" s="5">
        <f t="shared" si="2"/>
        <v>404388.09183673467</v>
      </c>
      <c r="P9" s="5">
        <f t="shared" si="3"/>
        <v>269311.47540983604</v>
      </c>
      <c r="Q9" s="16" t="str">
        <f t="shared" si="4"/>
        <v/>
      </c>
    </row>
    <row r="10" spans="1:17" ht="21.75" customHeight="1" x14ac:dyDescent="0.2">
      <c r="A10" s="42">
        <v>46208</v>
      </c>
      <c r="B10" s="43" t="s">
        <v>445</v>
      </c>
      <c r="C10" s="40">
        <v>27398083</v>
      </c>
      <c r="D10" s="40">
        <v>66</v>
      </c>
      <c r="E10" s="40"/>
      <c r="F10" s="40"/>
      <c r="G10" s="40">
        <v>6461003</v>
      </c>
      <c r="H10" s="40">
        <v>9026495</v>
      </c>
      <c r="I10" s="40">
        <v>4521251</v>
      </c>
      <c r="J10" s="40">
        <v>57</v>
      </c>
      <c r="K10" s="40">
        <v>1487482</v>
      </c>
      <c r="L10" s="41"/>
      <c r="M10" s="5">
        <f t="shared" si="0"/>
        <v>20008749</v>
      </c>
      <c r="N10" s="5">
        <f t="shared" si="1"/>
        <v>47406832</v>
      </c>
      <c r="O10" s="5">
        <f t="shared" si="2"/>
        <v>415122.46969696973</v>
      </c>
      <c r="P10" s="5">
        <f t="shared" si="3"/>
        <v>351030.68421052629</v>
      </c>
      <c r="Q10" s="16" t="str">
        <f t="shared" si="4"/>
        <v/>
      </c>
    </row>
    <row r="11" spans="1:17" ht="21.75" customHeight="1" x14ac:dyDescent="0.2">
      <c r="A11" s="38">
        <v>46209</v>
      </c>
      <c r="B11" s="39" t="s">
        <v>439</v>
      </c>
      <c r="C11" s="40">
        <v>41043885</v>
      </c>
      <c r="D11" s="40">
        <v>83</v>
      </c>
      <c r="E11" s="40"/>
      <c r="F11" s="40"/>
      <c r="G11" s="40">
        <v>7666010</v>
      </c>
      <c r="H11" s="40">
        <v>2705002</v>
      </c>
      <c r="I11" s="40">
        <v>2308504</v>
      </c>
      <c r="J11" s="40">
        <v>42</v>
      </c>
      <c r="K11" s="40">
        <v>4991000</v>
      </c>
      <c r="L11" s="41"/>
      <c r="M11" s="5">
        <f t="shared" si="0"/>
        <v>12679516</v>
      </c>
      <c r="N11" s="5">
        <f t="shared" si="1"/>
        <v>53723401</v>
      </c>
      <c r="O11" s="5">
        <f t="shared" si="2"/>
        <v>494504.63855421689</v>
      </c>
      <c r="P11" s="5">
        <f t="shared" si="3"/>
        <v>301893.23809523811</v>
      </c>
      <c r="Q11" s="16" t="str">
        <f t="shared" si="4"/>
        <v/>
      </c>
    </row>
    <row r="12" spans="1:17" ht="21.75" customHeight="1" x14ac:dyDescent="0.2">
      <c r="A12" s="38">
        <v>46210</v>
      </c>
      <c r="B12" s="39" t="s">
        <v>440</v>
      </c>
      <c r="C12" s="40">
        <v>25061535</v>
      </c>
      <c r="D12" s="40">
        <v>69</v>
      </c>
      <c r="E12" s="40"/>
      <c r="F12" s="40"/>
      <c r="G12" s="40">
        <v>7050508</v>
      </c>
      <c r="H12" s="40">
        <v>1835500</v>
      </c>
      <c r="I12" s="40">
        <v>4549001</v>
      </c>
      <c r="J12" s="40">
        <v>48</v>
      </c>
      <c r="K12" s="40"/>
      <c r="L12" s="41"/>
      <c r="M12" s="5">
        <f t="shared" si="0"/>
        <v>13435009</v>
      </c>
      <c r="N12" s="5">
        <f t="shared" si="1"/>
        <v>38496544</v>
      </c>
      <c r="O12" s="5">
        <f t="shared" si="2"/>
        <v>363210.65217391303</v>
      </c>
      <c r="P12" s="5">
        <f t="shared" si="3"/>
        <v>279896.02083333331</v>
      </c>
      <c r="Q12" s="16" t="str">
        <f t="shared" si="4"/>
        <v/>
      </c>
    </row>
    <row r="13" spans="1:17" ht="21.75" customHeight="1" x14ac:dyDescent="0.2">
      <c r="A13" s="38">
        <v>46211</v>
      </c>
      <c r="B13" s="39" t="s">
        <v>441</v>
      </c>
      <c r="C13" s="40">
        <v>43729563</v>
      </c>
      <c r="D13" s="40">
        <v>107</v>
      </c>
      <c r="E13" s="40"/>
      <c r="F13" s="40"/>
      <c r="G13" s="40">
        <v>9457256</v>
      </c>
      <c r="H13" s="40">
        <v>5298505</v>
      </c>
      <c r="I13" s="40">
        <v>3436998</v>
      </c>
      <c r="J13" s="40">
        <v>62</v>
      </c>
      <c r="K13" s="40">
        <v>1828572</v>
      </c>
      <c r="L13" s="41"/>
      <c r="M13" s="5">
        <f t="shared" si="0"/>
        <v>18192759</v>
      </c>
      <c r="N13" s="5">
        <f t="shared" si="1"/>
        <v>61922322</v>
      </c>
      <c r="O13" s="5">
        <f t="shared" si="2"/>
        <v>408687.50467289722</v>
      </c>
      <c r="P13" s="5">
        <f t="shared" si="3"/>
        <v>293431.59677419357</v>
      </c>
      <c r="Q13" s="16" t="str">
        <f t="shared" si="4"/>
        <v/>
      </c>
    </row>
    <row r="14" spans="1:17" ht="21.75" customHeight="1" x14ac:dyDescent="0.2">
      <c r="A14" s="38">
        <v>46212</v>
      </c>
      <c r="B14" s="39" t="s">
        <v>442</v>
      </c>
      <c r="C14" s="40">
        <v>35047269</v>
      </c>
      <c r="D14" s="40">
        <v>77</v>
      </c>
      <c r="E14" s="40"/>
      <c r="F14" s="40"/>
      <c r="G14" s="40">
        <v>9945007</v>
      </c>
      <c r="H14" s="40">
        <v>2135001</v>
      </c>
      <c r="I14" s="40">
        <v>2569001</v>
      </c>
      <c r="J14" s="40">
        <v>50</v>
      </c>
      <c r="K14" s="40">
        <v>868800</v>
      </c>
      <c r="L14" s="41"/>
      <c r="M14" s="5">
        <f t="shared" si="0"/>
        <v>14649009</v>
      </c>
      <c r="N14" s="5">
        <f t="shared" si="1"/>
        <v>49696278</v>
      </c>
      <c r="O14" s="5">
        <f t="shared" si="2"/>
        <v>455159.33766233764</v>
      </c>
      <c r="P14" s="5">
        <f t="shared" si="3"/>
        <v>292980.18</v>
      </c>
      <c r="Q14" s="16" t="str">
        <f t="shared" si="4"/>
        <v/>
      </c>
    </row>
    <row r="15" spans="1:17" ht="21.75" customHeight="1" x14ac:dyDescent="0.2">
      <c r="A15" s="38">
        <v>46213</v>
      </c>
      <c r="B15" s="39" t="s">
        <v>443</v>
      </c>
      <c r="C15" s="40">
        <v>44784589</v>
      </c>
      <c r="D15" s="40">
        <v>97</v>
      </c>
      <c r="E15" s="40"/>
      <c r="F15" s="40"/>
      <c r="G15" s="40">
        <v>8523678</v>
      </c>
      <c r="H15" s="40">
        <v>6983754</v>
      </c>
      <c r="I15" s="40">
        <v>7198000</v>
      </c>
      <c r="J15" s="40">
        <v>73</v>
      </c>
      <c r="K15" s="40">
        <v>3843081</v>
      </c>
      <c r="L15" s="41"/>
      <c r="M15" s="5">
        <f t="shared" si="0"/>
        <v>22705432</v>
      </c>
      <c r="N15" s="5">
        <f t="shared" si="1"/>
        <v>67490021</v>
      </c>
      <c r="O15" s="5">
        <f t="shared" si="2"/>
        <v>461696.79381443298</v>
      </c>
      <c r="P15" s="5">
        <f t="shared" si="3"/>
        <v>311033.31506849313</v>
      </c>
      <c r="Q15" s="16" t="str">
        <f t="shared" si="4"/>
        <v/>
      </c>
    </row>
    <row r="16" spans="1:17" ht="21.75" customHeight="1" x14ac:dyDescent="0.2">
      <c r="A16" s="42">
        <v>46214</v>
      </c>
      <c r="B16" s="43" t="s">
        <v>444</v>
      </c>
      <c r="C16" s="40">
        <v>37429785</v>
      </c>
      <c r="D16" s="40">
        <v>102</v>
      </c>
      <c r="E16" s="40"/>
      <c r="F16" s="40"/>
      <c r="G16" s="40">
        <v>10539998</v>
      </c>
      <c r="H16" s="40">
        <v>7112501</v>
      </c>
      <c r="I16" s="40">
        <v>6608504</v>
      </c>
      <c r="J16" s="40">
        <v>79</v>
      </c>
      <c r="K16" s="40">
        <v>1162000</v>
      </c>
      <c r="L16" s="41"/>
      <c r="M16" s="5">
        <f t="shared" si="0"/>
        <v>24261003</v>
      </c>
      <c r="N16" s="5">
        <f t="shared" si="1"/>
        <v>61690788</v>
      </c>
      <c r="O16" s="5">
        <f t="shared" si="2"/>
        <v>366958.67647058825</v>
      </c>
      <c r="P16" s="5">
        <f t="shared" si="3"/>
        <v>307101.30379746837</v>
      </c>
      <c r="Q16" s="16" t="str">
        <f t="shared" si="4"/>
        <v/>
      </c>
    </row>
    <row r="17" spans="1:17" ht="21.75" customHeight="1" x14ac:dyDescent="0.2">
      <c r="A17" s="42">
        <v>46215</v>
      </c>
      <c r="B17" s="43" t="s">
        <v>445</v>
      </c>
      <c r="C17" s="40">
        <v>24101032</v>
      </c>
      <c r="D17" s="40">
        <v>78</v>
      </c>
      <c r="E17" s="40"/>
      <c r="F17" s="40"/>
      <c r="G17" s="40">
        <v>8568008</v>
      </c>
      <c r="H17" s="40">
        <v>5877003</v>
      </c>
      <c r="I17" s="40">
        <v>3866003</v>
      </c>
      <c r="J17" s="40">
        <v>59</v>
      </c>
      <c r="K17" s="40"/>
      <c r="L17" s="41"/>
      <c r="M17" s="5">
        <f t="shared" si="0"/>
        <v>18311014</v>
      </c>
      <c r="N17" s="5">
        <f t="shared" si="1"/>
        <v>42412046</v>
      </c>
      <c r="O17" s="5">
        <f t="shared" si="2"/>
        <v>308987.58974358975</v>
      </c>
      <c r="P17" s="5">
        <f t="shared" si="3"/>
        <v>310356.16949152545</v>
      </c>
      <c r="Q17" s="16" t="str">
        <f t="shared" si="4"/>
        <v/>
      </c>
    </row>
    <row r="18" spans="1:17" ht="21.75" customHeight="1" x14ac:dyDescent="0.2">
      <c r="A18" s="38">
        <v>46216</v>
      </c>
      <c r="B18" s="39" t="s">
        <v>439</v>
      </c>
      <c r="C18" s="40">
        <v>43339246</v>
      </c>
      <c r="D18" s="40">
        <v>100</v>
      </c>
      <c r="E18" s="40"/>
      <c r="F18" s="40"/>
      <c r="G18" s="40">
        <v>6566006</v>
      </c>
      <c r="H18" s="40">
        <v>3976003</v>
      </c>
      <c r="I18" s="40">
        <v>1930002</v>
      </c>
      <c r="J18" s="40">
        <v>39</v>
      </c>
      <c r="K18" s="40">
        <v>1547800</v>
      </c>
      <c r="L18" s="41"/>
      <c r="M18" s="5">
        <f t="shared" si="0"/>
        <v>12472011</v>
      </c>
      <c r="N18" s="5">
        <f t="shared" si="1"/>
        <v>55811257</v>
      </c>
      <c r="O18" s="5">
        <f t="shared" si="2"/>
        <v>433392.46</v>
      </c>
      <c r="P18" s="5">
        <f t="shared" si="3"/>
        <v>319795.15384615387</v>
      </c>
      <c r="Q18" s="16" t="str">
        <f t="shared" si="4"/>
        <v/>
      </c>
    </row>
    <row r="19" spans="1:17" ht="21.75" customHeight="1" x14ac:dyDescent="0.2">
      <c r="A19" s="38">
        <v>46217</v>
      </c>
      <c r="B19" s="39" t="s">
        <v>440</v>
      </c>
      <c r="C19" s="40">
        <v>33894819</v>
      </c>
      <c r="D19" s="40">
        <v>90</v>
      </c>
      <c r="E19" s="40"/>
      <c r="F19" s="40"/>
      <c r="G19" s="40">
        <v>12829507</v>
      </c>
      <c r="H19" s="40">
        <v>3528750</v>
      </c>
      <c r="I19" s="40">
        <v>3605000</v>
      </c>
      <c r="J19" s="40">
        <v>59</v>
      </c>
      <c r="K19" s="40">
        <v>200000</v>
      </c>
      <c r="L19" s="41"/>
      <c r="M19" s="5">
        <f t="shared" si="0"/>
        <v>19963257</v>
      </c>
      <c r="N19" s="5">
        <f t="shared" si="1"/>
        <v>53858076</v>
      </c>
      <c r="O19" s="5">
        <f t="shared" si="2"/>
        <v>376609.1</v>
      </c>
      <c r="P19" s="5">
        <f t="shared" si="3"/>
        <v>338360.28813559323</v>
      </c>
      <c r="Q19" s="16" t="str">
        <f t="shared" si="4"/>
        <v/>
      </c>
    </row>
    <row r="20" spans="1:17" ht="21.75" customHeight="1" x14ac:dyDescent="0.2">
      <c r="A20" s="38">
        <v>46218</v>
      </c>
      <c r="B20" s="39" t="s">
        <v>441</v>
      </c>
      <c r="C20" s="40">
        <v>38150799</v>
      </c>
      <c r="D20" s="40">
        <v>80</v>
      </c>
      <c r="E20" s="40"/>
      <c r="F20" s="40"/>
      <c r="G20" s="40">
        <v>5518496</v>
      </c>
      <c r="H20" s="40">
        <v>4747506</v>
      </c>
      <c r="I20" s="40">
        <v>3236498</v>
      </c>
      <c r="J20" s="40">
        <v>42</v>
      </c>
      <c r="K20" s="40"/>
      <c r="L20" s="41"/>
      <c r="M20" s="5">
        <f t="shared" si="0"/>
        <v>13502500</v>
      </c>
      <c r="N20" s="5">
        <f t="shared" si="1"/>
        <v>51653299</v>
      </c>
      <c r="O20" s="5">
        <f t="shared" si="2"/>
        <v>476884.98749999999</v>
      </c>
      <c r="P20" s="5">
        <f t="shared" si="3"/>
        <v>321488.09523809527</v>
      </c>
      <c r="Q20" s="16" t="str">
        <f t="shared" si="4"/>
        <v/>
      </c>
    </row>
    <row r="21" spans="1:17" ht="21.75" customHeight="1" x14ac:dyDescent="0.2">
      <c r="A21" s="38">
        <v>46219</v>
      </c>
      <c r="B21" s="39" t="s">
        <v>442</v>
      </c>
      <c r="C21" s="40">
        <v>39665520</v>
      </c>
      <c r="D21" s="40">
        <v>89</v>
      </c>
      <c r="E21" s="40"/>
      <c r="F21" s="40"/>
      <c r="G21" s="40">
        <v>10004741</v>
      </c>
      <c r="H21" s="40">
        <v>2615001</v>
      </c>
      <c r="I21" s="40">
        <v>4320000</v>
      </c>
      <c r="J21" s="40">
        <v>58</v>
      </c>
      <c r="K21" s="40">
        <v>1028800</v>
      </c>
      <c r="L21" s="41"/>
      <c r="M21" s="5">
        <f t="shared" si="0"/>
        <v>16939742</v>
      </c>
      <c r="N21" s="5">
        <f t="shared" si="1"/>
        <v>56605262</v>
      </c>
      <c r="O21" s="5">
        <f t="shared" si="2"/>
        <v>445680</v>
      </c>
      <c r="P21" s="5">
        <f t="shared" si="3"/>
        <v>292064.5172413793</v>
      </c>
      <c r="Q21" s="16" t="str">
        <f t="shared" si="4"/>
        <v/>
      </c>
    </row>
    <row r="22" spans="1:17" ht="21.75" customHeight="1" x14ac:dyDescent="0.2">
      <c r="A22" s="38">
        <v>46220</v>
      </c>
      <c r="B22" s="39" t="s">
        <v>443</v>
      </c>
      <c r="C22" s="40">
        <v>47083158</v>
      </c>
      <c r="D22" s="40">
        <v>104</v>
      </c>
      <c r="E22" s="40"/>
      <c r="F22" s="40"/>
      <c r="G22" s="40">
        <v>8923000</v>
      </c>
      <c r="H22" s="40">
        <v>2255001</v>
      </c>
      <c r="I22" s="40">
        <v>5365199</v>
      </c>
      <c r="J22" s="40">
        <v>63</v>
      </c>
      <c r="K22" s="40">
        <v>1028800</v>
      </c>
      <c r="L22" s="41"/>
      <c r="M22" s="5">
        <f t="shared" si="0"/>
        <v>16543200</v>
      </c>
      <c r="N22" s="5">
        <f t="shared" si="1"/>
        <v>63626358</v>
      </c>
      <c r="O22" s="5">
        <f t="shared" si="2"/>
        <v>452722.67307692306</v>
      </c>
      <c r="P22" s="5">
        <f t="shared" si="3"/>
        <v>262590.47619047621</v>
      </c>
      <c r="Q22" s="16" t="str">
        <f t="shared" si="4"/>
        <v/>
      </c>
    </row>
    <row r="23" spans="1:17" ht="21.75" customHeight="1" x14ac:dyDescent="0.2">
      <c r="A23" s="42">
        <v>46221</v>
      </c>
      <c r="B23" s="43" t="s">
        <v>444</v>
      </c>
      <c r="C23" s="40">
        <v>40097175</v>
      </c>
      <c r="D23" s="40">
        <v>102</v>
      </c>
      <c r="E23" s="40"/>
      <c r="F23" s="40"/>
      <c r="G23" s="40">
        <v>5977296</v>
      </c>
      <c r="H23" s="40">
        <v>5832004</v>
      </c>
      <c r="I23" s="40">
        <v>7530007</v>
      </c>
      <c r="J23" s="40">
        <v>66</v>
      </c>
      <c r="K23" s="40">
        <v>1142400</v>
      </c>
      <c r="L23" s="41"/>
      <c r="M23" s="5">
        <f t="shared" si="0"/>
        <v>19339307</v>
      </c>
      <c r="N23" s="5">
        <f t="shared" si="1"/>
        <v>59436482</v>
      </c>
      <c r="O23" s="5">
        <f t="shared" si="2"/>
        <v>393109.5588235294</v>
      </c>
      <c r="P23" s="5">
        <f t="shared" si="3"/>
        <v>293019.80303030304</v>
      </c>
      <c r="Q23" s="16" t="str">
        <f t="shared" si="4"/>
        <v/>
      </c>
    </row>
    <row r="24" spans="1:17" ht="21.75" customHeight="1" x14ac:dyDescent="0.2">
      <c r="A24" s="42">
        <v>46222</v>
      </c>
      <c r="B24" s="43" t="s">
        <v>445</v>
      </c>
      <c r="C24" s="40">
        <v>25358036</v>
      </c>
      <c r="D24" s="40">
        <v>69</v>
      </c>
      <c r="E24" s="40"/>
      <c r="F24" s="40"/>
      <c r="G24" s="40">
        <v>11550771</v>
      </c>
      <c r="H24" s="40">
        <v>2669997</v>
      </c>
      <c r="I24" s="40">
        <v>2964998</v>
      </c>
      <c r="J24" s="40">
        <v>52</v>
      </c>
      <c r="K24" s="40"/>
      <c r="L24" s="41"/>
      <c r="M24" s="5">
        <f t="shared" si="0"/>
        <v>17185766</v>
      </c>
      <c r="N24" s="5">
        <f t="shared" si="1"/>
        <v>42543802</v>
      </c>
      <c r="O24" s="5">
        <f t="shared" si="2"/>
        <v>367507.76811594202</v>
      </c>
      <c r="P24" s="5">
        <f t="shared" si="3"/>
        <v>330495.5</v>
      </c>
      <c r="Q24" s="16" t="str">
        <f t="shared" si="4"/>
        <v/>
      </c>
    </row>
    <row r="25" spans="1:17" ht="21.75" customHeight="1" x14ac:dyDescent="0.2">
      <c r="A25" s="38">
        <v>46223</v>
      </c>
      <c r="B25" s="39" t="s">
        <v>439</v>
      </c>
      <c r="C25" s="40">
        <v>39654076</v>
      </c>
      <c r="D25" s="40">
        <v>82</v>
      </c>
      <c r="E25" s="40"/>
      <c r="F25" s="40"/>
      <c r="G25" s="40">
        <v>8513004</v>
      </c>
      <c r="H25" s="40">
        <v>3100502</v>
      </c>
      <c r="I25" s="40">
        <v>2328002</v>
      </c>
      <c r="J25" s="40">
        <v>41</v>
      </c>
      <c r="K25" s="40">
        <v>2742400</v>
      </c>
      <c r="L25" s="41"/>
      <c r="M25" s="5">
        <f t="shared" si="0"/>
        <v>13941508</v>
      </c>
      <c r="N25" s="5">
        <f t="shared" si="1"/>
        <v>53595584</v>
      </c>
      <c r="O25" s="5">
        <f t="shared" si="2"/>
        <v>483586.29268292681</v>
      </c>
      <c r="P25" s="5">
        <f t="shared" si="3"/>
        <v>340036.78048780491</v>
      </c>
      <c r="Q25" s="16" t="str">
        <f t="shared" si="4"/>
        <v/>
      </c>
    </row>
    <row r="26" spans="1:17" ht="21.75" customHeight="1" x14ac:dyDescent="0.2">
      <c r="A26" s="38">
        <v>46224</v>
      </c>
      <c r="B26" s="39" t="s">
        <v>440</v>
      </c>
      <c r="C26" s="40">
        <v>43848527</v>
      </c>
      <c r="D26" s="40">
        <v>93</v>
      </c>
      <c r="E26" s="40"/>
      <c r="F26" s="40"/>
      <c r="G26" s="40">
        <v>10045996</v>
      </c>
      <c r="H26" s="40">
        <v>2430000</v>
      </c>
      <c r="I26" s="40">
        <v>3247000</v>
      </c>
      <c r="J26" s="40">
        <v>58</v>
      </c>
      <c r="K26" s="40">
        <v>1762422</v>
      </c>
      <c r="L26" s="41"/>
      <c r="M26" s="5">
        <f t="shared" si="0"/>
        <v>15722996</v>
      </c>
      <c r="N26" s="5">
        <f t="shared" si="1"/>
        <v>59571523</v>
      </c>
      <c r="O26" s="5">
        <f t="shared" si="2"/>
        <v>471489.53763440863</v>
      </c>
      <c r="P26" s="5">
        <f t="shared" si="3"/>
        <v>271086.13793103449</v>
      </c>
      <c r="Q26" s="16" t="str">
        <f t="shared" si="4"/>
        <v/>
      </c>
    </row>
    <row r="27" spans="1:17" ht="21.75" customHeight="1" x14ac:dyDescent="0.2">
      <c r="A27" s="38">
        <v>46225</v>
      </c>
      <c r="B27" s="39" t="s">
        <v>441</v>
      </c>
      <c r="C27" s="40">
        <v>36900037</v>
      </c>
      <c r="D27" s="40">
        <v>84</v>
      </c>
      <c r="E27" s="40"/>
      <c r="F27" s="40"/>
      <c r="G27" s="40">
        <v>13002501</v>
      </c>
      <c r="H27" s="40">
        <v>7268306</v>
      </c>
      <c r="I27" s="40">
        <v>4719003</v>
      </c>
      <c r="J27" s="40">
        <v>58</v>
      </c>
      <c r="K27" s="40">
        <v>1131200</v>
      </c>
      <c r="L27" s="41"/>
      <c r="M27" s="5">
        <f t="shared" si="0"/>
        <v>24989810</v>
      </c>
      <c r="N27" s="5">
        <f t="shared" si="1"/>
        <v>61889847</v>
      </c>
      <c r="O27" s="5">
        <f t="shared" si="2"/>
        <v>439286.15476190473</v>
      </c>
      <c r="P27" s="5">
        <f t="shared" si="3"/>
        <v>430858.79310344829</v>
      </c>
      <c r="Q27" s="16" t="str">
        <f t="shared" si="4"/>
        <v/>
      </c>
    </row>
    <row r="28" spans="1:17" ht="21.75" customHeight="1" x14ac:dyDescent="0.2">
      <c r="A28" s="38">
        <v>46226</v>
      </c>
      <c r="B28" s="39" t="s">
        <v>442</v>
      </c>
      <c r="C28" s="40">
        <v>39534789</v>
      </c>
      <c r="D28" s="40">
        <v>110</v>
      </c>
      <c r="E28" s="40"/>
      <c r="F28" s="40"/>
      <c r="G28" s="40">
        <v>8705009</v>
      </c>
      <c r="H28" s="40">
        <v>2785001</v>
      </c>
      <c r="I28" s="40">
        <v>6959004</v>
      </c>
      <c r="J28" s="40">
        <v>65</v>
      </c>
      <c r="K28" s="40">
        <v>754286</v>
      </c>
      <c r="L28" s="41"/>
      <c r="M28" s="5">
        <f t="shared" si="0"/>
        <v>18449014</v>
      </c>
      <c r="N28" s="5">
        <f t="shared" si="1"/>
        <v>57983803</v>
      </c>
      <c r="O28" s="5">
        <f t="shared" si="2"/>
        <v>359407.17272727273</v>
      </c>
      <c r="P28" s="5">
        <f t="shared" si="3"/>
        <v>283830.9846153846</v>
      </c>
      <c r="Q28" s="16" t="str">
        <f t="shared" si="4"/>
        <v/>
      </c>
    </row>
    <row r="29" spans="1:17" ht="21.75" customHeight="1" x14ac:dyDescent="0.2">
      <c r="A29" s="38">
        <v>46227</v>
      </c>
      <c r="B29" s="39" t="s">
        <v>443</v>
      </c>
      <c r="C29" s="40">
        <v>41297566</v>
      </c>
      <c r="D29" s="40">
        <v>107</v>
      </c>
      <c r="E29" s="40"/>
      <c r="F29" s="40"/>
      <c r="G29" s="40">
        <v>5780004</v>
      </c>
      <c r="H29" s="40">
        <v>2550001</v>
      </c>
      <c r="I29" s="40">
        <v>2405000</v>
      </c>
      <c r="J29" s="40">
        <v>42</v>
      </c>
      <c r="K29" s="40"/>
      <c r="L29" s="41"/>
      <c r="M29" s="5">
        <f t="shared" si="0"/>
        <v>10735005</v>
      </c>
      <c r="N29" s="5">
        <f t="shared" si="1"/>
        <v>52032571</v>
      </c>
      <c r="O29" s="5">
        <f t="shared" si="2"/>
        <v>385958.56074766355</v>
      </c>
      <c r="P29" s="5">
        <f t="shared" si="3"/>
        <v>255595.35714285713</v>
      </c>
      <c r="Q29" s="16" t="str">
        <f t="shared" si="4"/>
        <v/>
      </c>
    </row>
    <row r="30" spans="1:17" ht="21.75" customHeight="1" x14ac:dyDescent="0.2">
      <c r="A30" s="42">
        <v>46228</v>
      </c>
      <c r="B30" s="43" t="s">
        <v>444</v>
      </c>
      <c r="C30" s="40">
        <v>40492710</v>
      </c>
      <c r="D30" s="40">
        <v>92</v>
      </c>
      <c r="E30" s="40"/>
      <c r="F30" s="40"/>
      <c r="G30" s="40">
        <v>10590247</v>
      </c>
      <c r="H30" s="40">
        <v>5624002</v>
      </c>
      <c r="I30" s="40">
        <v>3293999</v>
      </c>
      <c r="J30" s="40">
        <v>66</v>
      </c>
      <c r="K30" s="40">
        <v>3655400</v>
      </c>
      <c r="L30" s="41"/>
      <c r="M30" s="5">
        <f t="shared" si="0"/>
        <v>19508248</v>
      </c>
      <c r="N30" s="5">
        <f t="shared" si="1"/>
        <v>60000958</v>
      </c>
      <c r="O30" s="5">
        <f t="shared" si="2"/>
        <v>440138.15217391303</v>
      </c>
      <c r="P30" s="5">
        <f t="shared" si="3"/>
        <v>295579.51515151514</v>
      </c>
      <c r="Q30" s="16" t="str">
        <f t="shared" si="4"/>
        <v/>
      </c>
    </row>
    <row r="31" spans="1:17" ht="21.75" customHeight="1" x14ac:dyDescent="0.2">
      <c r="A31" s="42">
        <v>46229</v>
      </c>
      <c r="B31" s="43" t="s">
        <v>445</v>
      </c>
      <c r="C31" s="40">
        <v>26779522</v>
      </c>
      <c r="D31" s="40">
        <v>69</v>
      </c>
      <c r="E31" s="40"/>
      <c r="F31" s="40"/>
      <c r="G31" s="40">
        <v>11422009</v>
      </c>
      <c r="H31" s="40">
        <v>3517004</v>
      </c>
      <c r="I31" s="40">
        <v>3657499</v>
      </c>
      <c r="J31" s="40">
        <v>57</v>
      </c>
      <c r="K31" s="40"/>
      <c r="L31" s="41"/>
      <c r="M31" s="5">
        <f t="shared" si="0"/>
        <v>18596512</v>
      </c>
      <c r="N31" s="5">
        <f t="shared" si="1"/>
        <v>45376034</v>
      </c>
      <c r="O31" s="5">
        <f t="shared" si="2"/>
        <v>388109.0144927536</v>
      </c>
      <c r="P31" s="5">
        <f t="shared" si="3"/>
        <v>326254.59649122809</v>
      </c>
      <c r="Q31" s="16" t="str">
        <f t="shared" si="4"/>
        <v/>
      </c>
    </row>
    <row r="32" spans="1:17" ht="21.75" customHeight="1" x14ac:dyDescent="0.2">
      <c r="A32" s="38">
        <v>46230</v>
      </c>
      <c r="B32" s="39" t="s">
        <v>439</v>
      </c>
      <c r="C32" s="40">
        <v>47824789</v>
      </c>
      <c r="D32" s="40">
        <v>104</v>
      </c>
      <c r="E32" s="40"/>
      <c r="F32" s="40"/>
      <c r="G32" s="40">
        <v>6449508</v>
      </c>
      <c r="H32" s="40">
        <v>2398499</v>
      </c>
      <c r="I32" s="40">
        <v>1480003</v>
      </c>
      <c r="J32" s="40">
        <v>39</v>
      </c>
      <c r="K32" s="40"/>
      <c r="L32" s="41"/>
      <c r="M32" s="5">
        <f t="shared" si="0"/>
        <v>10328010</v>
      </c>
      <c r="N32" s="5">
        <f t="shared" si="1"/>
        <v>58152799</v>
      </c>
      <c r="O32" s="5">
        <f t="shared" si="2"/>
        <v>459853.74038461538</v>
      </c>
      <c r="P32" s="5">
        <f t="shared" si="3"/>
        <v>264820.76923076925</v>
      </c>
      <c r="Q32" s="16" t="str">
        <f t="shared" si="4"/>
        <v/>
      </c>
    </row>
    <row r="33" spans="1:17" ht="21.75" customHeight="1" x14ac:dyDescent="0.2">
      <c r="A33" s="38">
        <v>46231</v>
      </c>
      <c r="B33" s="39" t="s">
        <v>440</v>
      </c>
      <c r="C33" s="40">
        <v>32497544</v>
      </c>
      <c r="D33" s="40">
        <v>78</v>
      </c>
      <c r="E33" s="40"/>
      <c r="F33" s="40"/>
      <c r="G33" s="40">
        <v>6307506</v>
      </c>
      <c r="H33" s="40">
        <v>3873501</v>
      </c>
      <c r="I33" s="40">
        <v>6263999</v>
      </c>
      <c r="J33" s="40">
        <v>50</v>
      </c>
      <c r="K33" s="40">
        <v>324074</v>
      </c>
      <c r="L33" s="41"/>
      <c r="M33" s="5">
        <f t="shared" si="0"/>
        <v>16445006</v>
      </c>
      <c r="N33" s="5">
        <f t="shared" si="1"/>
        <v>48942550</v>
      </c>
      <c r="O33" s="5">
        <f t="shared" si="2"/>
        <v>416635.1794871795</v>
      </c>
      <c r="P33" s="5">
        <f t="shared" si="3"/>
        <v>328900.12</v>
      </c>
      <c r="Q33" s="16" t="str">
        <f t="shared" si="4"/>
        <v/>
      </c>
    </row>
    <row r="34" spans="1:17" ht="21.75" customHeight="1" x14ac:dyDescent="0.2">
      <c r="A34" s="38">
        <v>46232</v>
      </c>
      <c r="B34" s="39" t="s">
        <v>441</v>
      </c>
      <c r="C34" s="40">
        <v>28567538</v>
      </c>
      <c r="D34" s="40">
        <v>75</v>
      </c>
      <c r="E34" s="40"/>
      <c r="F34" s="40"/>
      <c r="G34" s="40">
        <v>12056503</v>
      </c>
      <c r="H34" s="40">
        <v>1149000</v>
      </c>
      <c r="I34" s="40">
        <v>2322503</v>
      </c>
      <c r="J34" s="40">
        <v>46</v>
      </c>
      <c r="K34" s="40"/>
      <c r="L34" s="41"/>
      <c r="M34" s="5">
        <f t="shared" si="0"/>
        <v>15528006</v>
      </c>
      <c r="N34" s="5">
        <f t="shared" si="1"/>
        <v>44095544</v>
      </c>
      <c r="O34" s="5">
        <f t="shared" si="2"/>
        <v>380900.50666666665</v>
      </c>
      <c r="P34" s="5">
        <f t="shared" si="3"/>
        <v>337565.34782608697</v>
      </c>
      <c r="Q34" s="16" t="str">
        <f t="shared" si="4"/>
        <v/>
      </c>
    </row>
    <row r="35" spans="1:17" ht="21.75" customHeight="1" x14ac:dyDescent="0.2">
      <c r="A35" s="38">
        <v>46233</v>
      </c>
      <c r="B35" s="39" t="s">
        <v>442</v>
      </c>
      <c r="C35" s="40">
        <v>48866153</v>
      </c>
      <c r="D35" s="40">
        <v>115</v>
      </c>
      <c r="E35" s="40"/>
      <c r="F35" s="40"/>
      <c r="G35" s="40">
        <v>7681005</v>
      </c>
      <c r="H35" s="40">
        <v>3645499</v>
      </c>
      <c r="I35" s="40">
        <v>4691997</v>
      </c>
      <c r="J35" s="40">
        <v>52</v>
      </c>
      <c r="K35" s="40">
        <v>1772000</v>
      </c>
      <c r="L35" s="41"/>
      <c r="M35" s="5">
        <f t="shared" si="0"/>
        <v>16018501</v>
      </c>
      <c r="N35" s="5">
        <f t="shared" si="1"/>
        <v>64884654</v>
      </c>
      <c r="O35" s="5">
        <f t="shared" si="2"/>
        <v>424923.06956521742</v>
      </c>
      <c r="P35" s="5">
        <f t="shared" si="3"/>
        <v>308048.09615384613</v>
      </c>
      <c r="Q35" s="16" t="str">
        <f t="shared" si="4"/>
        <v/>
      </c>
    </row>
    <row r="36" spans="1:17" ht="21.75" customHeight="1" x14ac:dyDescent="0.2">
      <c r="A36" s="38">
        <v>46234</v>
      </c>
      <c r="B36" s="39" t="s">
        <v>443</v>
      </c>
      <c r="C36" s="40">
        <v>54839066</v>
      </c>
      <c r="D36" s="40">
        <v>111</v>
      </c>
      <c r="E36" s="40"/>
      <c r="F36" s="40"/>
      <c r="G36" s="40">
        <v>11229996</v>
      </c>
      <c r="H36" s="40">
        <v>4040503</v>
      </c>
      <c r="I36" s="40">
        <v>4991752</v>
      </c>
      <c r="J36" s="40">
        <v>72</v>
      </c>
      <c r="K36" s="40">
        <v>2971200</v>
      </c>
      <c r="L36" s="41"/>
      <c r="M36" s="5">
        <f t="shared" si="0"/>
        <v>20262251</v>
      </c>
      <c r="N36" s="5">
        <f t="shared" si="1"/>
        <v>75101317</v>
      </c>
      <c r="O36" s="5">
        <f t="shared" si="2"/>
        <v>494045.63963963964</v>
      </c>
      <c r="P36" s="5">
        <f t="shared" si="3"/>
        <v>281420.15277777775</v>
      </c>
      <c r="Q36" s="16" t="str">
        <f t="shared" si="4"/>
        <v/>
      </c>
    </row>
    <row r="37" spans="1:17" ht="18.75" customHeight="1" x14ac:dyDescent="0.2"/>
    <row r="38" spans="1:17" ht="18.75" customHeight="1" x14ac:dyDescent="0.2"/>
    <row r="39" spans="1:17" ht="18.75" customHeight="1" x14ac:dyDescent="0.2"/>
    <row r="40" spans="1:17" ht="18.75" customHeight="1" x14ac:dyDescent="0.2"/>
    <row r="41" spans="1:17" ht="18.75" customHeight="1" x14ac:dyDescent="0.2"/>
    <row r="42" spans="1:17" ht="18.75" customHeight="1" x14ac:dyDescent="0.2"/>
    <row r="43" spans="1:17" ht="18.75" customHeight="1" x14ac:dyDescent="0.2"/>
    <row r="44" spans="1:17" ht="18.75" customHeight="1" x14ac:dyDescent="0.2"/>
    <row r="45" spans="1:17" ht="18.75" customHeight="1" x14ac:dyDescent="0.2"/>
    <row r="46" spans="1:17" ht="18.75" customHeight="1" x14ac:dyDescent="0.2"/>
    <row r="47" spans="1:17" ht="18.75" customHeight="1" x14ac:dyDescent="0.2"/>
    <row r="48" spans="1:17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9">
    <mergeCell ref="A1:Q1"/>
    <mergeCell ref="E3:F3"/>
    <mergeCell ref="O3:P3"/>
    <mergeCell ref="G3:J3"/>
    <mergeCell ref="A5:B5"/>
    <mergeCell ref="A2:Q2"/>
    <mergeCell ref="M3:N3"/>
    <mergeCell ref="C3:D3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L200"/>
  <sheetViews>
    <sheetView zoomScaleNormal="100" workbookViewId="0">
      <pane xSplit="2" ySplit="3" topLeftCell="C4" activePane="bottomRight" state="frozen"/>
      <selection sqref="A1:Q1"/>
      <selection pane="topRight" sqref="A1:Q1"/>
      <selection pane="bottomLeft" sqref="A1:Q1"/>
      <selection pane="bottomRight" sqref="A1:Q1"/>
    </sheetView>
  </sheetViews>
  <sheetFormatPr baseColWidth="10" defaultColWidth="14" defaultRowHeight="14" x14ac:dyDescent="0.2"/>
  <cols>
    <col min="1" max="1" width="10" customWidth="1"/>
    <col min="2" max="2" width="24" customWidth="1"/>
    <col min="3" max="3" width="19" customWidth="1"/>
    <col min="4" max="4" width="12" customWidth="1"/>
    <col min="5" max="6" width="18" customWidth="1"/>
    <col min="7" max="7" width="12" customWidth="1"/>
    <col min="8" max="9" width="19" customWidth="1"/>
    <col min="10" max="11" width="17" customWidth="1"/>
    <col min="12" max="12" width="24" customWidth="1"/>
    <col min="13" max="20" width="11" customWidth="1"/>
  </cols>
  <sheetData>
    <row r="1" spans="1:12" ht="33" customHeight="1" x14ac:dyDescent="0.2">
      <c r="A1" s="158" t="s">
        <v>507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spans="1:12" ht="18.75" customHeight="1" x14ac:dyDescent="0.2">
      <c r="A2" s="146" t="s">
        <v>456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</row>
    <row r="3" spans="1:12" ht="36" customHeight="1" x14ac:dyDescent="0.2">
      <c r="A3" s="26" t="s">
        <v>457</v>
      </c>
      <c r="B3" s="26" t="s">
        <v>421</v>
      </c>
      <c r="C3" s="26" t="s">
        <v>423</v>
      </c>
      <c r="D3" s="26" t="s">
        <v>424</v>
      </c>
      <c r="E3" s="26" t="s">
        <v>458</v>
      </c>
      <c r="F3" s="27" t="s">
        <v>426</v>
      </c>
      <c r="G3" s="27" t="s">
        <v>459</v>
      </c>
      <c r="H3" s="28" t="s">
        <v>460</v>
      </c>
      <c r="I3" s="31" t="s">
        <v>461</v>
      </c>
      <c r="J3" s="31" t="s">
        <v>462</v>
      </c>
      <c r="K3" s="31" t="s">
        <v>463</v>
      </c>
      <c r="L3" s="30" t="s">
        <v>432</v>
      </c>
    </row>
    <row r="4" spans="1:12" ht="24" customHeight="1" x14ac:dyDescent="0.2">
      <c r="A4" s="44" t="s">
        <v>464</v>
      </c>
      <c r="B4" s="45" t="s">
        <v>508</v>
      </c>
      <c r="C4" s="46">
        <v>196650098</v>
      </c>
      <c r="D4" s="46">
        <f>IFERROR(SUM('📅 DAILY T7'!D6:D10),0)</f>
        <v>467</v>
      </c>
      <c r="E4" s="46">
        <f>IFERROR(SUM('📅 DAILY T7'!C6:C10)/SUM('📅 DAILY T7'!D6:D10),"")</f>
        <v>421092.28693790152</v>
      </c>
      <c r="F4" s="47">
        <v>467</v>
      </c>
      <c r="G4" s="48">
        <v>421092</v>
      </c>
      <c r="H4" s="49">
        <f>IFERROR(SUM('📅 DAILY T7'!M6:M10),0)</f>
        <v>89379044</v>
      </c>
      <c r="I4" s="50">
        <f>IFERROR(SUM('📅 DAILY T7'!N6:N10),0)</f>
        <v>286029142</v>
      </c>
      <c r="J4" s="51">
        <f>IFERROR(SUM('📅 DAILY T7'!C6:C10)/1277560078,"")</f>
        <v>0.15392630169522251</v>
      </c>
      <c r="K4" s="51">
        <f>IFERROR(SUM('📅 DAILY T7'!M6:M10)/721910506,"")</f>
        <v>0.12380903624084395</v>
      </c>
      <c r="L4" s="52"/>
    </row>
    <row r="5" spans="1:12" ht="24" customHeight="1" x14ac:dyDescent="0.2">
      <c r="A5" s="53" t="s">
        <v>466</v>
      </c>
      <c r="B5" s="54" t="s">
        <v>509</v>
      </c>
      <c r="C5" s="46">
        <v>251197658</v>
      </c>
      <c r="D5" s="46">
        <f>IFERROR(SUM('📅 DAILY T7'!D11:D17),0)</f>
        <v>613</v>
      </c>
      <c r="E5" s="46">
        <f>IFERROR(SUM('📅 DAILY T7'!C11:C17)/SUM('📅 DAILY T7'!D11:D17),"")</f>
        <v>409784.10766721045</v>
      </c>
      <c r="F5" s="47">
        <v>613</v>
      </c>
      <c r="G5" s="48">
        <v>409784</v>
      </c>
      <c r="H5" s="49">
        <f>IFERROR(SUM('📅 DAILY T7'!M11:M17),0)</f>
        <v>124233742</v>
      </c>
      <c r="I5" s="50">
        <f>IFERROR(SUM('📅 DAILY T7'!N11:N17),0)</f>
        <v>375431400</v>
      </c>
      <c r="J5" s="51">
        <f>IFERROR(SUM('📅 DAILY T7'!C6:C17)/1277560078,"")</f>
        <v>0.35054927256422924</v>
      </c>
      <c r="K5" s="51">
        <f>IFERROR(SUM('📅 DAILY T7'!M6:M17)/721910506,"")</f>
        <v>0.29589926206171602</v>
      </c>
      <c r="L5" s="52"/>
    </row>
    <row r="6" spans="1:12" ht="24" customHeight="1" x14ac:dyDescent="0.2">
      <c r="A6" s="55" t="s">
        <v>468</v>
      </c>
      <c r="B6" s="56" t="s">
        <v>510</v>
      </c>
      <c r="C6" s="46">
        <v>267588753</v>
      </c>
      <c r="D6" s="46">
        <f>IFERROR(SUM('📅 DAILY T7'!D18:D24),0)</f>
        <v>634</v>
      </c>
      <c r="E6" s="46">
        <f>IFERROR(SUM('📅 DAILY T7'!C18:C24)/SUM('📅 DAILY T7'!D18:D24),"")</f>
        <v>422064.27917981072</v>
      </c>
      <c r="F6" s="47">
        <v>634</v>
      </c>
      <c r="G6" s="48">
        <v>422064</v>
      </c>
      <c r="H6" s="49">
        <f>IFERROR(SUM('📅 DAILY T7'!M18:M24),0)</f>
        <v>115945783</v>
      </c>
      <c r="I6" s="50">
        <f>IFERROR(SUM('📅 DAILY T7'!N18:N24),0)</f>
        <v>383534536</v>
      </c>
      <c r="J6" s="51">
        <f>IFERROR(SUM('📅 DAILY T7'!C6:C24)/1277560078,"")</f>
        <v>0.56000224280646316</v>
      </c>
      <c r="K6" s="51">
        <f>IFERROR(SUM('📅 DAILY T7'!M6:M24)/721910506,"")</f>
        <v>0.45650889723995791</v>
      </c>
      <c r="L6" s="52"/>
    </row>
    <row r="7" spans="1:12" ht="24" customHeight="1" x14ac:dyDescent="0.2">
      <c r="A7" s="57" t="s">
        <v>470</v>
      </c>
      <c r="B7" s="58" t="s">
        <v>511</v>
      </c>
      <c r="C7" s="46">
        <v>268507227</v>
      </c>
      <c r="D7" s="46">
        <f>IFERROR(SUM('📅 DAILY T7'!D25:D31),0)</f>
        <v>637</v>
      </c>
      <c r="E7" s="46">
        <f>IFERROR(SUM('📅 DAILY T7'!C25:C31)/SUM('📅 DAILY T7'!D25:D31),"")</f>
        <v>421518.40973312402</v>
      </c>
      <c r="F7" s="47">
        <v>637</v>
      </c>
      <c r="G7" s="48">
        <v>421518</v>
      </c>
      <c r="H7" s="49">
        <f>IFERROR(SUM('📅 DAILY T7'!M25:M31),0)</f>
        <v>121943093</v>
      </c>
      <c r="I7" s="50">
        <f>IFERROR(SUM('📅 DAILY T7'!N25:N31),0)</f>
        <v>390450320</v>
      </c>
      <c r="J7" s="51">
        <f>IFERROR(SUM('📅 DAILY T7'!C6:C31)/1277560078,"")</f>
        <v>0.77017414127431738</v>
      </c>
      <c r="K7" s="51">
        <f>IFERROR(SUM('📅 DAILY T7'!M6:M31)/721910506,"")</f>
        <v>0.62542608570929981</v>
      </c>
      <c r="L7" s="52"/>
    </row>
    <row r="8" spans="1:12" ht="24" customHeight="1" x14ac:dyDescent="0.2">
      <c r="A8" s="59" t="s">
        <v>472</v>
      </c>
      <c r="B8" s="60" t="s">
        <v>512</v>
      </c>
      <c r="C8" s="46">
        <v>212595090</v>
      </c>
      <c r="D8" s="46">
        <f>IFERROR(SUM('📅 DAILY T7'!D32:D36),0)</f>
        <v>483</v>
      </c>
      <c r="E8" s="46">
        <f>IFERROR(SUM('📅 DAILY T7'!C32:C36)/SUM('📅 DAILY T7'!D32:D36),"")</f>
        <v>440155.46583850932</v>
      </c>
      <c r="F8" s="47">
        <v>483</v>
      </c>
      <c r="G8" s="48">
        <v>440155</v>
      </c>
      <c r="H8" s="49">
        <f>IFERROR(SUM('📅 DAILY T7'!M32:M36),0)</f>
        <v>78581774</v>
      </c>
      <c r="I8" s="50">
        <f>IFERROR(SUM('📅 DAILY T7'!N32:N36),0)</f>
        <v>291176864</v>
      </c>
      <c r="J8" s="51">
        <f>IFERROR(SUM('📅 DAILY T7'!C6:C36)/1277560078,"")</f>
        <v>0.93658125876409859</v>
      </c>
      <c r="K8" s="51">
        <f>IFERROR(SUM('📅 DAILY T7'!M6:M36)/721910506,"")</f>
        <v>0.73427860045577453</v>
      </c>
      <c r="L8" s="52"/>
    </row>
    <row r="9" spans="1:12" ht="4.5" customHeight="1" x14ac:dyDescent="0.2">
      <c r="A9" s="61"/>
    </row>
    <row r="10" spans="1:12" ht="18.75" customHeight="1" x14ac:dyDescent="0.2">
      <c r="B10" s="61"/>
    </row>
    <row r="11" spans="1:12" ht="18.75" customHeight="1" x14ac:dyDescent="0.2">
      <c r="C11" s="61"/>
    </row>
    <row r="12" spans="1:12" ht="18.75" customHeight="1" x14ac:dyDescent="0.2">
      <c r="D12" s="61"/>
    </row>
    <row r="13" spans="1:12" ht="18.75" customHeight="1" x14ac:dyDescent="0.2">
      <c r="E13" s="61"/>
    </row>
    <row r="14" spans="1:12" ht="18.75" customHeight="1" x14ac:dyDescent="0.2">
      <c r="F14" s="61"/>
    </row>
    <row r="15" spans="1:12" ht="18.75" customHeight="1" x14ac:dyDescent="0.2">
      <c r="G15" s="61"/>
    </row>
    <row r="16" spans="1:12" ht="18.75" customHeight="1" x14ac:dyDescent="0.2">
      <c r="H16" s="61"/>
    </row>
    <row r="17" spans="1:12" ht="18.75" customHeight="1" x14ac:dyDescent="0.2">
      <c r="I17" s="61"/>
    </row>
    <row r="18" spans="1:12" ht="18.75" customHeight="1" x14ac:dyDescent="0.2">
      <c r="J18" s="61"/>
    </row>
    <row r="19" spans="1:12" ht="18.75" customHeight="1" x14ac:dyDescent="0.2">
      <c r="K19" s="61"/>
    </row>
    <row r="20" spans="1:12" ht="18.75" customHeight="1" x14ac:dyDescent="0.2">
      <c r="L20" s="61"/>
    </row>
    <row r="21" spans="1:12" ht="25.5" customHeight="1" x14ac:dyDescent="0.2">
      <c r="A21" s="62" t="s">
        <v>474</v>
      </c>
      <c r="B21" s="63" t="s">
        <v>513</v>
      </c>
      <c r="C21" s="64">
        <f>IFERROR(SUM('📅 DAILY T7'!C6:C36),0)</f>
        <v>1196538826</v>
      </c>
      <c r="D21" s="64">
        <f>IFERROR(SUM('📅 DAILY T7'!D6:D36),0)</f>
        <v>2834</v>
      </c>
      <c r="E21" s="64">
        <f>IFERROR(SUM('📅 DAILY T7'!C6:C36)/SUM('📅 DAILY T7'!D6:D36),"")</f>
        <v>422208.47776993649</v>
      </c>
      <c r="F21" s="64">
        <f>IFERROR(SUM('📅 DAILY T7'!F6:F36),0)</f>
        <v>0</v>
      </c>
      <c r="G21" s="65" t="str">
        <f>IFERROR(SUM('📅 DAILY T7'!C6:C36)/SUM('📅 DAILY T7'!F6:F36),"")</f>
        <v/>
      </c>
      <c r="H21" s="64">
        <f>IFERROR(SUM('📅 DAILY T7'!M6:M36),0)</f>
        <v>530083436</v>
      </c>
      <c r="I21" s="64">
        <f>IFERROR(SUM('📅 DAILY T7'!N6:N36),0)</f>
        <v>1726622262</v>
      </c>
      <c r="J21" s="66">
        <f>IFERROR(SUM('📅 DAILY T7'!C6:C36)/1277560078,"")</f>
        <v>0.93658125876409859</v>
      </c>
      <c r="K21" s="66">
        <f>IFERROR(SUM('📅 DAILY T7'!M6:M36)/721910506,"")</f>
        <v>0.73427860045577453</v>
      </c>
      <c r="L21" s="61"/>
    </row>
    <row r="22" spans="1:12" ht="18.75" customHeight="1" x14ac:dyDescent="0.2"/>
    <row r="23" spans="1:12" ht="21.75" customHeight="1" x14ac:dyDescent="0.2">
      <c r="A23" s="161" t="s">
        <v>476</v>
      </c>
      <c r="B23" s="143"/>
      <c r="C23" s="67">
        <v>1214990084</v>
      </c>
      <c r="D23" s="33"/>
      <c r="E23" s="33"/>
      <c r="F23" s="33"/>
      <c r="G23" s="33"/>
      <c r="H23" s="68">
        <v>652226392</v>
      </c>
      <c r="I23" s="69">
        <v>1867216476</v>
      </c>
      <c r="J23" s="33"/>
      <c r="K23" s="33"/>
      <c r="L23" s="33"/>
    </row>
    <row r="24" spans="1:12" ht="18.75" customHeight="1" x14ac:dyDescent="0.2"/>
    <row r="25" spans="1:12" ht="18.75" customHeight="1" x14ac:dyDescent="0.2">
      <c r="A25" s="160" t="s">
        <v>477</v>
      </c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</row>
    <row r="26" spans="1:12" ht="18.75" customHeight="1" x14ac:dyDescent="0.2"/>
    <row r="27" spans="1:12" ht="18.75" customHeight="1" x14ac:dyDescent="0.2"/>
    <row r="28" spans="1:12" ht="18.75" customHeight="1" x14ac:dyDescent="0.2"/>
    <row r="29" spans="1:12" ht="18.75" customHeight="1" x14ac:dyDescent="0.2"/>
    <row r="30" spans="1:12" ht="18.75" customHeight="1" x14ac:dyDescent="0.2"/>
    <row r="31" spans="1:12" ht="18.75" customHeight="1" x14ac:dyDescent="0.2"/>
    <row r="32" spans="1:12" ht="18.75" customHeight="1" x14ac:dyDescent="0.2"/>
    <row r="33" ht="18.75" customHeight="1" x14ac:dyDescent="0.2"/>
    <row r="34" ht="18.75" customHeight="1" x14ac:dyDescent="0.2"/>
    <row r="35" ht="18.75" customHeight="1" x14ac:dyDescent="0.2"/>
    <row r="36" ht="18.75" customHeight="1" x14ac:dyDescent="0.2"/>
    <row r="37" ht="18.75" customHeight="1" x14ac:dyDescent="0.2"/>
    <row r="38" ht="18.75" customHeight="1" x14ac:dyDescent="0.2"/>
    <row r="39" ht="18.75" customHeight="1" x14ac:dyDescent="0.2"/>
    <row r="40" ht="18.75" customHeight="1" x14ac:dyDescent="0.2"/>
    <row r="41" ht="18.75" customHeight="1" x14ac:dyDescent="0.2"/>
    <row r="42" ht="18.75" customHeight="1" x14ac:dyDescent="0.2"/>
    <row r="43" ht="18.75" customHeight="1" x14ac:dyDescent="0.2"/>
    <row r="44" ht="18.75" customHeight="1" x14ac:dyDescent="0.2"/>
    <row r="45" ht="18.75" customHeight="1" x14ac:dyDescent="0.2"/>
    <row r="46" ht="18.75" customHeight="1" x14ac:dyDescent="0.2"/>
    <row r="47" ht="18.75" customHeight="1" x14ac:dyDescent="0.2"/>
    <row r="48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4">
    <mergeCell ref="A2:L2"/>
    <mergeCell ref="A1:L1"/>
    <mergeCell ref="A25:L25"/>
    <mergeCell ref="A23:B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Q20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" defaultRowHeight="14" x14ac:dyDescent="0.2"/>
  <cols>
    <col min="1" max="1" width="15" customWidth="1"/>
    <col min="2" max="2" width="6" customWidth="1"/>
    <col min="3" max="3" width="19" customWidth="1"/>
    <col min="4" max="4" width="11" customWidth="1"/>
    <col min="5" max="5" width="15" customWidth="1"/>
    <col min="6" max="9" width="17" customWidth="1"/>
    <col min="10" max="10" width="12" customWidth="1"/>
    <col min="11" max="11" width="16" customWidth="1"/>
    <col min="12" max="12" width="27" customWidth="1"/>
    <col min="13" max="14" width="18" customWidth="1"/>
    <col min="15" max="16" width="15" customWidth="1"/>
    <col min="17" max="17" width="12" customWidth="1"/>
    <col min="18" max="20" width="11" customWidth="1"/>
  </cols>
  <sheetData>
    <row r="1" spans="1:17" ht="33" customHeight="1" x14ac:dyDescent="0.2">
      <c r="A1" s="158" t="s">
        <v>514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1.75" customHeight="1" x14ac:dyDescent="0.2">
      <c r="A2" s="146" t="s">
        <v>412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.75" customHeight="1" x14ac:dyDescent="0.2">
      <c r="A3" s="157" t="s">
        <v>413</v>
      </c>
      <c r="B3" s="143"/>
      <c r="C3" s="156" t="s">
        <v>414</v>
      </c>
      <c r="D3" s="143"/>
      <c r="E3" s="159" t="s">
        <v>415</v>
      </c>
      <c r="F3" s="143"/>
      <c r="G3" s="154" t="s">
        <v>416</v>
      </c>
      <c r="H3" s="143"/>
      <c r="I3" s="143"/>
      <c r="J3" s="143"/>
      <c r="K3" s="22" t="s">
        <v>417</v>
      </c>
      <c r="L3" s="23" t="s">
        <v>418</v>
      </c>
      <c r="M3" s="153" t="s">
        <v>419</v>
      </c>
      <c r="N3" s="143"/>
      <c r="O3" s="153" t="s">
        <v>419</v>
      </c>
      <c r="P3" s="143"/>
      <c r="Q3" s="24" t="s">
        <v>420</v>
      </c>
    </row>
    <row r="4" spans="1:17" ht="36" customHeight="1" x14ac:dyDescent="0.2">
      <c r="A4" s="25" t="s">
        <v>421</v>
      </c>
      <c r="B4" s="25" t="s">
        <v>422</v>
      </c>
      <c r="C4" s="26" t="s">
        <v>423</v>
      </c>
      <c r="D4" s="26" t="s">
        <v>424</v>
      </c>
      <c r="E4" s="27" t="s">
        <v>425</v>
      </c>
      <c r="F4" s="27" t="s">
        <v>426</v>
      </c>
      <c r="G4" s="28" t="s">
        <v>427</v>
      </c>
      <c r="H4" s="28" t="s">
        <v>428</v>
      </c>
      <c r="I4" s="28" t="s">
        <v>429</v>
      </c>
      <c r="J4" s="28" t="s">
        <v>430</v>
      </c>
      <c r="K4" s="29" t="s">
        <v>431</v>
      </c>
      <c r="L4" s="30" t="s">
        <v>432</v>
      </c>
      <c r="M4" s="31" t="s">
        <v>433</v>
      </c>
      <c r="N4" s="31" t="s">
        <v>434</v>
      </c>
      <c r="O4" s="31" t="s">
        <v>435</v>
      </c>
      <c r="P4" s="31" t="s">
        <v>436</v>
      </c>
      <c r="Q4" s="31" t="s">
        <v>437</v>
      </c>
    </row>
    <row r="5" spans="1:17" ht="21.75" customHeight="1" x14ac:dyDescent="0.2">
      <c r="A5" s="155" t="s">
        <v>438</v>
      </c>
      <c r="B5" s="143"/>
      <c r="C5" s="32">
        <v>1221751028</v>
      </c>
      <c r="D5" s="33"/>
      <c r="E5" s="33"/>
      <c r="F5" s="33"/>
      <c r="G5" s="34">
        <v>345139241</v>
      </c>
      <c r="H5" s="34">
        <v>170156050</v>
      </c>
      <c r="I5" s="34">
        <v>140560485</v>
      </c>
      <c r="J5" s="33"/>
      <c r="K5" s="33"/>
      <c r="L5" s="33"/>
      <c r="M5" s="35">
        <v>655855776</v>
      </c>
      <c r="N5" s="35">
        <v>1877606804</v>
      </c>
      <c r="O5" s="36">
        <v>450000</v>
      </c>
      <c r="P5" s="36">
        <v>330000</v>
      </c>
      <c r="Q5" s="37"/>
    </row>
    <row r="6" spans="1:17" ht="21.75" customHeight="1" x14ac:dyDescent="0.2">
      <c r="A6" s="42">
        <v>46235</v>
      </c>
      <c r="B6" s="43" t="s">
        <v>444</v>
      </c>
      <c r="C6" s="40">
        <v>39252541</v>
      </c>
      <c r="D6" s="40">
        <v>101</v>
      </c>
      <c r="E6" s="40"/>
      <c r="F6" s="40"/>
      <c r="G6" s="40">
        <v>14771514</v>
      </c>
      <c r="H6" s="40">
        <v>2723503</v>
      </c>
      <c r="I6" s="40">
        <v>7385249</v>
      </c>
      <c r="J6" s="40">
        <v>92</v>
      </c>
      <c r="K6" s="40">
        <v>909999</v>
      </c>
      <c r="L6" s="41"/>
      <c r="M6" s="5">
        <f t="shared" ref="M6:M36" si="0">IF(SUM(G6:I6)&gt;0,SUM(G6:I6),"")</f>
        <v>24880266</v>
      </c>
      <c r="N6" s="5">
        <f t="shared" ref="N6:N36" si="1">IF(N(C6)+N(M6)&gt;0,N(C6)+N(M6),"")</f>
        <v>64132807</v>
      </c>
      <c r="O6" s="5">
        <f t="shared" ref="O6:O36" si="2">IFERROR(IF(D6&gt;0,C6/D6,""),"")</f>
        <v>388639.01980198018</v>
      </c>
      <c r="P6" s="5">
        <f t="shared" ref="P6:P36" si="3">IFERROR(IF(J6&gt;0,M6/J6,""),"")</f>
        <v>270437.67391304346</v>
      </c>
      <c r="Q6" s="16" t="str">
        <f t="shared" ref="Q6:Q36" si="4">IFERROR(IF(E6&gt;0,D6/E6,""),"")</f>
        <v/>
      </c>
    </row>
    <row r="7" spans="1:17" ht="21.75" customHeight="1" x14ac:dyDescent="0.2">
      <c r="A7" s="42">
        <v>46236</v>
      </c>
      <c r="B7" s="43" t="s">
        <v>445</v>
      </c>
      <c r="C7" s="40">
        <v>37198537</v>
      </c>
      <c r="D7" s="40">
        <v>86</v>
      </c>
      <c r="E7" s="40"/>
      <c r="F7" s="40"/>
      <c r="G7" s="40">
        <v>11755008</v>
      </c>
      <c r="H7" s="40">
        <v>4205501</v>
      </c>
      <c r="I7" s="40">
        <v>2891501</v>
      </c>
      <c r="J7" s="40">
        <v>62</v>
      </c>
      <c r="K7" s="40"/>
      <c r="L7" s="41"/>
      <c r="M7" s="5">
        <f t="shared" si="0"/>
        <v>18852010</v>
      </c>
      <c r="N7" s="5">
        <f t="shared" si="1"/>
        <v>56050547</v>
      </c>
      <c r="O7" s="5">
        <f t="shared" si="2"/>
        <v>432541.12790697673</v>
      </c>
      <c r="P7" s="5">
        <f t="shared" si="3"/>
        <v>304064.67741935485</v>
      </c>
      <c r="Q7" s="16" t="str">
        <f t="shared" si="4"/>
        <v/>
      </c>
    </row>
    <row r="8" spans="1:17" ht="21.75" customHeight="1" x14ac:dyDescent="0.2">
      <c r="A8" s="38">
        <v>46237</v>
      </c>
      <c r="B8" s="39" t="s">
        <v>439</v>
      </c>
      <c r="C8" s="40">
        <v>37052313</v>
      </c>
      <c r="D8" s="40">
        <v>86</v>
      </c>
      <c r="E8" s="40"/>
      <c r="F8" s="40"/>
      <c r="G8" s="40">
        <v>3938505</v>
      </c>
      <c r="H8" s="40">
        <v>5928749</v>
      </c>
      <c r="I8" s="40">
        <v>3587501</v>
      </c>
      <c r="J8" s="40">
        <v>44</v>
      </c>
      <c r="K8" s="40">
        <v>1950459</v>
      </c>
      <c r="L8" s="41"/>
      <c r="M8" s="5">
        <f t="shared" si="0"/>
        <v>13454755</v>
      </c>
      <c r="N8" s="5">
        <f t="shared" si="1"/>
        <v>50507068</v>
      </c>
      <c r="O8" s="5">
        <f t="shared" si="2"/>
        <v>430840.84883720928</v>
      </c>
      <c r="P8" s="5">
        <f t="shared" si="3"/>
        <v>305789.88636363635</v>
      </c>
      <c r="Q8" s="16" t="str">
        <f t="shared" si="4"/>
        <v/>
      </c>
    </row>
    <row r="9" spans="1:17" ht="21.75" customHeight="1" x14ac:dyDescent="0.2">
      <c r="A9" s="38">
        <v>46238</v>
      </c>
      <c r="B9" s="39" t="s">
        <v>440</v>
      </c>
      <c r="C9" s="40">
        <v>28938033</v>
      </c>
      <c r="D9" s="40">
        <v>70</v>
      </c>
      <c r="E9" s="40"/>
      <c r="F9" s="40"/>
      <c r="G9" s="40">
        <v>6086751</v>
      </c>
      <c r="H9" s="40">
        <v>4041845</v>
      </c>
      <c r="I9" s="40">
        <v>2450001</v>
      </c>
      <c r="J9" s="40">
        <v>39</v>
      </c>
      <c r="K9" s="40">
        <v>601852</v>
      </c>
      <c r="L9" s="41"/>
      <c r="M9" s="5">
        <f t="shared" si="0"/>
        <v>12578597</v>
      </c>
      <c r="N9" s="5">
        <f t="shared" si="1"/>
        <v>41516630</v>
      </c>
      <c r="O9" s="5">
        <f t="shared" si="2"/>
        <v>413400.47142857144</v>
      </c>
      <c r="P9" s="5">
        <f t="shared" si="3"/>
        <v>322528.12820512819</v>
      </c>
      <c r="Q9" s="16" t="str">
        <f t="shared" si="4"/>
        <v/>
      </c>
    </row>
    <row r="10" spans="1:17" ht="21.75" customHeight="1" x14ac:dyDescent="0.2">
      <c r="A10" s="38">
        <v>46239</v>
      </c>
      <c r="B10" s="39" t="s">
        <v>441</v>
      </c>
      <c r="C10" s="40">
        <v>29939800</v>
      </c>
      <c r="D10" s="40">
        <v>73</v>
      </c>
      <c r="E10" s="40"/>
      <c r="F10" s="40"/>
      <c r="G10" s="40">
        <v>10474750</v>
      </c>
      <c r="H10" s="40">
        <v>3653499</v>
      </c>
      <c r="I10" s="40">
        <v>5536003</v>
      </c>
      <c r="J10" s="40">
        <v>66</v>
      </c>
      <c r="K10" s="40">
        <v>499999</v>
      </c>
      <c r="L10" s="41"/>
      <c r="M10" s="5">
        <f t="shared" si="0"/>
        <v>19664252</v>
      </c>
      <c r="N10" s="5">
        <f t="shared" si="1"/>
        <v>49604052</v>
      </c>
      <c r="O10" s="5">
        <f t="shared" si="2"/>
        <v>410134.24657534249</v>
      </c>
      <c r="P10" s="5">
        <f t="shared" si="3"/>
        <v>297943.2121212121</v>
      </c>
      <c r="Q10" s="16" t="str">
        <f t="shared" si="4"/>
        <v/>
      </c>
    </row>
    <row r="11" spans="1:17" ht="21.75" customHeight="1" x14ac:dyDescent="0.2">
      <c r="A11" s="38">
        <v>46240</v>
      </c>
      <c r="B11" s="39" t="s">
        <v>442</v>
      </c>
      <c r="C11" s="40">
        <v>36169269</v>
      </c>
      <c r="D11" s="40">
        <v>87</v>
      </c>
      <c r="E11" s="40"/>
      <c r="F11" s="40"/>
      <c r="G11" s="40">
        <v>9879007</v>
      </c>
      <c r="H11" s="40">
        <v>5260999</v>
      </c>
      <c r="I11" s="40">
        <v>2857996</v>
      </c>
      <c r="J11" s="40">
        <v>59</v>
      </c>
      <c r="K11" s="40">
        <v>686400</v>
      </c>
      <c r="L11" s="41"/>
      <c r="M11" s="5">
        <f t="shared" si="0"/>
        <v>17998002</v>
      </c>
      <c r="N11" s="5">
        <f t="shared" si="1"/>
        <v>54167271</v>
      </c>
      <c r="O11" s="5">
        <f t="shared" si="2"/>
        <v>415738.72413793101</v>
      </c>
      <c r="P11" s="5">
        <f t="shared" si="3"/>
        <v>305050.88135593222</v>
      </c>
      <c r="Q11" s="16" t="str">
        <f t="shared" si="4"/>
        <v/>
      </c>
    </row>
    <row r="12" spans="1:17" ht="21.75" customHeight="1" x14ac:dyDescent="0.2">
      <c r="A12" s="38">
        <v>46241</v>
      </c>
      <c r="B12" s="39" t="s">
        <v>443</v>
      </c>
      <c r="C12" s="40">
        <v>45261341</v>
      </c>
      <c r="D12" s="40">
        <v>111</v>
      </c>
      <c r="E12" s="40"/>
      <c r="F12" s="40"/>
      <c r="G12" s="40">
        <v>9386000</v>
      </c>
      <c r="H12" s="40">
        <v>4377504</v>
      </c>
      <c r="I12" s="40">
        <v>5635001</v>
      </c>
      <c r="J12" s="40">
        <v>57</v>
      </c>
      <c r="K12" s="40">
        <v>1004800</v>
      </c>
      <c r="L12" s="41"/>
      <c r="M12" s="5">
        <f t="shared" si="0"/>
        <v>19398505</v>
      </c>
      <c r="N12" s="5">
        <f t="shared" si="1"/>
        <v>64659846</v>
      </c>
      <c r="O12" s="5">
        <f t="shared" si="2"/>
        <v>407759.82882882882</v>
      </c>
      <c r="P12" s="5">
        <f t="shared" si="3"/>
        <v>340324.64912280702</v>
      </c>
      <c r="Q12" s="16" t="str">
        <f t="shared" si="4"/>
        <v/>
      </c>
    </row>
    <row r="13" spans="1:17" ht="21.75" customHeight="1" x14ac:dyDescent="0.2">
      <c r="A13" s="42">
        <v>46242</v>
      </c>
      <c r="B13" s="43" t="s">
        <v>444</v>
      </c>
      <c r="C13" s="40">
        <v>45051371</v>
      </c>
      <c r="D13" s="40">
        <v>108</v>
      </c>
      <c r="E13" s="40"/>
      <c r="F13" s="40"/>
      <c r="G13" s="40">
        <v>6736004</v>
      </c>
      <c r="H13" s="40">
        <v>5425498</v>
      </c>
      <c r="I13" s="40">
        <v>4499002</v>
      </c>
      <c r="J13" s="40">
        <v>62</v>
      </c>
      <c r="K13" s="40">
        <v>518519</v>
      </c>
      <c r="L13" s="41"/>
      <c r="M13" s="5">
        <f t="shared" si="0"/>
        <v>16660504</v>
      </c>
      <c r="N13" s="5">
        <f t="shared" si="1"/>
        <v>61711875</v>
      </c>
      <c r="O13" s="5">
        <f t="shared" si="2"/>
        <v>417142.3240740741</v>
      </c>
      <c r="P13" s="5">
        <f t="shared" si="3"/>
        <v>268717.80645161291</v>
      </c>
      <c r="Q13" s="16" t="str">
        <f t="shared" si="4"/>
        <v/>
      </c>
    </row>
    <row r="14" spans="1:17" ht="21.75" customHeight="1" x14ac:dyDescent="0.2">
      <c r="A14" s="42">
        <v>46243</v>
      </c>
      <c r="B14" s="43" t="s">
        <v>445</v>
      </c>
      <c r="C14" s="40">
        <v>29575775</v>
      </c>
      <c r="D14" s="40">
        <v>78</v>
      </c>
      <c r="E14" s="40"/>
      <c r="F14" s="40"/>
      <c r="G14" s="40">
        <v>4285505</v>
      </c>
      <c r="H14" s="40">
        <v>2871998</v>
      </c>
      <c r="I14" s="40">
        <v>5133497</v>
      </c>
      <c r="J14" s="40">
        <v>37</v>
      </c>
      <c r="K14" s="40">
        <v>1188800</v>
      </c>
      <c r="L14" s="41"/>
      <c r="M14" s="5">
        <f t="shared" si="0"/>
        <v>12291000</v>
      </c>
      <c r="N14" s="5">
        <f t="shared" si="1"/>
        <v>41866775</v>
      </c>
      <c r="O14" s="5">
        <f t="shared" si="2"/>
        <v>379176.60256410256</v>
      </c>
      <c r="P14" s="5">
        <f t="shared" si="3"/>
        <v>332189.18918918917</v>
      </c>
      <c r="Q14" s="16" t="str">
        <f t="shared" si="4"/>
        <v/>
      </c>
    </row>
    <row r="15" spans="1:17" ht="21.75" customHeight="1" x14ac:dyDescent="0.2">
      <c r="A15" s="38">
        <v>46244</v>
      </c>
      <c r="B15" s="39" t="s">
        <v>439</v>
      </c>
      <c r="C15" s="40">
        <v>38639566</v>
      </c>
      <c r="D15" s="40">
        <v>93</v>
      </c>
      <c r="E15" s="40"/>
      <c r="F15" s="40"/>
      <c r="G15" s="40">
        <v>6749999</v>
      </c>
      <c r="H15" s="40">
        <v>3985503</v>
      </c>
      <c r="I15" s="40">
        <v>1597251</v>
      </c>
      <c r="J15" s="40">
        <v>41</v>
      </c>
      <c r="K15" s="40"/>
      <c r="L15" s="41"/>
      <c r="M15" s="5">
        <f t="shared" si="0"/>
        <v>12332753</v>
      </c>
      <c r="N15" s="5">
        <f t="shared" si="1"/>
        <v>50972319</v>
      </c>
      <c r="O15" s="5">
        <f t="shared" si="2"/>
        <v>415479.20430107525</v>
      </c>
      <c r="P15" s="5">
        <f t="shared" si="3"/>
        <v>300798.85365853657</v>
      </c>
      <c r="Q15" s="16" t="str">
        <f t="shared" si="4"/>
        <v/>
      </c>
    </row>
    <row r="16" spans="1:17" ht="21.75" customHeight="1" x14ac:dyDescent="0.2">
      <c r="A16" s="38">
        <v>46245</v>
      </c>
      <c r="B16" s="39" t="s">
        <v>440</v>
      </c>
      <c r="C16" s="40">
        <v>36640061</v>
      </c>
      <c r="D16" s="40">
        <v>79</v>
      </c>
      <c r="E16" s="40"/>
      <c r="F16" s="40"/>
      <c r="G16" s="40">
        <v>5029511</v>
      </c>
      <c r="H16" s="40">
        <v>4549001</v>
      </c>
      <c r="I16" s="40">
        <v>2350500</v>
      </c>
      <c r="J16" s="40">
        <v>38</v>
      </c>
      <c r="K16" s="40"/>
      <c r="L16" s="41"/>
      <c r="M16" s="5">
        <f t="shared" si="0"/>
        <v>11929012</v>
      </c>
      <c r="N16" s="5">
        <f t="shared" si="1"/>
        <v>48569073</v>
      </c>
      <c r="O16" s="5">
        <f t="shared" si="2"/>
        <v>463798.24050632911</v>
      </c>
      <c r="P16" s="5">
        <f t="shared" si="3"/>
        <v>313921.36842105264</v>
      </c>
      <c r="Q16" s="16" t="str">
        <f t="shared" si="4"/>
        <v/>
      </c>
    </row>
    <row r="17" spans="1:17" ht="21.75" customHeight="1" x14ac:dyDescent="0.2">
      <c r="A17" s="38">
        <v>46246</v>
      </c>
      <c r="B17" s="39" t="s">
        <v>441</v>
      </c>
      <c r="C17" s="40">
        <v>45172565</v>
      </c>
      <c r="D17" s="40">
        <v>98</v>
      </c>
      <c r="E17" s="40"/>
      <c r="F17" s="40"/>
      <c r="G17" s="40">
        <v>5042626</v>
      </c>
      <c r="H17" s="40">
        <v>5337003</v>
      </c>
      <c r="I17" s="40">
        <v>3086251</v>
      </c>
      <c r="J17" s="40">
        <v>44</v>
      </c>
      <c r="K17" s="40">
        <v>1028800</v>
      </c>
      <c r="L17" s="41"/>
      <c r="M17" s="5">
        <f t="shared" si="0"/>
        <v>13465880</v>
      </c>
      <c r="N17" s="5">
        <f t="shared" si="1"/>
        <v>58638445</v>
      </c>
      <c r="O17" s="5">
        <f t="shared" si="2"/>
        <v>460944.54081632651</v>
      </c>
      <c r="P17" s="5">
        <f t="shared" si="3"/>
        <v>306042.72727272729</v>
      </c>
      <c r="Q17" s="16" t="str">
        <f t="shared" si="4"/>
        <v/>
      </c>
    </row>
    <row r="18" spans="1:17" ht="21.75" customHeight="1" x14ac:dyDescent="0.2">
      <c r="A18" s="38">
        <v>46247</v>
      </c>
      <c r="B18" s="39" t="s">
        <v>442</v>
      </c>
      <c r="C18" s="40">
        <v>34831578</v>
      </c>
      <c r="D18" s="40">
        <v>86</v>
      </c>
      <c r="E18" s="40"/>
      <c r="F18" s="40"/>
      <c r="G18" s="40">
        <v>7251007</v>
      </c>
      <c r="H18" s="40">
        <v>3907751</v>
      </c>
      <c r="I18" s="40">
        <v>5972503</v>
      </c>
      <c r="J18" s="40">
        <v>52</v>
      </c>
      <c r="K18" s="40"/>
      <c r="L18" s="41"/>
      <c r="M18" s="5">
        <f t="shared" si="0"/>
        <v>17131261</v>
      </c>
      <c r="N18" s="5">
        <f t="shared" si="1"/>
        <v>51962839</v>
      </c>
      <c r="O18" s="5">
        <f t="shared" si="2"/>
        <v>405018.34883720928</v>
      </c>
      <c r="P18" s="5">
        <f t="shared" si="3"/>
        <v>329447.32692307694</v>
      </c>
      <c r="Q18" s="16" t="str">
        <f t="shared" si="4"/>
        <v/>
      </c>
    </row>
    <row r="19" spans="1:17" ht="21.75" customHeight="1" x14ac:dyDescent="0.2">
      <c r="A19" s="38">
        <v>46248</v>
      </c>
      <c r="B19" s="39" t="s">
        <v>443</v>
      </c>
      <c r="C19" s="40">
        <v>38339657</v>
      </c>
      <c r="D19" s="40">
        <v>91</v>
      </c>
      <c r="E19" s="40"/>
      <c r="F19" s="40"/>
      <c r="G19" s="40">
        <v>5734001</v>
      </c>
      <c r="H19" s="40">
        <v>4229001</v>
      </c>
      <c r="I19" s="40">
        <v>3262999</v>
      </c>
      <c r="J19" s="40">
        <v>50</v>
      </c>
      <c r="K19" s="40">
        <v>1200800</v>
      </c>
      <c r="L19" s="41"/>
      <c r="M19" s="5">
        <f t="shared" si="0"/>
        <v>13226001</v>
      </c>
      <c r="N19" s="5">
        <f t="shared" si="1"/>
        <v>51565658</v>
      </c>
      <c r="O19" s="5">
        <f t="shared" si="2"/>
        <v>421314.91208791209</v>
      </c>
      <c r="P19" s="5">
        <f t="shared" si="3"/>
        <v>264520.02</v>
      </c>
      <c r="Q19" s="16" t="str">
        <f t="shared" si="4"/>
        <v/>
      </c>
    </row>
    <row r="20" spans="1:17" ht="21.75" customHeight="1" x14ac:dyDescent="0.2">
      <c r="A20" s="42">
        <v>46249</v>
      </c>
      <c r="B20" s="43" t="s">
        <v>444</v>
      </c>
      <c r="C20" s="40">
        <v>39029110</v>
      </c>
      <c r="D20" s="40">
        <v>85</v>
      </c>
      <c r="E20" s="40"/>
      <c r="F20" s="40"/>
      <c r="G20" s="40">
        <v>9644005</v>
      </c>
      <c r="H20" s="40">
        <v>3936252</v>
      </c>
      <c r="I20" s="40">
        <v>6010506</v>
      </c>
      <c r="J20" s="40">
        <v>60</v>
      </c>
      <c r="K20" s="40">
        <v>1256000</v>
      </c>
      <c r="L20" s="41"/>
      <c r="M20" s="5">
        <f t="shared" si="0"/>
        <v>19590763</v>
      </c>
      <c r="N20" s="5">
        <f t="shared" si="1"/>
        <v>58619873</v>
      </c>
      <c r="O20" s="5">
        <f t="shared" si="2"/>
        <v>459166</v>
      </c>
      <c r="P20" s="5">
        <f t="shared" si="3"/>
        <v>326512.71666666667</v>
      </c>
      <c r="Q20" s="16" t="str">
        <f t="shared" si="4"/>
        <v/>
      </c>
    </row>
    <row r="21" spans="1:17" ht="21.75" customHeight="1" x14ac:dyDescent="0.2">
      <c r="A21" s="42">
        <v>46250</v>
      </c>
      <c r="B21" s="43" t="s">
        <v>445</v>
      </c>
      <c r="C21" s="40">
        <v>28614523</v>
      </c>
      <c r="D21" s="40">
        <v>67</v>
      </c>
      <c r="E21" s="40"/>
      <c r="F21" s="40"/>
      <c r="G21" s="40">
        <v>7116500</v>
      </c>
      <c r="H21" s="40">
        <v>4767255</v>
      </c>
      <c r="I21" s="40">
        <v>1694004</v>
      </c>
      <c r="J21" s="40">
        <v>45</v>
      </c>
      <c r="K21" s="40"/>
      <c r="L21" s="41"/>
      <c r="M21" s="5">
        <f t="shared" si="0"/>
        <v>13577759</v>
      </c>
      <c r="N21" s="5">
        <f t="shared" si="1"/>
        <v>42192282</v>
      </c>
      <c r="O21" s="5">
        <f t="shared" si="2"/>
        <v>427082.43283582089</v>
      </c>
      <c r="P21" s="5">
        <f t="shared" si="3"/>
        <v>301727.97777777776</v>
      </c>
      <c r="Q21" s="16" t="str">
        <f t="shared" si="4"/>
        <v/>
      </c>
    </row>
    <row r="22" spans="1:17" ht="21.75" customHeight="1" x14ac:dyDescent="0.2">
      <c r="A22" s="38">
        <v>46251</v>
      </c>
      <c r="B22" s="39" t="s">
        <v>439</v>
      </c>
      <c r="C22" s="40">
        <v>37131550</v>
      </c>
      <c r="D22" s="40">
        <v>70</v>
      </c>
      <c r="E22" s="40"/>
      <c r="F22" s="40"/>
      <c r="G22" s="40">
        <v>5196495</v>
      </c>
      <c r="H22" s="40">
        <v>3660003</v>
      </c>
      <c r="I22" s="40">
        <v>3904999</v>
      </c>
      <c r="J22" s="40">
        <v>42</v>
      </c>
      <c r="K22" s="40">
        <v>480000</v>
      </c>
      <c r="L22" s="41"/>
      <c r="M22" s="5">
        <f t="shared" si="0"/>
        <v>12761497</v>
      </c>
      <c r="N22" s="5">
        <f t="shared" si="1"/>
        <v>49893047</v>
      </c>
      <c r="O22" s="5">
        <f t="shared" si="2"/>
        <v>530450.71428571432</v>
      </c>
      <c r="P22" s="5">
        <f t="shared" si="3"/>
        <v>303845.16666666669</v>
      </c>
      <c r="Q22" s="16" t="str">
        <f t="shared" si="4"/>
        <v/>
      </c>
    </row>
    <row r="23" spans="1:17" ht="21.75" customHeight="1" x14ac:dyDescent="0.2">
      <c r="A23" s="38">
        <v>46252</v>
      </c>
      <c r="B23" s="39" t="s">
        <v>440</v>
      </c>
      <c r="C23" s="40">
        <v>41967298</v>
      </c>
      <c r="D23" s="40">
        <v>86</v>
      </c>
      <c r="E23" s="40"/>
      <c r="F23" s="40"/>
      <c r="G23" s="40">
        <v>5696003</v>
      </c>
      <c r="H23" s="40">
        <v>1689002</v>
      </c>
      <c r="I23" s="40">
        <v>2518499</v>
      </c>
      <c r="J23" s="40">
        <v>26</v>
      </c>
      <c r="K23" s="40">
        <v>1828800</v>
      </c>
      <c r="L23" s="41"/>
      <c r="M23" s="5">
        <f t="shared" si="0"/>
        <v>9903504</v>
      </c>
      <c r="N23" s="5">
        <f t="shared" si="1"/>
        <v>51870802</v>
      </c>
      <c r="O23" s="5">
        <f t="shared" si="2"/>
        <v>487991.83720930235</v>
      </c>
      <c r="P23" s="5">
        <f t="shared" si="3"/>
        <v>380904</v>
      </c>
      <c r="Q23" s="16" t="str">
        <f t="shared" si="4"/>
        <v/>
      </c>
    </row>
    <row r="24" spans="1:17" ht="21.75" customHeight="1" x14ac:dyDescent="0.2">
      <c r="A24" s="38">
        <v>46253</v>
      </c>
      <c r="B24" s="39" t="s">
        <v>441</v>
      </c>
      <c r="C24" s="40">
        <v>39806062</v>
      </c>
      <c r="D24" s="40">
        <v>88</v>
      </c>
      <c r="E24" s="40"/>
      <c r="F24" s="40"/>
      <c r="G24" s="40">
        <v>11530503</v>
      </c>
      <c r="H24" s="40">
        <v>3214502</v>
      </c>
      <c r="I24" s="40">
        <v>1877001</v>
      </c>
      <c r="J24" s="40">
        <v>48</v>
      </c>
      <c r="K24" s="40">
        <v>480000</v>
      </c>
      <c r="L24" s="41"/>
      <c r="M24" s="5">
        <f t="shared" si="0"/>
        <v>16622006</v>
      </c>
      <c r="N24" s="5">
        <f t="shared" si="1"/>
        <v>56428068</v>
      </c>
      <c r="O24" s="5">
        <f t="shared" si="2"/>
        <v>452341.61363636365</v>
      </c>
      <c r="P24" s="5">
        <f t="shared" si="3"/>
        <v>346291.79166666669</v>
      </c>
      <c r="Q24" s="16" t="str">
        <f t="shared" si="4"/>
        <v/>
      </c>
    </row>
    <row r="25" spans="1:17" ht="21.75" customHeight="1" x14ac:dyDescent="0.2">
      <c r="A25" s="38">
        <v>46254</v>
      </c>
      <c r="B25" s="39" t="s">
        <v>442</v>
      </c>
      <c r="C25" s="40">
        <v>38745150</v>
      </c>
      <c r="D25" s="40">
        <v>97</v>
      </c>
      <c r="E25" s="40"/>
      <c r="F25" s="40"/>
      <c r="G25" s="40">
        <v>4610000</v>
      </c>
      <c r="H25" s="40">
        <v>1930004</v>
      </c>
      <c r="I25" s="40">
        <v>2952000</v>
      </c>
      <c r="J25" s="40">
        <v>30</v>
      </c>
      <c r="K25" s="40"/>
      <c r="L25" s="41"/>
      <c r="M25" s="5">
        <f t="shared" si="0"/>
        <v>9492004</v>
      </c>
      <c r="N25" s="5">
        <f t="shared" si="1"/>
        <v>48237154</v>
      </c>
      <c r="O25" s="5">
        <f t="shared" si="2"/>
        <v>399434.53608247422</v>
      </c>
      <c r="P25" s="5">
        <f t="shared" si="3"/>
        <v>316400.13333333336</v>
      </c>
      <c r="Q25" s="16" t="str">
        <f t="shared" si="4"/>
        <v/>
      </c>
    </row>
    <row r="26" spans="1:17" ht="21.75" customHeight="1" x14ac:dyDescent="0.2">
      <c r="A26" s="38">
        <v>46255</v>
      </c>
      <c r="B26" s="39" t="s">
        <v>443</v>
      </c>
      <c r="C26" s="40">
        <v>28912295</v>
      </c>
      <c r="D26" s="40">
        <v>68</v>
      </c>
      <c r="E26" s="40"/>
      <c r="F26" s="40"/>
      <c r="G26" s="40">
        <v>5468000</v>
      </c>
      <c r="H26" s="40">
        <v>6046251</v>
      </c>
      <c r="I26" s="40">
        <v>3174251</v>
      </c>
      <c r="J26" s="40">
        <v>42</v>
      </c>
      <c r="K26" s="40">
        <v>502400</v>
      </c>
      <c r="L26" s="41"/>
      <c r="M26" s="5">
        <f t="shared" si="0"/>
        <v>14688502</v>
      </c>
      <c r="N26" s="5">
        <f t="shared" si="1"/>
        <v>43600797</v>
      </c>
      <c r="O26" s="5">
        <f t="shared" si="2"/>
        <v>425180.8088235294</v>
      </c>
      <c r="P26" s="5">
        <f t="shared" si="3"/>
        <v>349726.23809523811</v>
      </c>
      <c r="Q26" s="16" t="str">
        <f t="shared" si="4"/>
        <v/>
      </c>
    </row>
    <row r="27" spans="1:17" ht="21.75" customHeight="1" x14ac:dyDescent="0.2">
      <c r="A27" s="42">
        <v>46256</v>
      </c>
      <c r="B27" s="43" t="s">
        <v>444</v>
      </c>
      <c r="C27" s="40">
        <v>34205287</v>
      </c>
      <c r="D27" s="40">
        <v>80</v>
      </c>
      <c r="E27" s="40"/>
      <c r="F27" s="40"/>
      <c r="G27" s="40">
        <v>6381999</v>
      </c>
      <c r="H27" s="40">
        <v>3534999</v>
      </c>
      <c r="I27" s="40">
        <v>5284252</v>
      </c>
      <c r="J27" s="40">
        <v>51</v>
      </c>
      <c r="K27" s="40"/>
      <c r="L27" s="41"/>
      <c r="M27" s="5">
        <f t="shared" si="0"/>
        <v>15201250</v>
      </c>
      <c r="N27" s="5">
        <f t="shared" si="1"/>
        <v>49406537</v>
      </c>
      <c r="O27" s="5">
        <f t="shared" si="2"/>
        <v>427566.08750000002</v>
      </c>
      <c r="P27" s="5">
        <f t="shared" si="3"/>
        <v>298063.72549019608</v>
      </c>
      <c r="Q27" s="16" t="str">
        <f t="shared" si="4"/>
        <v/>
      </c>
    </row>
    <row r="28" spans="1:17" ht="21.75" customHeight="1" x14ac:dyDescent="0.2">
      <c r="A28" s="42">
        <v>46257</v>
      </c>
      <c r="B28" s="43" t="s">
        <v>445</v>
      </c>
      <c r="C28" s="40">
        <v>37574298</v>
      </c>
      <c r="D28" s="40">
        <v>77</v>
      </c>
      <c r="E28" s="40"/>
      <c r="F28" s="40"/>
      <c r="G28" s="40">
        <v>13031998</v>
      </c>
      <c r="H28" s="40">
        <v>1918501</v>
      </c>
      <c r="I28" s="40">
        <v>2320498</v>
      </c>
      <c r="J28" s="40">
        <v>47</v>
      </c>
      <c r="K28" s="40"/>
      <c r="L28" s="41"/>
      <c r="M28" s="5">
        <f t="shared" si="0"/>
        <v>17270997</v>
      </c>
      <c r="N28" s="5">
        <f t="shared" si="1"/>
        <v>54845295</v>
      </c>
      <c r="O28" s="5">
        <f t="shared" si="2"/>
        <v>487977.89610389608</v>
      </c>
      <c r="P28" s="5">
        <f t="shared" si="3"/>
        <v>367468.02127659577</v>
      </c>
      <c r="Q28" s="16" t="str">
        <f t="shared" si="4"/>
        <v/>
      </c>
    </row>
    <row r="29" spans="1:17" ht="21.75" customHeight="1" x14ac:dyDescent="0.2">
      <c r="A29" s="38">
        <v>46258</v>
      </c>
      <c r="B29" s="39" t="s">
        <v>439</v>
      </c>
      <c r="C29" s="40">
        <v>28374038</v>
      </c>
      <c r="D29" s="40">
        <v>73</v>
      </c>
      <c r="E29" s="40"/>
      <c r="F29" s="40"/>
      <c r="G29" s="40">
        <v>7977507</v>
      </c>
      <c r="H29" s="40">
        <v>2722503</v>
      </c>
      <c r="I29" s="40">
        <v>852000</v>
      </c>
      <c r="J29" s="40">
        <v>40</v>
      </c>
      <c r="K29" s="40">
        <v>583333</v>
      </c>
      <c r="L29" s="41"/>
      <c r="M29" s="5">
        <f t="shared" si="0"/>
        <v>11552010</v>
      </c>
      <c r="N29" s="5">
        <f t="shared" si="1"/>
        <v>39926048</v>
      </c>
      <c r="O29" s="5">
        <f t="shared" si="2"/>
        <v>388685.45205479453</v>
      </c>
      <c r="P29" s="5">
        <f t="shared" si="3"/>
        <v>288800.25</v>
      </c>
      <c r="Q29" s="16" t="str">
        <f t="shared" si="4"/>
        <v/>
      </c>
    </row>
    <row r="30" spans="1:17" ht="21.75" customHeight="1" x14ac:dyDescent="0.2">
      <c r="A30" s="38">
        <v>46259</v>
      </c>
      <c r="B30" s="39" t="s">
        <v>440</v>
      </c>
      <c r="C30" s="40">
        <v>43028667</v>
      </c>
      <c r="D30" s="40">
        <v>87</v>
      </c>
      <c r="E30" s="40"/>
      <c r="F30" s="40"/>
      <c r="G30" s="40">
        <v>6140699</v>
      </c>
      <c r="H30" s="40">
        <v>4316001</v>
      </c>
      <c r="I30" s="40">
        <v>4017496</v>
      </c>
      <c r="J30" s="40">
        <v>46</v>
      </c>
      <c r="K30" s="40">
        <v>2663200</v>
      </c>
      <c r="L30" s="41"/>
      <c r="M30" s="5">
        <f t="shared" si="0"/>
        <v>14474196</v>
      </c>
      <c r="N30" s="5">
        <f t="shared" si="1"/>
        <v>57502863</v>
      </c>
      <c r="O30" s="5">
        <f t="shared" si="2"/>
        <v>494582.37931034481</v>
      </c>
      <c r="P30" s="5">
        <f t="shared" si="3"/>
        <v>314656.4347826087</v>
      </c>
      <c r="Q30" s="16" t="str">
        <f t="shared" si="4"/>
        <v/>
      </c>
    </row>
    <row r="31" spans="1:17" ht="21.75" customHeight="1" x14ac:dyDescent="0.2">
      <c r="A31" s="38">
        <v>46260</v>
      </c>
      <c r="B31" s="39" t="s">
        <v>441</v>
      </c>
      <c r="C31" s="40">
        <v>44617794</v>
      </c>
      <c r="D31" s="40">
        <v>88</v>
      </c>
      <c r="E31" s="40"/>
      <c r="F31" s="40"/>
      <c r="G31" s="40">
        <v>5623740</v>
      </c>
      <c r="H31" s="40">
        <v>2067001</v>
      </c>
      <c r="I31" s="40">
        <v>3787249</v>
      </c>
      <c r="J31" s="40">
        <v>41</v>
      </c>
      <c r="K31" s="40"/>
      <c r="L31" s="41"/>
      <c r="M31" s="5">
        <f t="shared" si="0"/>
        <v>11477990</v>
      </c>
      <c r="N31" s="5">
        <f t="shared" si="1"/>
        <v>56095784</v>
      </c>
      <c r="O31" s="5">
        <f t="shared" si="2"/>
        <v>507020.38636363635</v>
      </c>
      <c r="P31" s="5">
        <f t="shared" si="3"/>
        <v>279950.97560975607</v>
      </c>
      <c r="Q31" s="16" t="str">
        <f t="shared" si="4"/>
        <v/>
      </c>
    </row>
    <row r="32" spans="1:17" ht="21.75" customHeight="1" x14ac:dyDescent="0.2">
      <c r="A32" s="38">
        <v>46261</v>
      </c>
      <c r="B32" s="39" t="s">
        <v>442</v>
      </c>
      <c r="C32" s="40">
        <v>42471798</v>
      </c>
      <c r="D32" s="40">
        <v>98</v>
      </c>
      <c r="E32" s="40"/>
      <c r="F32" s="40"/>
      <c r="G32" s="40">
        <v>9391506</v>
      </c>
      <c r="H32" s="40">
        <v>4729504</v>
      </c>
      <c r="I32" s="40">
        <v>2726002</v>
      </c>
      <c r="J32" s="40">
        <v>62</v>
      </c>
      <c r="K32" s="40">
        <v>320000</v>
      </c>
      <c r="L32" s="41"/>
      <c r="M32" s="5">
        <f t="shared" si="0"/>
        <v>16847012</v>
      </c>
      <c r="N32" s="5">
        <f t="shared" si="1"/>
        <v>59318810</v>
      </c>
      <c r="O32" s="5">
        <f t="shared" si="2"/>
        <v>433385.69387755101</v>
      </c>
      <c r="P32" s="5">
        <f t="shared" si="3"/>
        <v>271726</v>
      </c>
      <c r="Q32" s="16" t="str">
        <f t="shared" si="4"/>
        <v/>
      </c>
    </row>
    <row r="33" spans="1:17" ht="21.75" customHeight="1" x14ac:dyDescent="0.2">
      <c r="A33" s="38">
        <v>46262</v>
      </c>
      <c r="B33" s="39" t="s">
        <v>443</v>
      </c>
      <c r="C33" s="40">
        <v>44191773</v>
      </c>
      <c r="D33" s="40">
        <v>95</v>
      </c>
      <c r="E33" s="40"/>
      <c r="F33" s="40"/>
      <c r="G33" s="40">
        <v>9988504</v>
      </c>
      <c r="H33" s="40">
        <v>6275001</v>
      </c>
      <c r="I33" s="40">
        <v>4020001</v>
      </c>
      <c r="J33" s="40">
        <v>60</v>
      </c>
      <c r="K33" s="40">
        <v>6026400</v>
      </c>
      <c r="L33" s="41"/>
      <c r="M33" s="5">
        <f t="shared" si="0"/>
        <v>20283506</v>
      </c>
      <c r="N33" s="5">
        <f t="shared" si="1"/>
        <v>64475279</v>
      </c>
      <c r="O33" s="5">
        <f t="shared" si="2"/>
        <v>465176.55789473682</v>
      </c>
      <c r="P33" s="5">
        <f t="shared" si="3"/>
        <v>338058.43333333335</v>
      </c>
      <c r="Q33" s="16" t="str">
        <f t="shared" si="4"/>
        <v/>
      </c>
    </row>
    <row r="34" spans="1:17" ht="21.75" customHeight="1" x14ac:dyDescent="0.2">
      <c r="A34" s="42">
        <v>46263</v>
      </c>
      <c r="B34" s="43" t="s">
        <v>444</v>
      </c>
      <c r="C34" s="40">
        <v>41420809</v>
      </c>
      <c r="D34" s="40">
        <v>92</v>
      </c>
      <c r="E34" s="40"/>
      <c r="F34" s="40"/>
      <c r="G34" s="40">
        <v>8438505</v>
      </c>
      <c r="H34" s="40">
        <v>6255003</v>
      </c>
      <c r="I34" s="40">
        <v>3918498</v>
      </c>
      <c r="J34" s="40">
        <v>56</v>
      </c>
      <c r="K34" s="40">
        <v>249999</v>
      </c>
      <c r="L34" s="41"/>
      <c r="M34" s="5">
        <f t="shared" si="0"/>
        <v>18612006</v>
      </c>
      <c r="N34" s="5">
        <f t="shared" si="1"/>
        <v>60032815</v>
      </c>
      <c r="O34" s="5">
        <f t="shared" si="2"/>
        <v>450226.1847826087</v>
      </c>
      <c r="P34" s="5">
        <f t="shared" si="3"/>
        <v>332357.25</v>
      </c>
      <c r="Q34" s="16" t="str">
        <f t="shared" si="4"/>
        <v/>
      </c>
    </row>
    <row r="35" spans="1:17" ht="21.75" customHeight="1" x14ac:dyDescent="0.2">
      <c r="A35" s="42">
        <v>46264</v>
      </c>
      <c r="B35" s="43" t="s">
        <v>445</v>
      </c>
      <c r="C35" s="40">
        <v>24342789</v>
      </c>
      <c r="D35" s="40">
        <v>65</v>
      </c>
      <c r="E35" s="40"/>
      <c r="F35" s="40"/>
      <c r="G35" s="40">
        <v>7694000</v>
      </c>
      <c r="H35" s="40">
        <v>4503501</v>
      </c>
      <c r="I35" s="40">
        <v>2770500</v>
      </c>
      <c r="J35" s="40">
        <v>47</v>
      </c>
      <c r="K35" s="40"/>
      <c r="L35" s="41"/>
      <c r="M35" s="5">
        <f t="shared" si="0"/>
        <v>14968001</v>
      </c>
      <c r="N35" s="5">
        <f t="shared" si="1"/>
        <v>39310790</v>
      </c>
      <c r="O35" s="5">
        <f t="shared" si="2"/>
        <v>374504.44615384616</v>
      </c>
      <c r="P35" s="5">
        <f t="shared" si="3"/>
        <v>318468.10638297873</v>
      </c>
      <c r="Q35" s="16" t="str">
        <f t="shared" si="4"/>
        <v/>
      </c>
    </row>
    <row r="36" spans="1:17" ht="21.75" customHeight="1" x14ac:dyDescent="0.2">
      <c r="A36" s="38">
        <v>46265</v>
      </c>
      <c r="B36" s="39" t="s">
        <v>439</v>
      </c>
      <c r="C36" s="40">
        <v>36495023</v>
      </c>
      <c r="D36" s="40">
        <v>81</v>
      </c>
      <c r="E36" s="40"/>
      <c r="F36" s="40"/>
      <c r="G36" s="40">
        <v>10592003</v>
      </c>
      <c r="H36" s="40">
        <v>2593000</v>
      </c>
      <c r="I36" s="40">
        <v>3687000</v>
      </c>
      <c r="J36" s="40">
        <v>50</v>
      </c>
      <c r="K36" s="40">
        <v>3345659</v>
      </c>
      <c r="L36" s="41"/>
      <c r="M36" s="5">
        <f t="shared" si="0"/>
        <v>16872003</v>
      </c>
      <c r="N36" s="5">
        <f t="shared" si="1"/>
        <v>53367026</v>
      </c>
      <c r="O36" s="5">
        <f t="shared" si="2"/>
        <v>450555.83950617287</v>
      </c>
      <c r="P36" s="5">
        <f t="shared" si="3"/>
        <v>337440.06</v>
      </c>
      <c r="Q36" s="16" t="str">
        <f t="shared" si="4"/>
        <v/>
      </c>
    </row>
    <row r="37" spans="1:17" ht="18.75" customHeight="1" x14ac:dyDescent="0.2"/>
    <row r="38" spans="1:17" ht="18.75" customHeight="1" x14ac:dyDescent="0.2"/>
    <row r="39" spans="1:17" ht="18.75" customHeight="1" x14ac:dyDescent="0.2"/>
    <row r="40" spans="1:17" ht="18.75" customHeight="1" x14ac:dyDescent="0.2"/>
    <row r="41" spans="1:17" ht="18.75" customHeight="1" x14ac:dyDescent="0.2"/>
    <row r="42" spans="1:17" ht="18.75" customHeight="1" x14ac:dyDescent="0.2"/>
    <row r="43" spans="1:17" ht="18.75" customHeight="1" x14ac:dyDescent="0.2"/>
    <row r="44" spans="1:17" ht="18.75" customHeight="1" x14ac:dyDescent="0.2"/>
    <row r="45" spans="1:17" ht="18.75" customHeight="1" x14ac:dyDescent="0.2"/>
    <row r="46" spans="1:17" ht="18.75" customHeight="1" x14ac:dyDescent="0.2"/>
    <row r="47" spans="1:17" ht="18.75" customHeight="1" x14ac:dyDescent="0.2"/>
    <row r="48" spans="1:17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9">
    <mergeCell ref="A1:Q1"/>
    <mergeCell ref="E3:F3"/>
    <mergeCell ref="O3:P3"/>
    <mergeCell ref="G3:J3"/>
    <mergeCell ref="A5:B5"/>
    <mergeCell ref="A2:Q2"/>
    <mergeCell ref="M3:N3"/>
    <mergeCell ref="C3:D3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L201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24" sqref="H24"/>
    </sheetView>
  </sheetViews>
  <sheetFormatPr baseColWidth="10" defaultColWidth="14" defaultRowHeight="14" x14ac:dyDescent="0.2"/>
  <cols>
    <col min="1" max="1" width="10" customWidth="1"/>
    <col min="2" max="2" width="24" customWidth="1"/>
    <col min="3" max="3" width="19" customWidth="1"/>
    <col min="4" max="4" width="12" customWidth="1"/>
    <col min="5" max="6" width="18" customWidth="1"/>
    <col min="7" max="7" width="12" customWidth="1"/>
    <col min="8" max="9" width="19" customWidth="1"/>
    <col min="10" max="11" width="17" customWidth="1"/>
    <col min="12" max="12" width="24" customWidth="1"/>
    <col min="13" max="20" width="11" customWidth="1"/>
  </cols>
  <sheetData>
    <row r="1" spans="1:12" ht="33" customHeight="1" x14ac:dyDescent="0.2">
      <c r="A1" s="158" t="s">
        <v>515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spans="1:12" ht="18.75" customHeight="1" x14ac:dyDescent="0.2">
      <c r="A2" s="146" t="s">
        <v>456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</row>
    <row r="3" spans="1:12" ht="36" customHeight="1" x14ac:dyDescent="0.2">
      <c r="A3" s="26" t="s">
        <v>457</v>
      </c>
      <c r="B3" s="26" t="s">
        <v>421</v>
      </c>
      <c r="C3" s="26" t="s">
        <v>423</v>
      </c>
      <c r="D3" s="26" t="s">
        <v>424</v>
      </c>
      <c r="E3" s="26" t="s">
        <v>458</v>
      </c>
      <c r="F3" s="27" t="s">
        <v>426</v>
      </c>
      <c r="G3" s="27" t="s">
        <v>459</v>
      </c>
      <c r="H3" s="28" t="s">
        <v>460</v>
      </c>
      <c r="I3" s="31" t="s">
        <v>461</v>
      </c>
      <c r="J3" s="31" t="s">
        <v>462</v>
      </c>
      <c r="K3" s="31" t="s">
        <v>463</v>
      </c>
      <c r="L3" s="30" t="s">
        <v>432</v>
      </c>
    </row>
    <row r="4" spans="1:12" ht="24" customHeight="1" x14ac:dyDescent="0.2">
      <c r="A4" s="44" t="s">
        <v>464</v>
      </c>
      <c r="B4" s="45" t="s">
        <v>516</v>
      </c>
      <c r="C4" s="46">
        <v>76451078</v>
      </c>
      <c r="D4" s="46">
        <f>IFERROR(SUM('📅 DAILY T8'!D6:D12),0)</f>
        <v>614</v>
      </c>
      <c r="E4" s="46">
        <f>IFERROR(SUM('📅 DAILY T8'!C6:C12)/SUM('📅 DAILY T8'!D6:D12),"")</f>
        <v>413374.32247557002</v>
      </c>
      <c r="F4" s="47">
        <v>187</v>
      </c>
      <c r="G4" s="48">
        <v>408829</v>
      </c>
      <c r="H4" s="49">
        <f>IFERROR(SUM('📅 DAILY T8'!M6:M12),0)</f>
        <v>126826387</v>
      </c>
      <c r="I4" s="50">
        <f>IFERROR(SUM('📅 DAILY T8'!N6:N12),0)</f>
        <v>380638221</v>
      </c>
      <c r="J4" s="51">
        <f>IFERROR(SUM('📅 DAILY T8'!C6:C12)/1292244677,"")</f>
        <v>0.19641159179640405</v>
      </c>
      <c r="K4" s="51">
        <f>IFERROR(SUM('📅 DAILY T8'!M6:M12)/730208327,"")</f>
        <v>0.17368521052211994</v>
      </c>
      <c r="L4" s="52"/>
    </row>
    <row r="5" spans="1:12" ht="24" customHeight="1" x14ac:dyDescent="0.2">
      <c r="A5" s="53" t="s">
        <v>466</v>
      </c>
      <c r="B5" s="54" t="s">
        <v>517</v>
      </c>
      <c r="C5" s="46">
        <v>251987902</v>
      </c>
      <c r="D5" s="46">
        <f>IFERROR(SUM('📅 DAILY T8'!D13:D19),0)</f>
        <v>633</v>
      </c>
      <c r="E5" s="46">
        <f>IFERROR(SUM('📅 DAILY T8'!C13:C19)/SUM('📅 DAILY T8'!D13:D19),"")</f>
        <v>423776.57661927328</v>
      </c>
      <c r="F5" s="47">
        <v>613</v>
      </c>
      <c r="G5" s="48">
        <v>411073</v>
      </c>
      <c r="H5" s="49">
        <f>IFERROR(SUM('📅 DAILY T8'!M13:M19),0)</f>
        <v>97036411</v>
      </c>
      <c r="I5" s="50">
        <f>IFERROR(SUM('📅 DAILY T8'!N13:N19),0)</f>
        <v>365286984</v>
      </c>
      <c r="J5" s="51">
        <f>IFERROR(SUM('📅 DAILY T8'!C6:C19)/1292244677,"")</f>
        <v>0.4039965621773654</v>
      </c>
      <c r="K5" s="51">
        <f>IFERROR(SUM('📅 DAILY T8'!M6:M19)/730208327,"")</f>
        <v>0.30657387723818713</v>
      </c>
      <c r="L5" s="52"/>
    </row>
    <row r="6" spans="1:12" ht="24" customHeight="1" x14ac:dyDescent="0.2">
      <c r="A6" s="55" t="s">
        <v>468</v>
      </c>
      <c r="B6" s="56" t="s">
        <v>518</v>
      </c>
      <c r="C6" s="46">
        <v>261267060</v>
      </c>
      <c r="D6" s="46">
        <f>IFERROR(SUM('📅 DAILY T8'!D20:D26),0)</f>
        <v>561</v>
      </c>
      <c r="E6" s="46">
        <f>IFERROR(SUM('📅 DAILY T8'!C20:C26)/SUM('📅 DAILY T8'!D20:D26),"")</f>
        <v>453130.10338680929</v>
      </c>
      <c r="F6" s="47">
        <v>599</v>
      </c>
      <c r="G6" s="48">
        <v>436172</v>
      </c>
      <c r="H6" s="49">
        <f>IFERROR(SUM('📅 DAILY T8'!M20:M26),0)</f>
        <v>96636035</v>
      </c>
      <c r="I6" s="50">
        <f>IFERROR(SUM('📅 DAILY T8'!N20:N26),0)</f>
        <v>350842023</v>
      </c>
      <c r="J6" s="51">
        <f>IFERROR(SUM('📅 DAILY T8'!C6:C26)/1292244677,"")</f>
        <v>0.60071316896591098</v>
      </c>
      <c r="K6" s="51">
        <f>IFERROR(SUM('📅 DAILY T8'!M6:M26)/730208327,"")</f>
        <v>0.43891424015491953</v>
      </c>
      <c r="L6" s="52"/>
    </row>
    <row r="7" spans="1:12" ht="24" customHeight="1" x14ac:dyDescent="0.2">
      <c r="A7" s="57" t="s">
        <v>470</v>
      </c>
      <c r="B7" s="58" t="s">
        <v>519</v>
      </c>
      <c r="C7" s="46">
        <v>258341940</v>
      </c>
      <c r="D7" s="46">
        <f>IFERROR(SUM('📅 DAILY T8'!D27:D33),0)</f>
        <v>598</v>
      </c>
      <c r="E7" s="46">
        <f>IFERROR(SUM('📅 DAILY T8'!C27:C33)/SUM('📅 DAILY T8'!D27:D33),"")</f>
        <v>458969.32274247491</v>
      </c>
      <c r="F7" s="47">
        <v>566</v>
      </c>
      <c r="G7" s="48">
        <v>456434</v>
      </c>
      <c r="H7" s="49">
        <f>IFERROR(SUM('📅 DAILY T8'!M27:M33),0)</f>
        <v>107106961</v>
      </c>
      <c r="I7" s="50">
        <f>IFERROR(SUM('📅 DAILY T8'!N27:N33),0)</f>
        <v>381570616</v>
      </c>
      <c r="J7" s="51">
        <f>IFERROR(SUM('📅 DAILY T8'!C6:C33)/1292244677,"")</f>
        <v>0.8131061158164864</v>
      </c>
      <c r="K7" s="51">
        <f>IFERROR(SUM('📅 DAILY T8'!M6:M33)/730208327,"")</f>
        <v>0.58559424507904856</v>
      </c>
      <c r="L7" s="52"/>
    </row>
    <row r="8" spans="1:12" ht="24" customHeight="1" x14ac:dyDescent="0.2">
      <c r="A8" s="59" t="s">
        <v>472</v>
      </c>
      <c r="B8" s="60" t="s">
        <v>520</v>
      </c>
      <c r="C8" s="46">
        <v>268447668</v>
      </c>
      <c r="D8" s="46">
        <f>IFERROR(SUM('📅 DAILY T8'!D28:D34),0)</f>
        <v>610</v>
      </c>
      <c r="E8" s="46"/>
      <c r="F8" s="47">
        <v>598</v>
      </c>
      <c r="G8" s="48">
        <v>448909</v>
      </c>
      <c r="H8" s="49">
        <f>IFERROR(SUM('📅 DAILY T8'!M28:M34),0)</f>
        <v>110517717</v>
      </c>
      <c r="I8" s="50">
        <f>IFERROR(SUM('📅 DAILY T8'!N28:N34),0)</f>
        <v>392196894</v>
      </c>
      <c r="J8" s="51">
        <f>IFERROR(SUM('📅 DAILY T8'!C7:C34)/1292244677,"")</f>
        <v>0.81478402406296002</v>
      </c>
      <c r="K8" s="51">
        <f>IFERROR(SUM('📅 DAILY T8'!M7:M34)/730208327,"")</f>
        <v>0.57701003730131384</v>
      </c>
      <c r="L8" s="52"/>
    </row>
    <row r="9" spans="1:12" ht="24" customHeight="1" x14ac:dyDescent="0.2">
      <c r="A9" s="59" t="s">
        <v>521</v>
      </c>
      <c r="B9" s="100">
        <v>46265</v>
      </c>
      <c r="C9" s="46">
        <v>36495023</v>
      </c>
      <c r="D9" s="46">
        <f>IFERROR(SUM('📅 DAILY T8'!D34:D36),0)</f>
        <v>238</v>
      </c>
      <c r="E9" s="46">
        <f>IFERROR(SUM('📅 DAILY T8'!C34:C36)/SUM('📅 DAILY T8'!D34:D36),"")</f>
        <v>429658.07142857142</v>
      </c>
      <c r="F9" s="47">
        <v>81</v>
      </c>
      <c r="G9" s="48">
        <v>450555</v>
      </c>
      <c r="H9" s="49">
        <f>IFERROR(SUM('📅 DAILY T8'!M34:M36),0)</f>
        <v>50452010</v>
      </c>
      <c r="I9" s="50">
        <f>IFERROR(SUM('📅 DAILY T8'!N34:N36),0)</f>
        <v>152710631</v>
      </c>
      <c r="J9" s="51">
        <f>IFERROR(SUM('📅 DAILY T8'!C6:C36)/1292244677,"")</f>
        <v>0.8922386692872406</v>
      </c>
      <c r="K9" s="51">
        <f>IFERROR(SUM('📅 DAILY T8'!M6:M36)/730208327,"")</f>
        <v>0.65468686992938108</v>
      </c>
      <c r="L9" s="52"/>
    </row>
    <row r="10" spans="1:12" ht="4.5" customHeight="1" x14ac:dyDescent="0.2">
      <c r="A10" s="61"/>
    </row>
    <row r="11" spans="1:12" ht="18.75" customHeight="1" x14ac:dyDescent="0.2">
      <c r="B11" s="61"/>
    </row>
    <row r="12" spans="1:12" ht="18.75" customHeight="1" x14ac:dyDescent="0.2">
      <c r="C12" s="61"/>
    </row>
    <row r="13" spans="1:12" ht="18.75" customHeight="1" x14ac:dyDescent="0.2">
      <c r="D13" s="61"/>
    </row>
    <row r="14" spans="1:12" ht="18.75" customHeight="1" x14ac:dyDescent="0.2">
      <c r="E14" s="61"/>
    </row>
    <row r="15" spans="1:12" ht="18.75" customHeight="1" x14ac:dyDescent="0.2">
      <c r="F15" s="61"/>
    </row>
    <row r="16" spans="1:12" ht="18.75" customHeight="1" x14ac:dyDescent="0.2">
      <c r="G16" s="61"/>
    </row>
    <row r="17" spans="1:12" ht="18.75" customHeight="1" x14ac:dyDescent="0.2">
      <c r="H17" s="61"/>
    </row>
    <row r="18" spans="1:12" ht="18.75" customHeight="1" x14ac:dyDescent="0.2">
      <c r="I18" s="61"/>
    </row>
    <row r="19" spans="1:12" ht="18.75" customHeight="1" x14ac:dyDescent="0.2">
      <c r="J19" s="61"/>
    </row>
    <row r="20" spans="1:12" ht="18.75" customHeight="1" x14ac:dyDescent="0.2">
      <c r="K20" s="61"/>
    </row>
    <row r="21" spans="1:12" ht="18.75" customHeight="1" x14ac:dyDescent="0.2">
      <c r="L21" s="61"/>
    </row>
    <row r="22" spans="1:12" ht="25.5" customHeight="1" x14ac:dyDescent="0.2">
      <c r="A22" s="62" t="s">
        <v>474</v>
      </c>
      <c r="B22" s="63" t="s">
        <v>522</v>
      </c>
      <c r="C22" s="64">
        <f>IFERROR(SUM('📅 DAILY T8'!C6:C36),0)</f>
        <v>1152990671</v>
      </c>
      <c r="D22" s="64">
        <f>IFERROR(SUM('📅 DAILY T8'!D6:D36),0)</f>
        <v>2644</v>
      </c>
      <c r="E22" s="64">
        <f>IFERROR(SUM('📅 DAILY T8'!C6:C36)/SUM('📅 DAILY T8'!D6:D36),"")</f>
        <v>436078.16603630863</v>
      </c>
      <c r="F22" s="64">
        <f>IFERROR(SUM('📅 DAILY T8'!F6:F36),0)</f>
        <v>0</v>
      </c>
      <c r="G22" s="65" t="str">
        <f>IFERROR(SUM('📅 DAILY T8'!C6:C36)/SUM('📅 DAILY T8'!F6:F36),"")</f>
        <v/>
      </c>
      <c r="H22" s="64">
        <f>IFERROR(SUM('📅 DAILY T8'!M6:M36),0)</f>
        <v>478057804</v>
      </c>
      <c r="I22" s="64">
        <f>IFERROR(SUM('📅 DAILY T8'!N6:N36),0)</f>
        <v>1631048475</v>
      </c>
      <c r="J22" s="66">
        <f>IFERROR(SUM('📅 DAILY T8'!C6:C36)/1292244677,"")</f>
        <v>0.8922386692872406</v>
      </c>
      <c r="K22" s="66">
        <f>IFERROR(SUM('📅 DAILY T8'!M6:M36)/730208327,"")</f>
        <v>0.65468686992938108</v>
      </c>
      <c r="L22" s="61"/>
    </row>
    <row r="23" spans="1:12" ht="18.75" customHeight="1" x14ac:dyDescent="0.2"/>
    <row r="24" spans="1:12" ht="21.75" customHeight="1" x14ac:dyDescent="0.2">
      <c r="A24" s="161" t="s">
        <v>476</v>
      </c>
      <c r="B24" s="143"/>
      <c r="C24" s="67">
        <v>1221751028</v>
      </c>
      <c r="D24" s="33"/>
      <c r="E24" s="33"/>
      <c r="F24" s="33"/>
      <c r="G24" s="33"/>
      <c r="H24" s="68">
        <v>655855776</v>
      </c>
      <c r="I24" s="69">
        <v>1877606804</v>
      </c>
      <c r="J24" s="33"/>
      <c r="K24" s="33"/>
      <c r="L24" s="33"/>
    </row>
    <row r="25" spans="1:12" ht="18.75" customHeight="1" x14ac:dyDescent="0.2"/>
    <row r="26" spans="1:12" ht="18.75" customHeight="1" x14ac:dyDescent="0.2">
      <c r="A26" s="160" t="s">
        <v>477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</row>
    <row r="27" spans="1:12" ht="18.75" customHeight="1" x14ac:dyDescent="0.2"/>
    <row r="28" spans="1:12" ht="18.75" customHeight="1" x14ac:dyDescent="0.2"/>
    <row r="29" spans="1:12" ht="18.75" customHeight="1" x14ac:dyDescent="0.2"/>
    <row r="30" spans="1:12" ht="18.75" customHeight="1" x14ac:dyDescent="0.2"/>
    <row r="31" spans="1:12" ht="18.75" customHeight="1" x14ac:dyDescent="0.2"/>
    <row r="32" spans="1:12" ht="18.75" customHeight="1" x14ac:dyDescent="0.2"/>
    <row r="33" ht="18.75" customHeight="1" x14ac:dyDescent="0.2"/>
    <row r="34" ht="18.75" customHeight="1" x14ac:dyDescent="0.2"/>
    <row r="35" ht="18.75" customHeight="1" x14ac:dyDescent="0.2"/>
    <row r="36" ht="18.75" customHeight="1" x14ac:dyDescent="0.2"/>
    <row r="37" ht="18.75" customHeight="1" x14ac:dyDescent="0.2"/>
    <row r="38" ht="18.75" customHeight="1" x14ac:dyDescent="0.2"/>
    <row r="39" ht="18.75" customHeight="1" x14ac:dyDescent="0.2"/>
    <row r="40" ht="18.75" customHeight="1" x14ac:dyDescent="0.2"/>
    <row r="41" ht="18.75" customHeight="1" x14ac:dyDescent="0.2"/>
    <row r="42" ht="18.75" customHeight="1" x14ac:dyDescent="0.2"/>
    <row r="43" ht="18.75" customHeight="1" x14ac:dyDescent="0.2"/>
    <row r="44" ht="18.75" customHeight="1" x14ac:dyDescent="0.2"/>
    <row r="45" ht="18.75" customHeight="1" x14ac:dyDescent="0.2"/>
    <row r="46" ht="18.75" customHeight="1" x14ac:dyDescent="0.2"/>
    <row r="47" ht="18.75" customHeight="1" x14ac:dyDescent="0.2"/>
    <row r="48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  <row r="201" ht="18.75" customHeight="1" x14ac:dyDescent="0.2"/>
  </sheetData>
  <mergeCells count="4">
    <mergeCell ref="A26:L26"/>
    <mergeCell ref="A2:L2"/>
    <mergeCell ref="A24:B24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Q20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" defaultRowHeight="14" x14ac:dyDescent="0.2"/>
  <cols>
    <col min="1" max="1" width="15" customWidth="1"/>
    <col min="2" max="2" width="6" customWidth="1"/>
    <col min="3" max="3" width="19" customWidth="1"/>
    <col min="4" max="4" width="11" customWidth="1"/>
    <col min="5" max="5" width="15" customWidth="1"/>
    <col min="6" max="9" width="17" customWidth="1"/>
    <col min="10" max="10" width="12" customWidth="1"/>
    <col min="11" max="11" width="16" customWidth="1"/>
    <col min="12" max="12" width="27" customWidth="1"/>
    <col min="13" max="14" width="18" customWidth="1"/>
    <col min="15" max="16" width="15" customWidth="1"/>
    <col min="17" max="17" width="12" customWidth="1"/>
    <col min="18" max="20" width="11" customWidth="1"/>
  </cols>
  <sheetData>
    <row r="1" spans="1:17" ht="33" customHeight="1" x14ac:dyDescent="0.2">
      <c r="A1" s="158" t="s">
        <v>523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1.75" customHeight="1" x14ac:dyDescent="0.2">
      <c r="A2" s="146" t="s">
        <v>412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.75" customHeight="1" x14ac:dyDescent="0.2">
      <c r="A3" s="157" t="s">
        <v>413</v>
      </c>
      <c r="B3" s="143"/>
      <c r="C3" s="156" t="s">
        <v>414</v>
      </c>
      <c r="D3" s="143"/>
      <c r="E3" s="159" t="s">
        <v>415</v>
      </c>
      <c r="F3" s="143"/>
      <c r="G3" s="154" t="s">
        <v>416</v>
      </c>
      <c r="H3" s="143"/>
      <c r="I3" s="143"/>
      <c r="J3" s="143"/>
      <c r="K3" s="22" t="s">
        <v>417</v>
      </c>
      <c r="L3" s="23" t="s">
        <v>418</v>
      </c>
      <c r="M3" s="153" t="s">
        <v>419</v>
      </c>
      <c r="N3" s="143"/>
      <c r="O3" s="153" t="s">
        <v>419</v>
      </c>
      <c r="P3" s="143"/>
      <c r="Q3" s="24" t="s">
        <v>420</v>
      </c>
    </row>
    <row r="4" spans="1:17" ht="36" customHeight="1" x14ac:dyDescent="0.2">
      <c r="A4" s="25" t="s">
        <v>421</v>
      </c>
      <c r="B4" s="25" t="s">
        <v>422</v>
      </c>
      <c r="C4" s="26" t="s">
        <v>423</v>
      </c>
      <c r="D4" s="26" t="s">
        <v>424</v>
      </c>
      <c r="E4" s="27" t="s">
        <v>425</v>
      </c>
      <c r="F4" s="27" t="s">
        <v>426</v>
      </c>
      <c r="G4" s="28" t="s">
        <v>427</v>
      </c>
      <c r="H4" s="28" t="s">
        <v>428</v>
      </c>
      <c r="I4" s="28" t="s">
        <v>429</v>
      </c>
      <c r="J4" s="28" t="s">
        <v>430</v>
      </c>
      <c r="K4" s="29" t="s">
        <v>431</v>
      </c>
      <c r="L4" s="30" t="s">
        <v>432</v>
      </c>
      <c r="M4" s="31" t="s">
        <v>433</v>
      </c>
      <c r="N4" s="31" t="s">
        <v>434</v>
      </c>
      <c r="O4" s="31" t="s">
        <v>435</v>
      </c>
      <c r="P4" s="31" t="s">
        <v>436</v>
      </c>
      <c r="Q4" s="31" t="s">
        <v>437</v>
      </c>
    </row>
    <row r="5" spans="1:17" ht="21.75" customHeight="1" x14ac:dyDescent="0.2">
      <c r="A5" s="155" t="s">
        <v>438</v>
      </c>
      <c r="B5" s="143"/>
      <c r="C5" s="32">
        <v>1009097583</v>
      </c>
      <c r="D5" s="33"/>
      <c r="E5" s="33"/>
      <c r="F5" s="33"/>
      <c r="G5" s="34">
        <v>285065587</v>
      </c>
      <c r="H5" s="34">
        <v>140539321</v>
      </c>
      <c r="I5" s="34">
        <v>116095049</v>
      </c>
      <c r="J5" s="33"/>
      <c r="K5" s="33"/>
      <c r="L5" s="33"/>
      <c r="M5" s="35">
        <v>541699957</v>
      </c>
      <c r="N5" s="35">
        <v>1550797540</v>
      </c>
      <c r="O5" s="36">
        <v>450000</v>
      </c>
      <c r="P5" s="36">
        <v>330000</v>
      </c>
      <c r="Q5" s="37"/>
    </row>
    <row r="6" spans="1:17" ht="21.75" customHeight="1" x14ac:dyDescent="0.2">
      <c r="A6" s="38">
        <v>46266</v>
      </c>
      <c r="B6" s="39" t="s">
        <v>440</v>
      </c>
      <c r="C6" s="40">
        <v>20495514</v>
      </c>
      <c r="D6" s="40">
        <v>51</v>
      </c>
      <c r="E6" s="40"/>
      <c r="F6" s="40"/>
      <c r="G6" s="40">
        <v>11075023</v>
      </c>
      <c r="H6" s="40">
        <v>2705001</v>
      </c>
      <c r="I6" s="40">
        <v>1394500</v>
      </c>
      <c r="J6" s="40">
        <v>34</v>
      </c>
      <c r="K6" s="40">
        <v>280000</v>
      </c>
      <c r="L6" s="41"/>
      <c r="M6" s="5">
        <f t="shared" ref="M6:M35" si="0">IF(SUM(G6:I6)&gt;0,SUM(G6:I6),"")</f>
        <v>15174524</v>
      </c>
      <c r="N6" s="5">
        <f t="shared" ref="N6:N35" si="1">IF(N(C6)+N(M6)&gt;0,N(C6)+N(M6),"")</f>
        <v>35670038</v>
      </c>
      <c r="O6" s="5">
        <f t="shared" ref="O6:O35" si="2">IFERROR(IF(D6&gt;0,C6/D6,""),"")</f>
        <v>401872.82352941175</v>
      </c>
      <c r="P6" s="5">
        <f t="shared" ref="P6:P35" si="3">IFERROR(IF(J6&gt;0,M6/J6,""),"")</f>
        <v>446309.5294117647</v>
      </c>
      <c r="Q6" s="16" t="str">
        <f t="shared" ref="Q6:Q35" si="4">IFERROR(IF(E6&gt;0,D6/E6,""),"")</f>
        <v/>
      </c>
    </row>
    <row r="7" spans="1:17" ht="21.75" customHeight="1" x14ac:dyDescent="0.2">
      <c r="A7" s="38">
        <v>46267</v>
      </c>
      <c r="B7" s="39" t="s">
        <v>441</v>
      </c>
      <c r="C7" s="40">
        <v>14806283</v>
      </c>
      <c r="D7" s="40">
        <v>40</v>
      </c>
      <c r="E7" s="40"/>
      <c r="F7" s="40"/>
      <c r="G7" s="40">
        <v>3345002</v>
      </c>
      <c r="H7" s="40">
        <v>3983001</v>
      </c>
      <c r="I7" s="40">
        <v>2156000</v>
      </c>
      <c r="J7" s="40">
        <v>32</v>
      </c>
      <c r="K7" s="40">
        <v>502400</v>
      </c>
      <c r="L7" s="41"/>
      <c r="M7" s="5">
        <f t="shared" si="0"/>
        <v>9484003</v>
      </c>
      <c r="N7" s="5">
        <f t="shared" si="1"/>
        <v>24290286</v>
      </c>
      <c r="O7" s="5">
        <f t="shared" si="2"/>
        <v>370157.07500000001</v>
      </c>
      <c r="P7" s="5">
        <f t="shared" si="3"/>
        <v>296375.09375</v>
      </c>
      <c r="Q7" s="16" t="str">
        <f t="shared" si="4"/>
        <v/>
      </c>
    </row>
    <row r="8" spans="1:17" ht="21.75" customHeight="1" x14ac:dyDescent="0.2">
      <c r="A8" s="38">
        <v>46268</v>
      </c>
      <c r="B8" s="39" t="s">
        <v>442</v>
      </c>
      <c r="C8" s="40">
        <v>28089291</v>
      </c>
      <c r="D8" s="40">
        <v>70</v>
      </c>
      <c r="E8" s="40"/>
      <c r="F8" s="40"/>
      <c r="G8" s="40">
        <v>11121246</v>
      </c>
      <c r="H8" s="40">
        <v>2138500</v>
      </c>
      <c r="I8" s="40">
        <v>3173502</v>
      </c>
      <c r="J8" s="40">
        <v>48</v>
      </c>
      <c r="K8" s="40"/>
      <c r="L8" s="41"/>
      <c r="M8" s="5">
        <f t="shared" si="0"/>
        <v>16433248</v>
      </c>
      <c r="N8" s="5">
        <f t="shared" si="1"/>
        <v>44522539</v>
      </c>
      <c r="O8" s="5">
        <f t="shared" si="2"/>
        <v>401275.58571428573</v>
      </c>
      <c r="P8" s="5">
        <f t="shared" si="3"/>
        <v>342359.33333333331</v>
      </c>
      <c r="Q8" s="16" t="str">
        <f t="shared" si="4"/>
        <v/>
      </c>
    </row>
    <row r="9" spans="1:17" ht="21.75" customHeight="1" x14ac:dyDescent="0.2">
      <c r="A9" s="38">
        <v>46269</v>
      </c>
      <c r="B9" s="39" t="s">
        <v>443</v>
      </c>
      <c r="C9" s="40">
        <v>53997297</v>
      </c>
      <c r="D9" s="40">
        <v>102</v>
      </c>
      <c r="E9" s="40"/>
      <c r="F9" s="40"/>
      <c r="G9" s="40">
        <v>13345018</v>
      </c>
      <c r="H9" s="40">
        <v>6985000</v>
      </c>
      <c r="I9" s="40">
        <v>4598003</v>
      </c>
      <c r="J9" s="40">
        <v>76</v>
      </c>
      <c r="K9" s="40">
        <v>3828100</v>
      </c>
      <c r="L9" s="41"/>
      <c r="M9" s="5">
        <f t="shared" si="0"/>
        <v>24928021</v>
      </c>
      <c r="N9" s="5">
        <f t="shared" si="1"/>
        <v>78925318</v>
      </c>
      <c r="O9" s="5">
        <f t="shared" si="2"/>
        <v>529385.26470588241</v>
      </c>
      <c r="P9" s="5">
        <f t="shared" si="3"/>
        <v>328000.2763157895</v>
      </c>
      <c r="Q9" s="16" t="str">
        <f t="shared" si="4"/>
        <v/>
      </c>
    </row>
    <row r="10" spans="1:17" ht="21.75" customHeight="1" x14ac:dyDescent="0.2">
      <c r="A10" s="42">
        <v>46270</v>
      </c>
      <c r="B10" s="43" t="s">
        <v>444</v>
      </c>
      <c r="C10" s="40">
        <v>33364781</v>
      </c>
      <c r="D10" s="40">
        <v>97</v>
      </c>
      <c r="E10" s="40"/>
      <c r="F10" s="40"/>
      <c r="G10" s="40">
        <v>7316499</v>
      </c>
      <c r="H10" s="40">
        <v>10553998</v>
      </c>
      <c r="I10" s="40">
        <v>4043002</v>
      </c>
      <c r="J10" s="40">
        <v>54</v>
      </c>
      <c r="K10" s="40"/>
      <c r="L10" s="41"/>
      <c r="M10" s="5">
        <f t="shared" si="0"/>
        <v>21913499</v>
      </c>
      <c r="N10" s="5">
        <f t="shared" si="1"/>
        <v>55278280</v>
      </c>
      <c r="O10" s="5">
        <f t="shared" si="2"/>
        <v>343966.81443298969</v>
      </c>
      <c r="P10" s="5">
        <f t="shared" si="3"/>
        <v>405805.53703703702</v>
      </c>
      <c r="Q10" s="16" t="str">
        <f t="shared" si="4"/>
        <v/>
      </c>
    </row>
    <row r="11" spans="1:17" ht="21.75" customHeight="1" x14ac:dyDescent="0.2">
      <c r="A11" s="42">
        <v>46271</v>
      </c>
      <c r="B11" s="43" t="s">
        <v>445</v>
      </c>
      <c r="C11" s="40">
        <v>29886021</v>
      </c>
      <c r="D11" s="40">
        <v>75</v>
      </c>
      <c r="E11" s="40"/>
      <c r="F11" s="40"/>
      <c r="G11" s="40">
        <v>9747999</v>
      </c>
      <c r="H11" s="40">
        <v>6598002</v>
      </c>
      <c r="I11" s="40">
        <v>2870500</v>
      </c>
      <c r="J11" s="40">
        <v>63</v>
      </c>
      <c r="K11" s="40">
        <v>280000</v>
      </c>
      <c r="L11" s="41"/>
      <c r="M11" s="5">
        <f t="shared" si="0"/>
        <v>19216501</v>
      </c>
      <c r="N11" s="5">
        <f t="shared" si="1"/>
        <v>49102522</v>
      </c>
      <c r="O11" s="5">
        <f t="shared" si="2"/>
        <v>398480.28</v>
      </c>
      <c r="P11" s="5">
        <f t="shared" si="3"/>
        <v>305023.82539682538</v>
      </c>
      <c r="Q11" s="16" t="str">
        <f t="shared" si="4"/>
        <v/>
      </c>
    </row>
    <row r="12" spans="1:17" ht="21.75" customHeight="1" x14ac:dyDescent="0.2">
      <c r="A12" s="38">
        <v>46272</v>
      </c>
      <c r="B12" s="39" t="s">
        <v>439</v>
      </c>
      <c r="C12" s="40">
        <v>35421885</v>
      </c>
      <c r="D12" s="40">
        <v>83</v>
      </c>
      <c r="E12" s="40"/>
      <c r="F12" s="40"/>
      <c r="G12" s="40">
        <v>6254004</v>
      </c>
      <c r="H12" s="40">
        <v>3830501</v>
      </c>
      <c r="I12" s="40">
        <v>3769255</v>
      </c>
      <c r="J12" s="40">
        <v>35</v>
      </c>
      <c r="K12" s="40">
        <v>1028800</v>
      </c>
      <c r="L12" s="41"/>
      <c r="M12" s="5">
        <f t="shared" si="0"/>
        <v>13853760</v>
      </c>
      <c r="N12" s="5">
        <f t="shared" si="1"/>
        <v>49275645</v>
      </c>
      <c r="O12" s="5">
        <f t="shared" si="2"/>
        <v>426769.69879518071</v>
      </c>
      <c r="P12" s="5">
        <f t="shared" si="3"/>
        <v>395821.71428571426</v>
      </c>
      <c r="Q12" s="16" t="str">
        <f t="shared" si="4"/>
        <v/>
      </c>
    </row>
    <row r="13" spans="1:17" ht="21.75" customHeight="1" x14ac:dyDescent="0.2">
      <c r="A13" s="38">
        <v>46273</v>
      </c>
      <c r="B13" s="39" t="s">
        <v>440</v>
      </c>
      <c r="C13" s="40">
        <v>36832306</v>
      </c>
      <c r="D13" s="40">
        <v>85</v>
      </c>
      <c r="E13" s="40"/>
      <c r="F13" s="40"/>
      <c r="G13" s="40">
        <v>8823251</v>
      </c>
      <c r="H13" s="40">
        <v>3697004</v>
      </c>
      <c r="I13" s="40">
        <v>2528498</v>
      </c>
      <c r="J13" s="40">
        <v>48</v>
      </c>
      <c r="K13" s="40">
        <v>449999</v>
      </c>
      <c r="L13" s="41"/>
      <c r="M13" s="5">
        <f t="shared" si="0"/>
        <v>15048753</v>
      </c>
      <c r="N13" s="5">
        <f t="shared" si="1"/>
        <v>51881059</v>
      </c>
      <c r="O13" s="5">
        <f t="shared" si="2"/>
        <v>433321.24705882353</v>
      </c>
      <c r="P13" s="5">
        <f t="shared" si="3"/>
        <v>313515.6875</v>
      </c>
      <c r="Q13" s="16" t="str">
        <f t="shared" si="4"/>
        <v/>
      </c>
    </row>
    <row r="14" spans="1:17" ht="21.75" customHeight="1" x14ac:dyDescent="0.2">
      <c r="A14" s="38">
        <v>46274</v>
      </c>
      <c r="B14" s="39" t="s">
        <v>441</v>
      </c>
      <c r="C14" s="40">
        <v>43825044</v>
      </c>
      <c r="D14" s="40">
        <v>77</v>
      </c>
      <c r="E14" s="40"/>
      <c r="F14" s="40"/>
      <c r="G14" s="40">
        <v>4526000</v>
      </c>
      <c r="H14" s="40">
        <v>3158503</v>
      </c>
      <c r="I14" s="40">
        <v>2158001</v>
      </c>
      <c r="J14" s="40">
        <v>35</v>
      </c>
      <c r="K14" s="40"/>
      <c r="L14" s="41"/>
      <c r="M14" s="5">
        <f t="shared" si="0"/>
        <v>9842504</v>
      </c>
      <c r="N14" s="5">
        <f t="shared" si="1"/>
        <v>53667548</v>
      </c>
      <c r="O14" s="5">
        <f t="shared" si="2"/>
        <v>569156.41558441555</v>
      </c>
      <c r="P14" s="5">
        <f t="shared" si="3"/>
        <v>281214.40000000002</v>
      </c>
      <c r="Q14" s="16" t="str">
        <f t="shared" si="4"/>
        <v/>
      </c>
    </row>
    <row r="15" spans="1:17" ht="21.75" customHeight="1" x14ac:dyDescent="0.2">
      <c r="A15" s="38">
        <v>46275</v>
      </c>
      <c r="B15" s="39" t="s">
        <v>442</v>
      </c>
      <c r="C15" s="40">
        <v>27762575</v>
      </c>
      <c r="D15" s="40">
        <v>71</v>
      </c>
      <c r="E15" s="40"/>
      <c r="F15" s="40"/>
      <c r="G15" s="40">
        <v>2183500</v>
      </c>
      <c r="H15" s="40">
        <v>5738502</v>
      </c>
      <c r="I15" s="40">
        <v>2332749</v>
      </c>
      <c r="J15" s="40">
        <v>35</v>
      </c>
      <c r="K15" s="40">
        <v>1727207</v>
      </c>
      <c r="L15" s="41"/>
      <c r="M15" s="5">
        <f t="shared" si="0"/>
        <v>10254751</v>
      </c>
      <c r="N15" s="5">
        <f t="shared" si="1"/>
        <v>38017326</v>
      </c>
      <c r="O15" s="5">
        <f t="shared" si="2"/>
        <v>391022.18309859157</v>
      </c>
      <c r="P15" s="5">
        <f t="shared" si="3"/>
        <v>292992.88571428572</v>
      </c>
      <c r="Q15" s="16" t="str">
        <f t="shared" si="4"/>
        <v/>
      </c>
    </row>
    <row r="16" spans="1:17" ht="21.75" customHeight="1" x14ac:dyDescent="0.2">
      <c r="A16" s="38">
        <v>46276</v>
      </c>
      <c r="B16" s="39" t="s">
        <v>443</v>
      </c>
      <c r="C16" s="40">
        <v>39021786</v>
      </c>
      <c r="D16" s="40">
        <v>89</v>
      </c>
      <c r="E16" s="40"/>
      <c r="F16" s="40"/>
      <c r="G16" s="40">
        <v>10870752</v>
      </c>
      <c r="H16" s="40">
        <v>3791499</v>
      </c>
      <c r="I16" s="40">
        <v>5493702</v>
      </c>
      <c r="J16" s="40">
        <v>59</v>
      </c>
      <c r="K16" s="40">
        <v>364700</v>
      </c>
      <c r="L16" s="41"/>
      <c r="M16" s="5">
        <f t="shared" si="0"/>
        <v>20155953</v>
      </c>
      <c r="N16" s="5">
        <f t="shared" si="1"/>
        <v>59177739</v>
      </c>
      <c r="O16" s="5">
        <f t="shared" si="2"/>
        <v>438447.03370786516</v>
      </c>
      <c r="P16" s="5">
        <f t="shared" si="3"/>
        <v>341626.32203389832</v>
      </c>
      <c r="Q16" s="16" t="str">
        <f t="shared" si="4"/>
        <v/>
      </c>
    </row>
    <row r="17" spans="1:17" ht="21.75" customHeight="1" x14ac:dyDescent="0.2">
      <c r="A17" s="42">
        <v>46277</v>
      </c>
      <c r="B17" s="43" t="s">
        <v>444</v>
      </c>
      <c r="C17" s="40">
        <v>38556033</v>
      </c>
      <c r="D17" s="40">
        <v>90</v>
      </c>
      <c r="E17" s="40"/>
      <c r="F17" s="40"/>
      <c r="G17" s="40">
        <v>9599257</v>
      </c>
      <c r="H17" s="40">
        <v>3314753</v>
      </c>
      <c r="I17" s="40">
        <v>4445351</v>
      </c>
      <c r="J17" s="40">
        <v>62</v>
      </c>
      <c r="K17" s="40"/>
      <c r="L17" s="41"/>
      <c r="M17" s="5">
        <f t="shared" si="0"/>
        <v>17359361</v>
      </c>
      <c r="N17" s="5">
        <f t="shared" si="1"/>
        <v>55915394</v>
      </c>
      <c r="O17" s="5">
        <f t="shared" si="2"/>
        <v>428400.36666666664</v>
      </c>
      <c r="P17" s="5">
        <f t="shared" si="3"/>
        <v>279989.69354838709</v>
      </c>
      <c r="Q17" s="16" t="str">
        <f t="shared" si="4"/>
        <v/>
      </c>
    </row>
    <row r="18" spans="1:17" ht="21.75" customHeight="1" x14ac:dyDescent="0.2">
      <c r="A18" s="42">
        <v>46278</v>
      </c>
      <c r="B18" s="43" t="s">
        <v>445</v>
      </c>
      <c r="C18" s="40">
        <v>26490027</v>
      </c>
      <c r="D18" s="40">
        <v>67</v>
      </c>
      <c r="E18" s="40"/>
      <c r="F18" s="40"/>
      <c r="G18" s="40">
        <v>10090499</v>
      </c>
      <c r="H18" s="40">
        <v>4896999</v>
      </c>
      <c r="I18" s="40">
        <v>4483500</v>
      </c>
      <c r="J18" s="40">
        <v>60</v>
      </c>
      <c r="K18" s="40">
        <v>1188800</v>
      </c>
      <c r="L18" s="41"/>
      <c r="M18" s="5">
        <f t="shared" si="0"/>
        <v>19470998</v>
      </c>
      <c r="N18" s="5">
        <f t="shared" si="1"/>
        <v>45961025</v>
      </c>
      <c r="O18" s="5">
        <f t="shared" si="2"/>
        <v>395373.53731343284</v>
      </c>
      <c r="P18" s="5">
        <f t="shared" si="3"/>
        <v>324516.63333333336</v>
      </c>
      <c r="Q18" s="16" t="str">
        <f t="shared" si="4"/>
        <v/>
      </c>
    </row>
    <row r="19" spans="1:17" ht="21.75" customHeight="1" x14ac:dyDescent="0.2">
      <c r="A19" s="38">
        <v>46279</v>
      </c>
      <c r="B19" s="39" t="s">
        <v>439</v>
      </c>
      <c r="C19" s="40">
        <v>31189531</v>
      </c>
      <c r="D19" s="40">
        <v>73</v>
      </c>
      <c r="E19" s="40"/>
      <c r="F19" s="40"/>
      <c r="G19" s="40">
        <v>12817011</v>
      </c>
      <c r="H19" s="40">
        <v>3634005</v>
      </c>
      <c r="I19" s="40">
        <v>5753493</v>
      </c>
      <c r="J19" s="40">
        <v>63</v>
      </c>
      <c r="K19" s="40"/>
      <c r="L19" s="41"/>
      <c r="M19" s="5">
        <f t="shared" si="0"/>
        <v>22204509</v>
      </c>
      <c r="N19" s="5">
        <f t="shared" si="1"/>
        <v>53394040</v>
      </c>
      <c r="O19" s="5">
        <f t="shared" si="2"/>
        <v>427253.84931506851</v>
      </c>
      <c r="P19" s="5">
        <f t="shared" si="3"/>
        <v>352452.52380952379</v>
      </c>
      <c r="Q19" s="16" t="str">
        <f t="shared" si="4"/>
        <v/>
      </c>
    </row>
    <row r="20" spans="1:17" ht="21.75" customHeight="1" x14ac:dyDescent="0.2">
      <c r="A20" s="38">
        <v>46280</v>
      </c>
      <c r="B20" s="39" t="s">
        <v>440</v>
      </c>
      <c r="C20" s="40">
        <v>30568282</v>
      </c>
      <c r="D20" s="40">
        <v>75</v>
      </c>
      <c r="E20" s="40"/>
      <c r="F20" s="40"/>
      <c r="G20" s="40">
        <v>5637999</v>
      </c>
      <c r="H20" s="40">
        <v>2679502</v>
      </c>
      <c r="I20" s="40">
        <v>935000</v>
      </c>
      <c r="J20" s="40">
        <v>27</v>
      </c>
      <c r="K20" s="40"/>
      <c r="L20" s="41"/>
      <c r="M20" s="5">
        <f t="shared" si="0"/>
        <v>9252501</v>
      </c>
      <c r="N20" s="5">
        <f t="shared" si="1"/>
        <v>39820783</v>
      </c>
      <c r="O20" s="5">
        <f t="shared" si="2"/>
        <v>407577.09333333332</v>
      </c>
      <c r="P20" s="5">
        <f t="shared" si="3"/>
        <v>342685.22222222225</v>
      </c>
      <c r="Q20" s="16" t="str">
        <f t="shared" si="4"/>
        <v/>
      </c>
    </row>
    <row r="21" spans="1:17" ht="21.75" customHeight="1" x14ac:dyDescent="0.2">
      <c r="A21" s="38">
        <v>46281</v>
      </c>
      <c r="B21" s="39" t="s">
        <v>441</v>
      </c>
      <c r="C21" s="40">
        <v>50475789</v>
      </c>
      <c r="D21" s="40">
        <v>86</v>
      </c>
      <c r="E21" s="40"/>
      <c r="F21" s="40"/>
      <c r="G21" s="40">
        <v>5925850</v>
      </c>
      <c r="H21" s="40">
        <v>2915000</v>
      </c>
      <c r="I21" s="40">
        <v>2107499</v>
      </c>
      <c r="J21" s="40">
        <v>38</v>
      </c>
      <c r="K21" s="40">
        <v>1820000</v>
      </c>
      <c r="L21" s="41"/>
      <c r="M21" s="5">
        <f t="shared" si="0"/>
        <v>10948349</v>
      </c>
      <c r="N21" s="5">
        <f t="shared" si="1"/>
        <v>61424138</v>
      </c>
      <c r="O21" s="5">
        <f t="shared" si="2"/>
        <v>586927.77906976745</v>
      </c>
      <c r="P21" s="5">
        <f t="shared" si="3"/>
        <v>288114.44736842107</v>
      </c>
      <c r="Q21" s="16" t="str">
        <f t="shared" si="4"/>
        <v/>
      </c>
    </row>
    <row r="22" spans="1:17" ht="21.75" customHeight="1" x14ac:dyDescent="0.2">
      <c r="A22" s="38">
        <v>46282</v>
      </c>
      <c r="B22" s="39" t="s">
        <v>442</v>
      </c>
      <c r="C22" s="40">
        <v>34573226</v>
      </c>
      <c r="D22" s="40">
        <v>83</v>
      </c>
      <c r="E22" s="40"/>
      <c r="F22" s="40"/>
      <c r="G22" s="40">
        <v>8734253</v>
      </c>
      <c r="H22" s="40">
        <v>3045001</v>
      </c>
      <c r="I22" s="40">
        <v>3692004</v>
      </c>
      <c r="J22" s="40">
        <v>54</v>
      </c>
      <c r="K22" s="40">
        <v>231481</v>
      </c>
      <c r="L22" s="41"/>
      <c r="M22" s="5">
        <f t="shared" si="0"/>
        <v>15471258</v>
      </c>
      <c r="N22" s="5">
        <f t="shared" si="1"/>
        <v>50044484</v>
      </c>
      <c r="O22" s="5">
        <f t="shared" si="2"/>
        <v>416544.89156626508</v>
      </c>
      <c r="P22" s="5">
        <f t="shared" si="3"/>
        <v>286504.77777777775</v>
      </c>
      <c r="Q22" s="16" t="str">
        <f t="shared" si="4"/>
        <v/>
      </c>
    </row>
    <row r="23" spans="1:17" ht="21.75" customHeight="1" x14ac:dyDescent="0.2">
      <c r="A23" s="38">
        <v>46283</v>
      </c>
      <c r="B23" s="39" t="s">
        <v>443</v>
      </c>
      <c r="C23" s="40">
        <v>38179278</v>
      </c>
      <c r="D23" s="40">
        <v>94</v>
      </c>
      <c r="E23" s="40"/>
      <c r="F23" s="40"/>
      <c r="G23" s="40">
        <v>8010006</v>
      </c>
      <c r="H23" s="40">
        <v>6313252</v>
      </c>
      <c r="I23" s="40">
        <v>2536847</v>
      </c>
      <c r="J23" s="40">
        <v>57</v>
      </c>
      <c r="K23" s="40">
        <v>280000</v>
      </c>
      <c r="L23" s="41"/>
      <c r="M23" s="5">
        <f t="shared" si="0"/>
        <v>16860105</v>
      </c>
      <c r="N23" s="5">
        <f t="shared" si="1"/>
        <v>55039383</v>
      </c>
      <c r="O23" s="5">
        <f t="shared" si="2"/>
        <v>406162.5319148936</v>
      </c>
      <c r="P23" s="5">
        <f t="shared" si="3"/>
        <v>295791.31578947371</v>
      </c>
      <c r="Q23" s="16" t="str">
        <f t="shared" si="4"/>
        <v/>
      </c>
    </row>
    <row r="24" spans="1:17" ht="21.75" customHeight="1" x14ac:dyDescent="0.2">
      <c r="A24" s="42">
        <v>46284</v>
      </c>
      <c r="B24" s="43" t="s">
        <v>444</v>
      </c>
      <c r="C24" s="40">
        <v>37986291</v>
      </c>
      <c r="D24" s="40">
        <v>98</v>
      </c>
      <c r="E24" s="40"/>
      <c r="F24" s="40"/>
      <c r="G24" s="40">
        <v>9667497</v>
      </c>
      <c r="H24" s="40">
        <v>5098502</v>
      </c>
      <c r="I24" s="40">
        <v>4775499</v>
      </c>
      <c r="J24" s="40">
        <v>67</v>
      </c>
      <c r="K24" s="40"/>
      <c r="L24" s="41"/>
      <c r="M24" s="5">
        <f t="shared" si="0"/>
        <v>19541498</v>
      </c>
      <c r="N24" s="5">
        <f t="shared" si="1"/>
        <v>57527789</v>
      </c>
      <c r="O24" s="5">
        <f t="shared" si="2"/>
        <v>387615.21428571426</v>
      </c>
      <c r="P24" s="5">
        <f t="shared" si="3"/>
        <v>291664.14925373136</v>
      </c>
      <c r="Q24" s="16" t="str">
        <f t="shared" si="4"/>
        <v/>
      </c>
    </row>
    <row r="25" spans="1:17" ht="21.75" customHeight="1" x14ac:dyDescent="0.2">
      <c r="A25" s="42">
        <v>46285</v>
      </c>
      <c r="B25" s="43" t="s">
        <v>445</v>
      </c>
      <c r="C25" s="40">
        <v>23959777</v>
      </c>
      <c r="D25" s="40">
        <v>61</v>
      </c>
      <c r="E25" s="40"/>
      <c r="F25" s="40"/>
      <c r="G25" s="40">
        <v>6665001</v>
      </c>
      <c r="H25" s="40">
        <v>2439502</v>
      </c>
      <c r="I25" s="40">
        <v>4378877</v>
      </c>
      <c r="J25" s="40">
        <v>49</v>
      </c>
      <c r="K25" s="40"/>
      <c r="L25" s="41"/>
      <c r="M25" s="5">
        <f t="shared" si="0"/>
        <v>13483380</v>
      </c>
      <c r="N25" s="5">
        <f t="shared" si="1"/>
        <v>37443157</v>
      </c>
      <c r="O25" s="5">
        <f t="shared" si="2"/>
        <v>392783.2295081967</v>
      </c>
      <c r="P25" s="5">
        <f t="shared" si="3"/>
        <v>275171.02040816325</v>
      </c>
      <c r="Q25" s="16" t="str">
        <f t="shared" si="4"/>
        <v/>
      </c>
    </row>
    <row r="26" spans="1:17" ht="21.75" customHeight="1" x14ac:dyDescent="0.2">
      <c r="A26" s="38">
        <v>46286</v>
      </c>
      <c r="B26" s="39" t="s">
        <v>439</v>
      </c>
      <c r="C26" s="40">
        <v>31744375</v>
      </c>
      <c r="D26" s="40">
        <v>76</v>
      </c>
      <c r="E26" s="40"/>
      <c r="F26" s="40"/>
      <c r="G26" s="40">
        <v>5214808</v>
      </c>
      <c r="H26" s="40">
        <v>3531997</v>
      </c>
      <c r="I26" s="40">
        <v>3603998</v>
      </c>
      <c r="J26" s="40">
        <v>37</v>
      </c>
      <c r="K26" s="40">
        <v>14700</v>
      </c>
      <c r="L26" s="41"/>
      <c r="M26" s="5">
        <f t="shared" si="0"/>
        <v>12350803</v>
      </c>
      <c r="N26" s="5">
        <f t="shared" si="1"/>
        <v>44095178</v>
      </c>
      <c r="O26" s="5">
        <f t="shared" si="2"/>
        <v>417689.14473684208</v>
      </c>
      <c r="P26" s="5">
        <f t="shared" si="3"/>
        <v>333805.48648648651</v>
      </c>
      <c r="Q26" s="16" t="str">
        <f t="shared" si="4"/>
        <v/>
      </c>
    </row>
    <row r="27" spans="1:17" ht="21.75" customHeight="1" x14ac:dyDescent="0.2">
      <c r="A27" s="38">
        <v>46287</v>
      </c>
      <c r="B27" s="39" t="s">
        <v>440</v>
      </c>
      <c r="C27" s="40">
        <v>36027824</v>
      </c>
      <c r="D27" s="40">
        <v>93</v>
      </c>
      <c r="E27" s="40"/>
      <c r="F27" s="40"/>
      <c r="G27" s="40">
        <v>3521500</v>
      </c>
      <c r="H27" s="40">
        <v>1125002</v>
      </c>
      <c r="I27" s="40">
        <v>645000</v>
      </c>
      <c r="J27" s="40">
        <v>20</v>
      </c>
      <c r="K27" s="40">
        <v>502400</v>
      </c>
      <c r="L27" s="41"/>
      <c r="M27" s="5">
        <f t="shared" si="0"/>
        <v>5291502</v>
      </c>
      <c r="N27" s="5">
        <f t="shared" si="1"/>
        <v>41319326</v>
      </c>
      <c r="O27" s="5">
        <f t="shared" si="2"/>
        <v>387395.95698924729</v>
      </c>
      <c r="P27" s="5">
        <f t="shared" si="3"/>
        <v>264575.09999999998</v>
      </c>
      <c r="Q27" s="16" t="str">
        <f t="shared" si="4"/>
        <v/>
      </c>
    </row>
    <row r="28" spans="1:17" ht="21.75" customHeight="1" x14ac:dyDescent="0.2">
      <c r="A28" s="38">
        <v>46288</v>
      </c>
      <c r="B28" s="39" t="s">
        <v>441</v>
      </c>
      <c r="C28" s="40">
        <v>33193661</v>
      </c>
      <c r="D28" s="40">
        <v>76</v>
      </c>
      <c r="E28" s="40"/>
      <c r="F28" s="40"/>
      <c r="G28" s="40">
        <v>4569498</v>
      </c>
      <c r="H28" s="40">
        <v>2523001</v>
      </c>
      <c r="I28" s="40">
        <v>2478502</v>
      </c>
      <c r="J28" s="40">
        <v>33</v>
      </c>
      <c r="K28" s="40">
        <v>2628696</v>
      </c>
      <c r="L28" s="41"/>
      <c r="M28" s="5">
        <f t="shared" si="0"/>
        <v>9571001</v>
      </c>
      <c r="N28" s="5">
        <f t="shared" si="1"/>
        <v>42764662</v>
      </c>
      <c r="O28" s="5">
        <f t="shared" si="2"/>
        <v>436758.69736842107</v>
      </c>
      <c r="P28" s="5">
        <f t="shared" si="3"/>
        <v>290030.33333333331</v>
      </c>
      <c r="Q28" s="16" t="str">
        <f t="shared" si="4"/>
        <v/>
      </c>
    </row>
    <row r="29" spans="1:17" ht="21.75" customHeight="1" x14ac:dyDescent="0.2">
      <c r="A29" s="38">
        <v>46289</v>
      </c>
      <c r="B29" s="39" t="s">
        <v>442</v>
      </c>
      <c r="C29" s="40">
        <v>28528630</v>
      </c>
      <c r="D29" s="40">
        <v>74</v>
      </c>
      <c r="E29" s="40"/>
      <c r="F29" s="40"/>
      <c r="G29" s="40">
        <v>9246499</v>
      </c>
      <c r="H29" s="40">
        <v>5211900</v>
      </c>
      <c r="I29" s="40">
        <v>3829999</v>
      </c>
      <c r="J29" s="40">
        <v>49</v>
      </c>
      <c r="K29" s="40">
        <v>719999</v>
      </c>
      <c r="L29" s="41"/>
      <c r="M29" s="5">
        <f t="shared" si="0"/>
        <v>18288398</v>
      </c>
      <c r="N29" s="5">
        <f t="shared" si="1"/>
        <v>46817028</v>
      </c>
      <c r="O29" s="5">
        <f t="shared" si="2"/>
        <v>385522.02702702704</v>
      </c>
      <c r="P29" s="5">
        <f t="shared" si="3"/>
        <v>373232.61224489799</v>
      </c>
      <c r="Q29" s="16" t="str">
        <f t="shared" si="4"/>
        <v/>
      </c>
    </row>
    <row r="30" spans="1:17" ht="21.75" customHeight="1" x14ac:dyDescent="0.2">
      <c r="A30" s="38">
        <v>46290</v>
      </c>
      <c r="B30" s="39" t="s">
        <v>443</v>
      </c>
      <c r="C30" s="40">
        <v>29080521</v>
      </c>
      <c r="D30" s="40">
        <v>75</v>
      </c>
      <c r="E30" s="40"/>
      <c r="F30" s="40"/>
      <c r="G30" s="40">
        <v>7425502</v>
      </c>
      <c r="H30" s="40">
        <v>4797503</v>
      </c>
      <c r="I30" s="40">
        <v>5179503</v>
      </c>
      <c r="J30" s="40">
        <v>61</v>
      </c>
      <c r="K30" s="40"/>
      <c r="L30" s="41"/>
      <c r="M30" s="5">
        <f t="shared" si="0"/>
        <v>17402508</v>
      </c>
      <c r="N30" s="5">
        <f t="shared" si="1"/>
        <v>46483029</v>
      </c>
      <c r="O30" s="5">
        <f t="shared" si="2"/>
        <v>387740.28</v>
      </c>
      <c r="P30" s="5">
        <f t="shared" si="3"/>
        <v>285287.01639344264</v>
      </c>
      <c r="Q30" s="16" t="str">
        <f t="shared" si="4"/>
        <v/>
      </c>
    </row>
    <row r="31" spans="1:17" ht="21.75" customHeight="1" x14ac:dyDescent="0.2">
      <c r="A31" s="42">
        <v>46291</v>
      </c>
      <c r="B31" s="43" t="s">
        <v>444</v>
      </c>
      <c r="C31" s="40">
        <v>34696992</v>
      </c>
      <c r="D31" s="40">
        <v>83</v>
      </c>
      <c r="E31" s="40"/>
      <c r="F31" s="40"/>
      <c r="G31" s="40">
        <v>9942762</v>
      </c>
      <c r="H31" s="40">
        <v>4676300</v>
      </c>
      <c r="I31" s="40">
        <v>3529497</v>
      </c>
      <c r="J31" s="40">
        <v>63</v>
      </c>
      <c r="K31" s="40">
        <v>1104000</v>
      </c>
      <c r="L31" s="41"/>
      <c r="M31" s="5">
        <f t="shared" si="0"/>
        <v>18148559</v>
      </c>
      <c r="N31" s="5">
        <f t="shared" si="1"/>
        <v>52845551</v>
      </c>
      <c r="O31" s="5">
        <f t="shared" si="2"/>
        <v>418036.04819277109</v>
      </c>
      <c r="P31" s="5">
        <f t="shared" si="3"/>
        <v>288072.36507936509</v>
      </c>
      <c r="Q31" s="16" t="str">
        <f t="shared" si="4"/>
        <v/>
      </c>
    </row>
    <row r="32" spans="1:17" ht="21.75" customHeight="1" x14ac:dyDescent="0.2">
      <c r="A32" s="42">
        <v>46292</v>
      </c>
      <c r="B32" s="43" t="s">
        <v>445</v>
      </c>
      <c r="C32" s="40">
        <v>25823132</v>
      </c>
      <c r="D32" s="40">
        <v>67</v>
      </c>
      <c r="E32" s="40"/>
      <c r="F32" s="40"/>
      <c r="G32" s="40">
        <v>9085999</v>
      </c>
      <c r="H32" s="40">
        <v>3328500</v>
      </c>
      <c r="I32" s="40">
        <v>3209251</v>
      </c>
      <c r="J32" s="40">
        <v>38</v>
      </c>
      <c r="K32" s="40"/>
      <c r="L32" s="41"/>
      <c r="M32" s="5">
        <f t="shared" si="0"/>
        <v>15623750</v>
      </c>
      <c r="N32" s="5">
        <f t="shared" si="1"/>
        <v>41446882</v>
      </c>
      <c r="O32" s="5">
        <f t="shared" si="2"/>
        <v>385419.88059701491</v>
      </c>
      <c r="P32" s="5">
        <f t="shared" si="3"/>
        <v>411151.31578947371</v>
      </c>
      <c r="Q32" s="16" t="str">
        <f t="shared" si="4"/>
        <v/>
      </c>
    </row>
    <row r="33" spans="1:17" ht="21.75" customHeight="1" x14ac:dyDescent="0.2">
      <c r="A33" s="38">
        <v>46293</v>
      </c>
      <c r="B33" s="39" t="s">
        <v>439</v>
      </c>
      <c r="C33" s="40">
        <v>34152775</v>
      </c>
      <c r="D33" s="40">
        <v>83</v>
      </c>
      <c r="E33" s="40"/>
      <c r="F33" s="40"/>
      <c r="G33" s="40">
        <v>4527753</v>
      </c>
      <c r="H33" s="40">
        <v>2619498</v>
      </c>
      <c r="I33" s="40">
        <v>2659198</v>
      </c>
      <c r="J33" s="40">
        <v>32</v>
      </c>
      <c r="K33" s="40">
        <v>1473244</v>
      </c>
      <c r="L33" s="41"/>
      <c r="M33" s="5">
        <f t="shared" si="0"/>
        <v>9806449</v>
      </c>
      <c r="N33" s="5">
        <f t="shared" si="1"/>
        <v>43959224</v>
      </c>
      <c r="O33" s="5">
        <f t="shared" si="2"/>
        <v>411479.21686746989</v>
      </c>
      <c r="P33" s="5">
        <f t="shared" si="3"/>
        <v>306451.53125</v>
      </c>
      <c r="Q33" s="16" t="str">
        <f t="shared" si="4"/>
        <v/>
      </c>
    </row>
    <row r="34" spans="1:17" ht="21.75" customHeight="1" x14ac:dyDescent="0.2">
      <c r="A34" s="38">
        <v>46294</v>
      </c>
      <c r="B34" s="39" t="s">
        <v>440</v>
      </c>
      <c r="C34" s="40">
        <v>29914184</v>
      </c>
      <c r="D34" s="40">
        <v>80</v>
      </c>
      <c r="E34" s="40"/>
      <c r="F34" s="40"/>
      <c r="G34" s="40">
        <v>6549504</v>
      </c>
      <c r="H34" s="40">
        <v>1578501</v>
      </c>
      <c r="I34" s="40">
        <v>3759502</v>
      </c>
      <c r="J34" s="40">
        <v>39</v>
      </c>
      <c r="K34" s="40">
        <v>280000</v>
      </c>
      <c r="L34" s="41"/>
      <c r="M34" s="5">
        <f t="shared" si="0"/>
        <v>11887507</v>
      </c>
      <c r="N34" s="5">
        <f t="shared" si="1"/>
        <v>41801691</v>
      </c>
      <c r="O34" s="5">
        <f t="shared" si="2"/>
        <v>373927.3</v>
      </c>
      <c r="P34" s="5">
        <f t="shared" si="3"/>
        <v>304807.87179487181</v>
      </c>
      <c r="Q34" s="16" t="str">
        <f t="shared" si="4"/>
        <v/>
      </c>
    </row>
    <row r="35" spans="1:17" ht="21.75" customHeight="1" x14ac:dyDescent="0.2">
      <c r="A35" s="38">
        <v>46295</v>
      </c>
      <c r="B35" s="39" t="s">
        <v>441</v>
      </c>
      <c r="C35" s="40">
        <v>37839882</v>
      </c>
      <c r="D35" s="40">
        <v>79</v>
      </c>
      <c r="E35" s="40"/>
      <c r="F35" s="40"/>
      <c r="G35" s="40">
        <v>5363501</v>
      </c>
      <c r="H35" s="40">
        <v>3408499</v>
      </c>
      <c r="I35" s="40">
        <v>2591999</v>
      </c>
      <c r="J35" s="40">
        <v>33</v>
      </c>
      <c r="K35" s="40">
        <v>1352874</v>
      </c>
      <c r="L35" s="41"/>
      <c r="M35" s="5">
        <f t="shared" si="0"/>
        <v>11363999</v>
      </c>
      <c r="N35" s="5">
        <f t="shared" si="1"/>
        <v>49203881</v>
      </c>
      <c r="O35" s="5">
        <f t="shared" si="2"/>
        <v>478985.84810126584</v>
      </c>
      <c r="P35" s="5">
        <f t="shared" si="3"/>
        <v>344363.60606060608</v>
      </c>
      <c r="Q35" s="16" t="str">
        <f t="shared" si="4"/>
        <v/>
      </c>
    </row>
    <row r="36" spans="1:17" ht="18.75" customHeight="1" x14ac:dyDescent="0.2"/>
    <row r="37" spans="1:17" ht="18.75" customHeight="1" x14ac:dyDescent="0.2"/>
    <row r="38" spans="1:17" ht="18.75" customHeight="1" x14ac:dyDescent="0.2"/>
    <row r="39" spans="1:17" ht="18.75" customHeight="1" x14ac:dyDescent="0.2"/>
    <row r="40" spans="1:17" ht="18.75" customHeight="1" x14ac:dyDescent="0.2"/>
    <row r="41" spans="1:17" ht="18.75" customHeight="1" x14ac:dyDescent="0.2"/>
    <row r="42" spans="1:17" ht="18.75" customHeight="1" x14ac:dyDescent="0.2"/>
    <row r="43" spans="1:17" ht="18.75" customHeight="1" x14ac:dyDescent="0.2"/>
    <row r="44" spans="1:17" ht="18.75" customHeight="1" x14ac:dyDescent="0.2"/>
    <row r="45" spans="1:17" ht="18.75" customHeight="1" x14ac:dyDescent="0.2"/>
    <row r="46" spans="1:17" ht="18.75" customHeight="1" x14ac:dyDescent="0.2"/>
    <row r="47" spans="1:17" ht="18.75" customHeight="1" x14ac:dyDescent="0.2"/>
    <row r="48" spans="1:17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9">
    <mergeCell ref="A1:Q1"/>
    <mergeCell ref="E3:F3"/>
    <mergeCell ref="O3:P3"/>
    <mergeCell ref="G3:J3"/>
    <mergeCell ref="A5:B5"/>
    <mergeCell ref="A2:Q2"/>
    <mergeCell ref="M3:N3"/>
    <mergeCell ref="C3:D3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8"/>
  <sheetViews>
    <sheetView workbookViewId="0"/>
  </sheetViews>
  <sheetFormatPr baseColWidth="10" defaultColWidth="9" defaultRowHeight="14" x14ac:dyDescent="0.2"/>
  <cols>
    <col min="1" max="1" width="10" customWidth="1"/>
    <col min="2" max="2" width="26" customWidth="1"/>
    <col min="3" max="3" width="18" customWidth="1"/>
    <col min="4" max="4" width="17" customWidth="1"/>
    <col min="5" max="5" width="9" customWidth="1"/>
    <col min="6" max="6" width="10" customWidth="1"/>
    <col min="7" max="8" width="14" customWidth="1"/>
    <col min="9" max="9" width="9" customWidth="1"/>
    <col min="10" max="11" width="17" customWidth="1"/>
    <col min="12" max="12" width="9" customWidth="1"/>
    <col min="13" max="13" width="17" customWidth="1"/>
    <col min="14" max="14" width="20" customWidth="1"/>
  </cols>
  <sheetData>
    <row r="1" spans="1:14" ht="22" customHeight="1" x14ac:dyDescent="0.2">
      <c r="A1" s="165" t="s">
        <v>524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</row>
    <row r="2" spans="1:14" ht="16" customHeight="1" x14ac:dyDescent="0.2">
      <c r="A2" s="164" t="s">
        <v>456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</row>
    <row r="3" spans="1:14" ht="30" customHeight="1" x14ac:dyDescent="0.2">
      <c r="A3" s="106" t="s">
        <v>457</v>
      </c>
      <c r="B3" s="106" t="s">
        <v>421</v>
      </c>
      <c r="C3" s="106" t="s">
        <v>423</v>
      </c>
      <c r="D3" s="107" t="s">
        <v>525</v>
      </c>
      <c r="E3" s="108" t="s">
        <v>526</v>
      </c>
      <c r="F3" s="106" t="s">
        <v>424</v>
      </c>
      <c r="G3" s="106" t="s">
        <v>458</v>
      </c>
      <c r="H3" s="109" t="s">
        <v>426</v>
      </c>
      <c r="I3" s="109" t="s">
        <v>459</v>
      </c>
      <c r="J3" s="110" t="s">
        <v>460</v>
      </c>
      <c r="K3" s="107" t="s">
        <v>527</v>
      </c>
      <c r="L3" s="108" t="s">
        <v>528</v>
      </c>
      <c r="M3" s="108" t="s">
        <v>461</v>
      </c>
      <c r="N3" s="111" t="s">
        <v>432</v>
      </c>
    </row>
    <row r="4" spans="1:14" ht="18" customHeight="1" x14ac:dyDescent="0.2">
      <c r="A4" s="112" t="s">
        <v>464</v>
      </c>
      <c r="B4" s="113" t="s">
        <v>529</v>
      </c>
      <c r="C4" s="114">
        <v>180639187</v>
      </c>
      <c r="D4" s="115">
        <v>201819517</v>
      </c>
      <c r="E4" s="116">
        <f>IFERROR(IF(D4&gt;0,C4/D4,""),"")</f>
        <v>0.89505311322293968</v>
      </c>
      <c r="F4" s="114">
        <v>435</v>
      </c>
      <c r="G4" s="114">
        <v>415262</v>
      </c>
      <c r="H4" s="117">
        <f>IFERROR(SUM('📅 DAILY T9'!F6:F11),0)</f>
        <v>0</v>
      </c>
      <c r="I4" s="118" t="str">
        <f>IFERROR(IF(H4&gt;0,C4/H4,""),"")</f>
        <v/>
      </c>
      <c r="J4" s="119">
        <v>107149796</v>
      </c>
      <c r="K4" s="115">
        <v>108339991</v>
      </c>
      <c r="L4" s="116">
        <f>IFERROR(IF(K4&gt;0,J4/K4,""),"")</f>
        <v>0.98901425974827706</v>
      </c>
      <c r="M4" s="120">
        <v>287788983</v>
      </c>
      <c r="N4" s="121"/>
    </row>
    <row r="5" spans="1:14" ht="18" customHeight="1" x14ac:dyDescent="0.2">
      <c r="A5" s="112" t="s">
        <v>466</v>
      </c>
      <c r="B5" s="113" t="s">
        <v>530</v>
      </c>
      <c r="C5" s="114">
        <v>247909656</v>
      </c>
      <c r="D5" s="115">
        <v>235456103</v>
      </c>
      <c r="E5" s="116">
        <f>IFERROR(IF(D5&gt;0,C5/D5,""),"")</f>
        <v>1.0528911879595664</v>
      </c>
      <c r="F5" s="114">
        <v>562</v>
      </c>
      <c r="G5" s="114">
        <v>441120</v>
      </c>
      <c r="H5" s="117">
        <f>IFERROR(SUM('📅 DAILY T9'!F12:F18),0)</f>
        <v>0</v>
      </c>
      <c r="I5" s="118" t="str">
        <f>IFERROR(IF(H5&gt;0,C5/H5,""),"")</f>
        <v/>
      </c>
      <c r="J5" s="119">
        <v>105986080</v>
      </c>
      <c r="K5" s="115">
        <v>126396657</v>
      </c>
      <c r="L5" s="116">
        <f>IFERROR(IF(K5&gt;0,J5/K5,""),"")</f>
        <v>0.83851964534156942</v>
      </c>
      <c r="M5" s="120">
        <v>353895736</v>
      </c>
      <c r="N5" s="121"/>
    </row>
    <row r="6" spans="1:14" ht="18" customHeight="1" x14ac:dyDescent="0.2">
      <c r="A6" s="112" t="s">
        <v>468</v>
      </c>
      <c r="B6" s="113" t="s">
        <v>531</v>
      </c>
      <c r="C6" s="114">
        <v>246932174</v>
      </c>
      <c r="D6" s="115">
        <v>235456103</v>
      </c>
      <c r="E6" s="116">
        <f>IFERROR(IF(D6&gt;0,C6/D6,""),"")</f>
        <v>1.0487397474679176</v>
      </c>
      <c r="F6" s="114">
        <v>570</v>
      </c>
      <c r="G6" s="114">
        <v>433214</v>
      </c>
      <c r="H6" s="117">
        <f>IFERROR(SUM('📅 DAILY T9'!F19:F25),0)</f>
        <v>0</v>
      </c>
      <c r="I6" s="118" t="str">
        <f>IFERROR(IF(H6&gt;0,C6/H6,""),"")</f>
        <v/>
      </c>
      <c r="J6" s="119">
        <v>107761600</v>
      </c>
      <c r="K6" s="115">
        <v>126396657</v>
      </c>
      <c r="L6" s="116">
        <f>IFERROR(IF(K6&gt;0,J6/K6,""),"")</f>
        <v>0.85256685230211426</v>
      </c>
      <c r="M6" s="120">
        <v>354693774</v>
      </c>
      <c r="N6" s="121"/>
    </row>
    <row r="7" spans="1:14" ht="18" customHeight="1" x14ac:dyDescent="0.2">
      <c r="A7" s="112" t="s">
        <v>470</v>
      </c>
      <c r="B7" s="113" t="s">
        <v>532</v>
      </c>
      <c r="C7" s="114">
        <v>219095135</v>
      </c>
      <c r="D7" s="115">
        <v>235456103</v>
      </c>
      <c r="E7" s="116">
        <f>IFERROR(IF(D7&gt;0,C7/D7,""),"")</f>
        <v>0.93051372297621016</v>
      </c>
      <c r="F7" s="114">
        <v>544</v>
      </c>
      <c r="G7" s="114">
        <v>402748</v>
      </c>
      <c r="H7" s="117">
        <f>IFERROR(SUM('📅 DAILY T9'!F26:F32),0)</f>
        <v>0</v>
      </c>
      <c r="I7" s="118" t="str">
        <f>IFERROR(IF(H7&gt;0,C7/H7,""),"")</f>
        <v/>
      </c>
      <c r="J7" s="119">
        <v>96676521</v>
      </c>
      <c r="K7" s="115">
        <v>126396657</v>
      </c>
      <c r="L7" s="116">
        <f>IFERROR(IF(K7&gt;0,J7/K7,""),"")</f>
        <v>0.76486612300197143</v>
      </c>
      <c r="M7" s="120">
        <v>315771656</v>
      </c>
      <c r="N7" s="121"/>
    </row>
    <row r="8" spans="1:14" ht="18" customHeight="1" x14ac:dyDescent="0.2">
      <c r="A8" s="112" t="s">
        <v>472</v>
      </c>
      <c r="B8" s="113" t="s">
        <v>533</v>
      </c>
      <c r="C8" s="114">
        <v>101906841</v>
      </c>
      <c r="D8" s="115">
        <v>100909758</v>
      </c>
      <c r="E8" s="116">
        <f>IFERROR(IF(D8&gt;0,C8/D8,""),"")</f>
        <v>1.009880937381695</v>
      </c>
      <c r="F8" s="114">
        <v>242</v>
      </c>
      <c r="G8" s="114">
        <v>421102</v>
      </c>
      <c r="H8" s="117">
        <f>IFERROR(SUM('📅 DAILY T9'!F33:F35),0)</f>
        <v>0</v>
      </c>
      <c r="I8" s="118" t="str">
        <f>IFERROR(IF(H8&gt;0,C8/H8,""),"")</f>
        <v/>
      </c>
      <c r="J8" s="119">
        <v>33057955</v>
      </c>
      <c r="K8" s="115">
        <v>54169996</v>
      </c>
      <c r="L8" s="116">
        <f>IFERROR(IF(K8&gt;0,J8/K8,""),"")</f>
        <v>0.61026319809955309</v>
      </c>
      <c r="M8" s="120">
        <v>134964796</v>
      </c>
      <c r="N8" s="121"/>
    </row>
  </sheetData>
  <mergeCells count="2">
    <mergeCell ref="A2:N2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Q200"/>
  <sheetViews>
    <sheetView workbookViewId="0"/>
  </sheetViews>
  <sheetFormatPr baseColWidth="10" defaultColWidth="14" defaultRowHeight="14" x14ac:dyDescent="0.2"/>
  <cols>
    <col min="1" max="1" width="15" customWidth="1"/>
    <col min="2" max="2" width="6" customWidth="1"/>
    <col min="3" max="3" width="19" customWidth="1"/>
    <col min="4" max="4" width="11" customWidth="1"/>
    <col min="5" max="5" width="15" customWidth="1"/>
    <col min="6" max="9" width="17" customWidth="1"/>
    <col min="10" max="10" width="12" customWidth="1"/>
    <col min="11" max="11" width="16" customWidth="1"/>
    <col min="12" max="12" width="27" customWidth="1"/>
    <col min="13" max="14" width="18" customWidth="1"/>
    <col min="15" max="16" width="15" customWidth="1"/>
    <col min="17" max="17" width="12" customWidth="1"/>
    <col min="18" max="20" width="11" customWidth="1"/>
  </cols>
  <sheetData>
    <row r="1" spans="1:17" ht="33" customHeight="1" x14ac:dyDescent="0.2">
      <c r="A1" s="158" t="s">
        <v>534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1.75" customHeight="1" x14ac:dyDescent="0.2">
      <c r="A2" s="146" t="s">
        <v>412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.75" customHeight="1" x14ac:dyDescent="0.2">
      <c r="A3" s="157" t="s">
        <v>413</v>
      </c>
      <c r="B3" s="143"/>
      <c r="C3" s="156" t="s">
        <v>414</v>
      </c>
      <c r="D3" s="143"/>
      <c r="E3" s="159" t="s">
        <v>415</v>
      </c>
      <c r="F3" s="143"/>
      <c r="G3" s="154" t="s">
        <v>416</v>
      </c>
      <c r="H3" s="143"/>
      <c r="I3" s="143"/>
      <c r="J3" s="143"/>
      <c r="K3" s="22" t="s">
        <v>417</v>
      </c>
      <c r="L3" s="23" t="s">
        <v>418</v>
      </c>
      <c r="M3" s="153" t="s">
        <v>419</v>
      </c>
      <c r="N3" s="143"/>
      <c r="O3" s="153" t="s">
        <v>419</v>
      </c>
      <c r="P3" s="143"/>
      <c r="Q3" s="24" t="s">
        <v>420</v>
      </c>
    </row>
    <row r="4" spans="1:17" ht="36" customHeight="1" x14ac:dyDescent="0.2">
      <c r="A4" s="25" t="s">
        <v>421</v>
      </c>
      <c r="B4" s="25" t="s">
        <v>422</v>
      </c>
      <c r="C4" s="26" t="s">
        <v>423</v>
      </c>
      <c r="D4" s="26" t="s">
        <v>424</v>
      </c>
      <c r="E4" s="27" t="s">
        <v>425</v>
      </c>
      <c r="F4" s="27" t="s">
        <v>426</v>
      </c>
      <c r="G4" s="28" t="s">
        <v>427</v>
      </c>
      <c r="H4" s="28" t="s">
        <v>428</v>
      </c>
      <c r="I4" s="28" t="s">
        <v>429</v>
      </c>
      <c r="J4" s="28" t="s">
        <v>430</v>
      </c>
      <c r="K4" s="29" t="s">
        <v>431</v>
      </c>
      <c r="L4" s="30" t="s">
        <v>432</v>
      </c>
      <c r="M4" s="31" t="s">
        <v>433</v>
      </c>
      <c r="N4" s="31" t="s">
        <v>434</v>
      </c>
      <c r="O4" s="31" t="s">
        <v>435</v>
      </c>
      <c r="P4" s="31" t="s">
        <v>436</v>
      </c>
      <c r="Q4" s="31" t="s">
        <v>437</v>
      </c>
    </row>
    <row r="5" spans="1:17" ht="21.75" customHeight="1" x14ac:dyDescent="0.2">
      <c r="A5" s="155" t="s">
        <v>438</v>
      </c>
      <c r="B5" s="143"/>
      <c r="C5" s="32">
        <v>1258798314</v>
      </c>
      <c r="D5" s="33"/>
      <c r="E5" s="33"/>
      <c r="F5" s="33"/>
      <c r="G5" s="34">
        <v>338907239</v>
      </c>
      <c r="H5" s="34">
        <v>176231764</v>
      </c>
      <c r="I5" s="34">
        <v>162675474</v>
      </c>
      <c r="J5" s="33"/>
      <c r="K5" s="33"/>
      <c r="L5" s="33"/>
      <c r="M5" s="35">
        <v>677814477</v>
      </c>
      <c r="N5" s="35">
        <v>1936612791</v>
      </c>
      <c r="O5" s="36">
        <v>450000</v>
      </c>
      <c r="P5" s="36">
        <v>330000</v>
      </c>
      <c r="Q5" s="37"/>
    </row>
    <row r="6" spans="1:17" ht="21.75" customHeight="1" x14ac:dyDescent="0.2">
      <c r="A6" s="38">
        <v>46296</v>
      </c>
      <c r="B6" s="39" t="s">
        <v>442</v>
      </c>
      <c r="C6" s="40">
        <v>34078267</v>
      </c>
      <c r="D6" s="40">
        <v>76</v>
      </c>
      <c r="E6" s="40"/>
      <c r="F6" s="40"/>
      <c r="G6" s="40">
        <v>7560509</v>
      </c>
      <c r="H6" s="40">
        <v>5368006</v>
      </c>
      <c r="I6" s="40">
        <v>1675000</v>
      </c>
      <c r="J6" s="40">
        <v>42</v>
      </c>
      <c r="K6" s="40"/>
      <c r="L6" s="41"/>
      <c r="M6" s="5">
        <f t="shared" ref="M6:M36" si="0">IF(SUM(G6:I6)&gt;0,SUM(G6:I6),"")</f>
        <v>14603515</v>
      </c>
      <c r="N6" s="5">
        <f t="shared" ref="N6:N36" si="1">IF(N(C6)+N(M6)&gt;0,N(C6)+N(M6),"")</f>
        <v>48681782</v>
      </c>
      <c r="O6" s="5">
        <f t="shared" ref="O6:O36" si="2">IFERROR(IF(D6&gt;0,C6/D6,""),"")</f>
        <v>448398.25</v>
      </c>
      <c r="P6" s="5">
        <f t="shared" ref="P6:P36" si="3">IFERROR(IF(J6&gt;0,M6/J6,""),"")</f>
        <v>347702.73809523811</v>
      </c>
      <c r="Q6" s="16" t="str">
        <f t="shared" ref="Q6:Q36" si="4">IFERROR(IF(E6&gt;0,D6/E6,""),"")</f>
        <v/>
      </c>
    </row>
    <row r="7" spans="1:17" ht="21.75" customHeight="1" x14ac:dyDescent="0.2">
      <c r="A7" s="38">
        <v>46297</v>
      </c>
      <c r="B7" s="39" t="s">
        <v>443</v>
      </c>
      <c r="C7" s="40">
        <v>43627068</v>
      </c>
      <c r="D7" s="40">
        <v>93</v>
      </c>
      <c r="E7" s="40"/>
      <c r="F7" s="40"/>
      <c r="G7" s="40">
        <v>9048018</v>
      </c>
      <c r="H7" s="40">
        <v>6984504</v>
      </c>
      <c r="I7" s="40">
        <v>2132502</v>
      </c>
      <c r="J7" s="40">
        <v>70</v>
      </c>
      <c r="K7" s="40">
        <v>166667</v>
      </c>
      <c r="L7" s="41"/>
      <c r="M7" s="5">
        <f t="shared" si="0"/>
        <v>18165024</v>
      </c>
      <c r="N7" s="5">
        <f t="shared" si="1"/>
        <v>61792092</v>
      </c>
      <c r="O7" s="5">
        <f t="shared" si="2"/>
        <v>469108.25806451612</v>
      </c>
      <c r="P7" s="5">
        <f t="shared" si="3"/>
        <v>259500.34285714285</v>
      </c>
      <c r="Q7" s="16" t="str">
        <f t="shared" si="4"/>
        <v/>
      </c>
    </row>
    <row r="8" spans="1:17" ht="21.75" customHeight="1" x14ac:dyDescent="0.2">
      <c r="A8" s="38">
        <v>46298</v>
      </c>
      <c r="B8" s="39" t="s">
        <v>444</v>
      </c>
      <c r="C8" s="40">
        <v>34302836</v>
      </c>
      <c r="D8" s="40">
        <v>82</v>
      </c>
      <c r="E8" s="40"/>
      <c r="F8" s="40"/>
      <c r="G8" s="40">
        <v>13842763</v>
      </c>
      <c r="H8" s="40">
        <v>5741008</v>
      </c>
      <c r="I8" s="40">
        <v>4314504</v>
      </c>
      <c r="J8" s="40">
        <v>85</v>
      </c>
      <c r="K8" s="40"/>
      <c r="L8" s="41"/>
      <c r="M8" s="5">
        <f t="shared" si="0"/>
        <v>23898275</v>
      </c>
      <c r="N8" s="5">
        <f t="shared" si="1"/>
        <v>58201111</v>
      </c>
      <c r="O8" s="5">
        <f t="shared" si="2"/>
        <v>418327.26829268294</v>
      </c>
      <c r="P8" s="5">
        <f t="shared" si="3"/>
        <v>281156.17647058825</v>
      </c>
      <c r="Q8" s="16" t="str">
        <f t="shared" si="4"/>
        <v/>
      </c>
    </row>
    <row r="9" spans="1:17" ht="21.75" customHeight="1" x14ac:dyDescent="0.2">
      <c r="A9" s="38">
        <v>46299</v>
      </c>
      <c r="B9" s="39" t="s">
        <v>445</v>
      </c>
      <c r="C9" s="40">
        <v>24213532</v>
      </c>
      <c r="D9" s="40">
        <v>68</v>
      </c>
      <c r="E9" s="40"/>
      <c r="F9" s="40"/>
      <c r="G9" s="40">
        <v>4715007</v>
      </c>
      <c r="H9" s="40">
        <v>6497765</v>
      </c>
      <c r="I9" s="40">
        <v>4143501</v>
      </c>
      <c r="J9" s="40">
        <v>46</v>
      </c>
      <c r="K9" s="40"/>
      <c r="L9" s="41"/>
      <c r="M9" s="5">
        <f t="shared" si="0"/>
        <v>15356273</v>
      </c>
      <c r="N9" s="5">
        <f t="shared" si="1"/>
        <v>39569805</v>
      </c>
      <c r="O9" s="5">
        <f t="shared" si="2"/>
        <v>356081.35294117645</v>
      </c>
      <c r="P9" s="5">
        <f t="shared" si="3"/>
        <v>333832.02173913043</v>
      </c>
      <c r="Q9" s="16" t="str">
        <f t="shared" si="4"/>
        <v/>
      </c>
    </row>
    <row r="10" spans="1:17" ht="21.75" customHeight="1" x14ac:dyDescent="0.2">
      <c r="A10" s="42">
        <v>46300</v>
      </c>
      <c r="B10" s="43" t="s">
        <v>439</v>
      </c>
      <c r="C10" s="40">
        <v>33048842</v>
      </c>
      <c r="D10" s="40">
        <v>71</v>
      </c>
      <c r="E10" s="40"/>
      <c r="F10" s="40"/>
      <c r="G10" s="40">
        <v>4277761</v>
      </c>
      <c r="H10" s="40">
        <v>2097755</v>
      </c>
      <c r="I10" s="40">
        <v>1198502</v>
      </c>
      <c r="J10" s="40">
        <v>28</v>
      </c>
      <c r="K10" s="40">
        <v>259259</v>
      </c>
      <c r="L10" s="41"/>
      <c r="M10" s="5">
        <f t="shared" si="0"/>
        <v>7574018</v>
      </c>
      <c r="N10" s="5">
        <f t="shared" si="1"/>
        <v>40622860</v>
      </c>
      <c r="O10" s="5">
        <f t="shared" si="2"/>
        <v>465476.64788732392</v>
      </c>
      <c r="P10" s="5">
        <f t="shared" si="3"/>
        <v>270500.64285714284</v>
      </c>
      <c r="Q10" s="16" t="str">
        <f t="shared" si="4"/>
        <v/>
      </c>
    </row>
    <row r="11" spans="1:17" ht="21.75" customHeight="1" x14ac:dyDescent="0.2">
      <c r="A11" s="42">
        <v>46301</v>
      </c>
      <c r="B11" s="43" t="s">
        <v>440</v>
      </c>
      <c r="C11" s="40">
        <v>38297904</v>
      </c>
      <c r="D11" s="40">
        <v>78</v>
      </c>
      <c r="E11" s="40"/>
      <c r="F11" s="40"/>
      <c r="G11" s="40">
        <v>6167251</v>
      </c>
      <c r="H11" s="40">
        <v>4311000</v>
      </c>
      <c r="I11" s="40">
        <v>1099999</v>
      </c>
      <c r="J11" s="40">
        <v>36</v>
      </c>
      <c r="K11" s="40"/>
      <c r="L11" s="41"/>
      <c r="M11" s="5">
        <f t="shared" si="0"/>
        <v>11578250</v>
      </c>
      <c r="N11" s="5">
        <f t="shared" si="1"/>
        <v>49876154</v>
      </c>
      <c r="O11" s="5">
        <f t="shared" si="2"/>
        <v>490998.76923076925</v>
      </c>
      <c r="P11" s="5">
        <f t="shared" si="3"/>
        <v>321618.05555555556</v>
      </c>
      <c r="Q11" s="16" t="str">
        <f t="shared" si="4"/>
        <v/>
      </c>
    </row>
    <row r="12" spans="1:17" ht="21.75" customHeight="1" x14ac:dyDescent="0.2">
      <c r="A12" s="38">
        <v>46302</v>
      </c>
      <c r="B12" s="39" t="s">
        <v>441</v>
      </c>
      <c r="C12" s="40">
        <v>42540587</v>
      </c>
      <c r="D12" s="40">
        <v>81</v>
      </c>
      <c r="E12" s="40"/>
      <c r="F12" s="40"/>
      <c r="G12" s="40">
        <v>3298004</v>
      </c>
      <c r="H12" s="40">
        <v>6782002</v>
      </c>
      <c r="I12" s="40">
        <v>1610001</v>
      </c>
      <c r="J12" s="40">
        <v>34</v>
      </c>
      <c r="K12" s="40">
        <v>220000</v>
      </c>
      <c r="L12" s="41"/>
      <c r="M12" s="5">
        <f t="shared" si="0"/>
        <v>11690007</v>
      </c>
      <c r="N12" s="5">
        <f t="shared" si="1"/>
        <v>54230594</v>
      </c>
      <c r="O12" s="5">
        <f t="shared" si="2"/>
        <v>525192.43209876539</v>
      </c>
      <c r="P12" s="5">
        <f t="shared" si="3"/>
        <v>343823.73529411765</v>
      </c>
      <c r="Q12" s="16" t="str">
        <f t="shared" si="4"/>
        <v/>
      </c>
    </row>
    <row r="13" spans="1:17" ht="21.75" customHeight="1" x14ac:dyDescent="0.2">
      <c r="A13" s="38">
        <v>46303</v>
      </c>
      <c r="B13" s="39" t="s">
        <v>442</v>
      </c>
      <c r="C13" s="40">
        <v>41167328</v>
      </c>
      <c r="D13" s="40">
        <v>95</v>
      </c>
      <c r="E13" s="40"/>
      <c r="F13" s="40"/>
      <c r="G13" s="40">
        <v>5688263</v>
      </c>
      <c r="H13" s="40">
        <v>6049515</v>
      </c>
      <c r="I13" s="40">
        <v>4828508</v>
      </c>
      <c r="J13" s="40">
        <v>55</v>
      </c>
      <c r="K13" s="40">
        <v>139000</v>
      </c>
      <c r="L13" s="41"/>
      <c r="M13" s="5">
        <f t="shared" si="0"/>
        <v>16566286</v>
      </c>
      <c r="N13" s="5">
        <f t="shared" si="1"/>
        <v>57733614</v>
      </c>
      <c r="O13" s="5">
        <f t="shared" si="2"/>
        <v>433340.2947368421</v>
      </c>
      <c r="P13" s="5">
        <f t="shared" si="3"/>
        <v>301205.2</v>
      </c>
      <c r="Q13" s="16" t="str">
        <f t="shared" si="4"/>
        <v/>
      </c>
    </row>
    <row r="14" spans="1:17" ht="21.75" customHeight="1" x14ac:dyDescent="0.2">
      <c r="A14" s="38">
        <v>46304</v>
      </c>
      <c r="B14" s="39" t="s">
        <v>443</v>
      </c>
      <c r="C14" s="40">
        <v>37362723</v>
      </c>
      <c r="D14" s="40">
        <v>91</v>
      </c>
      <c r="E14" s="40"/>
      <c r="F14" s="40"/>
      <c r="G14" s="40">
        <v>6401513</v>
      </c>
      <c r="H14" s="40">
        <v>4053524</v>
      </c>
      <c r="I14" s="40">
        <v>3274003</v>
      </c>
      <c r="J14" s="40">
        <v>51</v>
      </c>
      <c r="K14" s="40">
        <v>4768200</v>
      </c>
      <c r="L14" s="41"/>
      <c r="M14" s="5">
        <f t="shared" si="0"/>
        <v>13729040</v>
      </c>
      <c r="N14" s="5">
        <f t="shared" si="1"/>
        <v>51091763</v>
      </c>
      <c r="O14" s="5">
        <f t="shared" si="2"/>
        <v>410579.37362637365</v>
      </c>
      <c r="P14" s="5">
        <f t="shared" si="3"/>
        <v>269196.86274509801</v>
      </c>
      <c r="Q14" s="16" t="str">
        <f t="shared" si="4"/>
        <v/>
      </c>
    </row>
    <row r="15" spans="1:17" ht="21.75" customHeight="1" x14ac:dyDescent="0.2">
      <c r="A15" s="38">
        <v>46305</v>
      </c>
      <c r="B15" s="39" t="s">
        <v>444</v>
      </c>
      <c r="C15" s="40">
        <v>31372564</v>
      </c>
      <c r="D15" s="40">
        <v>82</v>
      </c>
      <c r="E15" s="40"/>
      <c r="F15" s="40"/>
      <c r="G15" s="40">
        <v>13708513</v>
      </c>
      <c r="H15" s="40">
        <v>6222010</v>
      </c>
      <c r="I15" s="40">
        <v>3223002</v>
      </c>
      <c r="J15" s="40">
        <v>85</v>
      </c>
      <c r="K15" s="40">
        <v>119000</v>
      </c>
      <c r="L15" s="41"/>
      <c r="M15" s="5">
        <f t="shared" si="0"/>
        <v>23153525</v>
      </c>
      <c r="N15" s="5">
        <f t="shared" si="1"/>
        <v>54526089</v>
      </c>
      <c r="O15" s="5">
        <f t="shared" si="2"/>
        <v>382592.24390243902</v>
      </c>
      <c r="P15" s="5">
        <f t="shared" si="3"/>
        <v>272394.4117647059</v>
      </c>
      <c r="Q15" s="16" t="str">
        <f t="shared" si="4"/>
        <v/>
      </c>
    </row>
    <row r="16" spans="1:17" ht="21.75" customHeight="1" x14ac:dyDescent="0.2">
      <c r="A16" s="38">
        <v>46306</v>
      </c>
      <c r="B16" s="39" t="s">
        <v>445</v>
      </c>
      <c r="C16" s="40">
        <v>26125856</v>
      </c>
      <c r="D16" s="40">
        <v>57</v>
      </c>
      <c r="E16" s="40"/>
      <c r="F16" s="40"/>
      <c r="G16" s="40">
        <v>8617008</v>
      </c>
      <c r="H16" s="40">
        <v>4158499</v>
      </c>
      <c r="I16" s="40">
        <v>5112502</v>
      </c>
      <c r="J16" s="40">
        <v>63</v>
      </c>
      <c r="K16" s="40">
        <v>119000</v>
      </c>
      <c r="L16" s="41"/>
      <c r="M16" s="5">
        <f t="shared" si="0"/>
        <v>17888009</v>
      </c>
      <c r="N16" s="5">
        <f t="shared" si="1"/>
        <v>44013865</v>
      </c>
      <c r="O16" s="5">
        <f t="shared" si="2"/>
        <v>458348.35087719298</v>
      </c>
      <c r="P16" s="5">
        <f t="shared" si="3"/>
        <v>283936.65079365077</v>
      </c>
      <c r="Q16" s="16" t="str">
        <f t="shared" si="4"/>
        <v/>
      </c>
    </row>
    <row r="17" spans="1:17" ht="21.75" customHeight="1" x14ac:dyDescent="0.2">
      <c r="A17" s="42">
        <v>46307</v>
      </c>
      <c r="B17" s="43" t="s">
        <v>439</v>
      </c>
      <c r="C17" s="40">
        <v>29638796</v>
      </c>
      <c r="D17" s="40">
        <v>73</v>
      </c>
      <c r="E17" s="40"/>
      <c r="F17" s="40"/>
      <c r="G17" s="40">
        <v>7505010</v>
      </c>
      <c r="H17" s="40">
        <v>2965001</v>
      </c>
      <c r="I17" s="40">
        <v>3850003</v>
      </c>
      <c r="J17" s="40">
        <v>45</v>
      </c>
      <c r="K17" s="40"/>
      <c r="L17" s="41"/>
      <c r="M17" s="5">
        <f t="shared" si="0"/>
        <v>14320014</v>
      </c>
      <c r="N17" s="5">
        <f t="shared" si="1"/>
        <v>43958810</v>
      </c>
      <c r="O17" s="5">
        <f t="shared" si="2"/>
        <v>406010.90410958906</v>
      </c>
      <c r="P17" s="5">
        <f t="shared" si="3"/>
        <v>318222.53333333333</v>
      </c>
      <c r="Q17" s="16" t="str">
        <f t="shared" si="4"/>
        <v/>
      </c>
    </row>
    <row r="18" spans="1:17" ht="21.75" customHeight="1" x14ac:dyDescent="0.2">
      <c r="A18" s="42">
        <v>46308</v>
      </c>
      <c r="B18" s="43" t="s">
        <v>440</v>
      </c>
      <c r="C18" s="40">
        <v>36345075</v>
      </c>
      <c r="D18" s="40">
        <v>86</v>
      </c>
      <c r="E18" s="40"/>
      <c r="F18" s="40"/>
      <c r="G18" s="40">
        <v>6486253</v>
      </c>
      <c r="H18" s="40">
        <v>3853507</v>
      </c>
      <c r="I18" s="40">
        <v>3494001</v>
      </c>
      <c r="J18" s="40">
        <v>41</v>
      </c>
      <c r="K18" s="40"/>
      <c r="L18" s="41"/>
      <c r="M18" s="5">
        <f t="shared" si="0"/>
        <v>13833761</v>
      </c>
      <c r="N18" s="5">
        <f t="shared" si="1"/>
        <v>50178836</v>
      </c>
      <c r="O18" s="5">
        <f t="shared" si="2"/>
        <v>422617.15116279072</v>
      </c>
      <c r="P18" s="5">
        <f t="shared" si="3"/>
        <v>337408.80487804877</v>
      </c>
      <c r="Q18" s="16" t="str">
        <f t="shared" si="4"/>
        <v/>
      </c>
    </row>
    <row r="19" spans="1:17" ht="21.75" customHeight="1" x14ac:dyDescent="0.2">
      <c r="A19" s="38">
        <v>46309</v>
      </c>
      <c r="B19" s="39" t="s">
        <v>441</v>
      </c>
      <c r="C19" s="40">
        <v>30051323</v>
      </c>
      <c r="D19" s="40">
        <v>69</v>
      </c>
      <c r="E19" s="40"/>
      <c r="F19" s="40"/>
      <c r="G19" s="40">
        <v>11998010</v>
      </c>
      <c r="H19" s="40">
        <v>6153256</v>
      </c>
      <c r="I19" s="40">
        <v>4432762</v>
      </c>
      <c r="J19" s="40">
        <v>61</v>
      </c>
      <c r="K19" s="40">
        <v>862600</v>
      </c>
      <c r="L19" s="41"/>
      <c r="M19" s="5">
        <f t="shared" si="0"/>
        <v>22584028</v>
      </c>
      <c r="N19" s="5">
        <f t="shared" si="1"/>
        <v>52635351</v>
      </c>
      <c r="O19" s="5">
        <f t="shared" si="2"/>
        <v>435526.4202898551</v>
      </c>
      <c r="P19" s="5">
        <f t="shared" si="3"/>
        <v>370229.96721311478</v>
      </c>
      <c r="Q19" s="16" t="str">
        <f t="shared" si="4"/>
        <v/>
      </c>
    </row>
    <row r="20" spans="1:17" ht="21.75" customHeight="1" x14ac:dyDescent="0.2">
      <c r="A20" s="38">
        <v>46310</v>
      </c>
      <c r="B20" s="39" t="s">
        <v>442</v>
      </c>
      <c r="C20" s="40">
        <v>35780553</v>
      </c>
      <c r="D20" s="40">
        <v>93</v>
      </c>
      <c r="E20" s="40"/>
      <c r="F20" s="40"/>
      <c r="G20" s="40">
        <v>6751509</v>
      </c>
      <c r="H20" s="40">
        <v>3019500</v>
      </c>
      <c r="I20" s="40">
        <v>4108749</v>
      </c>
      <c r="J20" s="40">
        <v>54</v>
      </c>
      <c r="K20" s="40"/>
      <c r="L20" s="41"/>
      <c r="M20" s="5">
        <f t="shared" si="0"/>
        <v>13879758</v>
      </c>
      <c r="N20" s="5">
        <f t="shared" si="1"/>
        <v>49660311</v>
      </c>
      <c r="O20" s="5">
        <f t="shared" si="2"/>
        <v>384737.12903225806</v>
      </c>
      <c r="P20" s="5">
        <f t="shared" si="3"/>
        <v>257032.55555555556</v>
      </c>
      <c r="Q20" s="16" t="str">
        <f t="shared" si="4"/>
        <v/>
      </c>
    </row>
    <row r="21" spans="1:17" ht="21.75" customHeight="1" x14ac:dyDescent="0.2">
      <c r="A21" s="38">
        <v>46311</v>
      </c>
      <c r="B21" s="39" t="s">
        <v>443</v>
      </c>
      <c r="C21" s="40">
        <v>46441285</v>
      </c>
      <c r="D21" s="40">
        <v>112</v>
      </c>
      <c r="E21" s="40"/>
      <c r="F21" s="40"/>
      <c r="G21" s="40">
        <v>12278013</v>
      </c>
      <c r="H21" s="40">
        <v>6882507</v>
      </c>
      <c r="I21" s="40">
        <v>5101510</v>
      </c>
      <c r="J21" s="40">
        <v>87</v>
      </c>
      <c r="K21" s="40">
        <v>198000</v>
      </c>
      <c r="L21" s="41"/>
      <c r="M21" s="5">
        <f t="shared" si="0"/>
        <v>24262030</v>
      </c>
      <c r="N21" s="5">
        <f t="shared" si="1"/>
        <v>70703315</v>
      </c>
      <c r="O21" s="5">
        <f t="shared" si="2"/>
        <v>414654.33035714284</v>
      </c>
      <c r="P21" s="5">
        <f t="shared" si="3"/>
        <v>278873.908045977</v>
      </c>
      <c r="Q21" s="16" t="str">
        <f t="shared" si="4"/>
        <v/>
      </c>
    </row>
    <row r="22" spans="1:17" ht="21.75" customHeight="1" x14ac:dyDescent="0.2">
      <c r="A22" s="38">
        <v>46312</v>
      </c>
      <c r="B22" s="39" t="s">
        <v>444</v>
      </c>
      <c r="C22" s="40">
        <v>42693030</v>
      </c>
      <c r="D22" s="40">
        <v>90</v>
      </c>
      <c r="E22" s="40"/>
      <c r="F22" s="40"/>
      <c r="G22" s="40">
        <v>17046763</v>
      </c>
      <c r="H22" s="40">
        <v>5673510</v>
      </c>
      <c r="I22" s="40">
        <v>4845005</v>
      </c>
      <c r="J22" s="40">
        <v>98</v>
      </c>
      <c r="K22" s="40">
        <v>119000</v>
      </c>
      <c r="L22" s="41"/>
      <c r="M22" s="5">
        <f t="shared" si="0"/>
        <v>27565278</v>
      </c>
      <c r="N22" s="5">
        <f t="shared" si="1"/>
        <v>70258308</v>
      </c>
      <c r="O22" s="5">
        <f t="shared" si="2"/>
        <v>474367</v>
      </c>
      <c r="P22" s="5">
        <f t="shared" si="3"/>
        <v>281278.3469387755</v>
      </c>
      <c r="Q22" s="16" t="str">
        <f t="shared" si="4"/>
        <v/>
      </c>
    </row>
    <row r="23" spans="1:17" ht="21.75" customHeight="1" x14ac:dyDescent="0.2">
      <c r="A23" s="38">
        <v>46313</v>
      </c>
      <c r="B23" s="39" t="s">
        <v>445</v>
      </c>
      <c r="C23" s="40">
        <v>23282941</v>
      </c>
      <c r="D23" s="40">
        <v>65</v>
      </c>
      <c r="E23" s="40"/>
      <c r="F23" s="40"/>
      <c r="G23" s="40">
        <v>18910018</v>
      </c>
      <c r="H23" s="40">
        <v>5427257</v>
      </c>
      <c r="I23" s="40">
        <v>4824508</v>
      </c>
      <c r="J23" s="40">
        <v>92</v>
      </c>
      <c r="K23" s="40"/>
      <c r="L23" s="41"/>
      <c r="M23" s="5">
        <f t="shared" si="0"/>
        <v>29161783</v>
      </c>
      <c r="N23" s="5">
        <f t="shared" si="1"/>
        <v>52444724</v>
      </c>
      <c r="O23" s="5">
        <f t="shared" si="2"/>
        <v>358199.09230769234</v>
      </c>
      <c r="P23" s="5">
        <f t="shared" si="3"/>
        <v>316975.90217391303</v>
      </c>
      <c r="Q23" s="16" t="str">
        <f t="shared" si="4"/>
        <v/>
      </c>
    </row>
    <row r="24" spans="1:17" ht="21.75" customHeight="1" x14ac:dyDescent="0.2">
      <c r="A24" s="42">
        <v>46314</v>
      </c>
      <c r="B24" s="43" t="s">
        <v>439</v>
      </c>
      <c r="C24" s="40"/>
      <c r="D24" s="40"/>
      <c r="E24" s="40"/>
      <c r="F24" s="40"/>
      <c r="G24" s="40"/>
      <c r="H24" s="40"/>
      <c r="I24" s="40"/>
      <c r="J24" s="40"/>
      <c r="K24" s="40"/>
      <c r="L24" s="41"/>
      <c r="M24" s="5" t="str">
        <f t="shared" si="0"/>
        <v/>
      </c>
      <c r="N24" s="5" t="str">
        <f t="shared" si="1"/>
        <v/>
      </c>
      <c r="O24" s="5" t="str">
        <f t="shared" si="2"/>
        <v/>
      </c>
      <c r="P24" s="5" t="str">
        <f t="shared" si="3"/>
        <v/>
      </c>
      <c r="Q24" s="16" t="str">
        <f t="shared" si="4"/>
        <v/>
      </c>
    </row>
    <row r="25" spans="1:17" ht="21.75" customHeight="1" x14ac:dyDescent="0.2">
      <c r="A25" s="42">
        <v>46315</v>
      </c>
      <c r="B25" s="43" t="s">
        <v>440</v>
      </c>
      <c r="C25" s="40"/>
      <c r="D25" s="40"/>
      <c r="E25" s="40"/>
      <c r="F25" s="40"/>
      <c r="G25" s="40"/>
      <c r="H25" s="40"/>
      <c r="I25" s="40"/>
      <c r="J25" s="40"/>
      <c r="K25" s="40"/>
      <c r="L25" s="41"/>
      <c r="M25" s="5" t="str">
        <f t="shared" si="0"/>
        <v/>
      </c>
      <c r="N25" s="5" t="str">
        <f t="shared" si="1"/>
        <v/>
      </c>
      <c r="O25" s="5" t="str">
        <f t="shared" si="2"/>
        <v/>
      </c>
      <c r="P25" s="5" t="str">
        <f t="shared" si="3"/>
        <v/>
      </c>
      <c r="Q25" s="16" t="str">
        <f t="shared" si="4"/>
        <v/>
      </c>
    </row>
    <row r="26" spans="1:17" ht="21.75" customHeight="1" x14ac:dyDescent="0.2">
      <c r="A26" s="38">
        <v>46316</v>
      </c>
      <c r="B26" s="39" t="s">
        <v>441</v>
      </c>
      <c r="C26" s="40"/>
      <c r="D26" s="40"/>
      <c r="E26" s="40"/>
      <c r="F26" s="40"/>
      <c r="G26" s="40"/>
      <c r="H26" s="40"/>
      <c r="I26" s="40"/>
      <c r="J26" s="40"/>
      <c r="K26" s="40"/>
      <c r="L26" s="41"/>
      <c r="M26" s="5" t="str">
        <f t="shared" si="0"/>
        <v/>
      </c>
      <c r="N26" s="5" t="str">
        <f t="shared" si="1"/>
        <v/>
      </c>
      <c r="O26" s="5" t="str">
        <f t="shared" si="2"/>
        <v/>
      </c>
      <c r="P26" s="5" t="str">
        <f t="shared" si="3"/>
        <v/>
      </c>
      <c r="Q26" s="16" t="str">
        <f t="shared" si="4"/>
        <v/>
      </c>
    </row>
    <row r="27" spans="1:17" ht="21.75" customHeight="1" x14ac:dyDescent="0.2">
      <c r="A27" s="38">
        <v>46317</v>
      </c>
      <c r="B27" s="39" t="s">
        <v>442</v>
      </c>
      <c r="C27" s="40"/>
      <c r="D27" s="40"/>
      <c r="E27" s="40"/>
      <c r="F27" s="40"/>
      <c r="G27" s="40"/>
      <c r="H27" s="40"/>
      <c r="I27" s="40"/>
      <c r="J27" s="40"/>
      <c r="K27" s="40"/>
      <c r="L27" s="41"/>
      <c r="M27" s="5" t="str">
        <f t="shared" si="0"/>
        <v/>
      </c>
      <c r="N27" s="5" t="str">
        <f t="shared" si="1"/>
        <v/>
      </c>
      <c r="O27" s="5" t="str">
        <f t="shared" si="2"/>
        <v/>
      </c>
      <c r="P27" s="5" t="str">
        <f t="shared" si="3"/>
        <v/>
      </c>
      <c r="Q27" s="16" t="str">
        <f t="shared" si="4"/>
        <v/>
      </c>
    </row>
    <row r="28" spans="1:17" ht="21.75" customHeight="1" x14ac:dyDescent="0.2">
      <c r="A28" s="38">
        <v>46318</v>
      </c>
      <c r="B28" s="39" t="s">
        <v>443</v>
      </c>
      <c r="C28" s="40"/>
      <c r="D28" s="40"/>
      <c r="E28" s="40"/>
      <c r="F28" s="40"/>
      <c r="G28" s="40"/>
      <c r="H28" s="40"/>
      <c r="I28" s="40"/>
      <c r="J28" s="40"/>
      <c r="K28" s="40"/>
      <c r="L28" s="41"/>
      <c r="M28" s="5" t="str">
        <f t="shared" si="0"/>
        <v/>
      </c>
      <c r="N28" s="5" t="str">
        <f t="shared" si="1"/>
        <v/>
      </c>
      <c r="O28" s="5" t="str">
        <f t="shared" si="2"/>
        <v/>
      </c>
      <c r="P28" s="5" t="str">
        <f t="shared" si="3"/>
        <v/>
      </c>
      <c r="Q28" s="16" t="str">
        <f t="shared" si="4"/>
        <v/>
      </c>
    </row>
    <row r="29" spans="1:17" ht="21.75" customHeight="1" x14ac:dyDescent="0.2">
      <c r="A29" s="38">
        <v>46319</v>
      </c>
      <c r="B29" s="39" t="s">
        <v>444</v>
      </c>
      <c r="C29" s="40"/>
      <c r="D29" s="40"/>
      <c r="E29" s="40"/>
      <c r="F29" s="40"/>
      <c r="G29" s="40"/>
      <c r="H29" s="40"/>
      <c r="I29" s="40"/>
      <c r="J29" s="40"/>
      <c r="K29" s="40"/>
      <c r="L29" s="41"/>
      <c r="M29" s="5" t="str">
        <f t="shared" si="0"/>
        <v/>
      </c>
      <c r="N29" s="5" t="str">
        <f t="shared" si="1"/>
        <v/>
      </c>
      <c r="O29" s="5" t="str">
        <f t="shared" si="2"/>
        <v/>
      </c>
      <c r="P29" s="5" t="str">
        <f t="shared" si="3"/>
        <v/>
      </c>
      <c r="Q29" s="16" t="str">
        <f t="shared" si="4"/>
        <v/>
      </c>
    </row>
    <row r="30" spans="1:17" ht="21.75" customHeight="1" x14ac:dyDescent="0.2">
      <c r="A30" s="38">
        <v>46320</v>
      </c>
      <c r="B30" s="39" t="s">
        <v>445</v>
      </c>
      <c r="C30" s="40"/>
      <c r="D30" s="40"/>
      <c r="E30" s="40"/>
      <c r="F30" s="40"/>
      <c r="G30" s="40"/>
      <c r="H30" s="40"/>
      <c r="I30" s="40"/>
      <c r="J30" s="40"/>
      <c r="K30" s="40"/>
      <c r="L30" s="41"/>
      <c r="M30" s="5" t="str">
        <f t="shared" si="0"/>
        <v/>
      </c>
      <c r="N30" s="5" t="str">
        <f t="shared" si="1"/>
        <v/>
      </c>
      <c r="O30" s="5" t="str">
        <f t="shared" si="2"/>
        <v/>
      </c>
      <c r="P30" s="5" t="str">
        <f t="shared" si="3"/>
        <v/>
      </c>
      <c r="Q30" s="16" t="str">
        <f t="shared" si="4"/>
        <v/>
      </c>
    </row>
    <row r="31" spans="1:17" ht="21.75" customHeight="1" x14ac:dyDescent="0.2">
      <c r="A31" s="42">
        <v>46321</v>
      </c>
      <c r="B31" s="43" t="s">
        <v>439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  <c r="M31" s="5" t="str">
        <f t="shared" si="0"/>
        <v/>
      </c>
      <c r="N31" s="5" t="str">
        <f t="shared" si="1"/>
        <v/>
      </c>
      <c r="O31" s="5" t="str">
        <f t="shared" si="2"/>
        <v/>
      </c>
      <c r="P31" s="5" t="str">
        <f t="shared" si="3"/>
        <v/>
      </c>
      <c r="Q31" s="16" t="str">
        <f t="shared" si="4"/>
        <v/>
      </c>
    </row>
    <row r="32" spans="1:17" ht="21.75" customHeight="1" x14ac:dyDescent="0.2">
      <c r="A32" s="42">
        <v>46322</v>
      </c>
      <c r="B32" s="43" t="s">
        <v>440</v>
      </c>
      <c r="C32" s="40"/>
      <c r="D32" s="40"/>
      <c r="E32" s="40"/>
      <c r="F32" s="40"/>
      <c r="G32" s="40"/>
      <c r="H32" s="40"/>
      <c r="I32" s="40"/>
      <c r="J32" s="40"/>
      <c r="K32" s="40"/>
      <c r="L32" s="41"/>
      <c r="M32" s="5" t="str">
        <f t="shared" si="0"/>
        <v/>
      </c>
      <c r="N32" s="5" t="str">
        <f t="shared" si="1"/>
        <v/>
      </c>
      <c r="O32" s="5" t="str">
        <f t="shared" si="2"/>
        <v/>
      </c>
      <c r="P32" s="5" t="str">
        <f t="shared" si="3"/>
        <v/>
      </c>
      <c r="Q32" s="16" t="str">
        <f t="shared" si="4"/>
        <v/>
      </c>
    </row>
    <row r="33" spans="1:17" ht="21.75" customHeight="1" x14ac:dyDescent="0.2">
      <c r="A33" s="38">
        <v>46323</v>
      </c>
      <c r="B33" s="39" t="s">
        <v>441</v>
      </c>
      <c r="C33" s="40"/>
      <c r="D33" s="40"/>
      <c r="E33" s="40"/>
      <c r="F33" s="40"/>
      <c r="G33" s="40"/>
      <c r="H33" s="40"/>
      <c r="I33" s="40"/>
      <c r="J33" s="40"/>
      <c r="K33" s="40"/>
      <c r="L33" s="41"/>
      <c r="M33" s="5" t="str">
        <f t="shared" si="0"/>
        <v/>
      </c>
      <c r="N33" s="5" t="str">
        <f t="shared" si="1"/>
        <v/>
      </c>
      <c r="O33" s="5" t="str">
        <f t="shared" si="2"/>
        <v/>
      </c>
      <c r="P33" s="5" t="str">
        <f t="shared" si="3"/>
        <v/>
      </c>
      <c r="Q33" s="16" t="str">
        <f t="shared" si="4"/>
        <v/>
      </c>
    </row>
    <row r="34" spans="1:17" ht="21.75" customHeight="1" x14ac:dyDescent="0.2">
      <c r="A34" s="38">
        <v>46324</v>
      </c>
      <c r="B34" s="39" t="s">
        <v>442</v>
      </c>
      <c r="C34" s="40"/>
      <c r="D34" s="40"/>
      <c r="E34" s="40"/>
      <c r="F34" s="40"/>
      <c r="G34" s="40"/>
      <c r="H34" s="40"/>
      <c r="I34" s="40"/>
      <c r="J34" s="40"/>
      <c r="K34" s="40"/>
      <c r="L34" s="41"/>
      <c r="M34" s="5" t="str">
        <f t="shared" si="0"/>
        <v/>
      </c>
      <c r="N34" s="5" t="str">
        <f t="shared" si="1"/>
        <v/>
      </c>
      <c r="O34" s="5" t="str">
        <f t="shared" si="2"/>
        <v/>
      </c>
      <c r="P34" s="5" t="str">
        <f t="shared" si="3"/>
        <v/>
      </c>
      <c r="Q34" s="16" t="str">
        <f t="shared" si="4"/>
        <v/>
      </c>
    </row>
    <row r="35" spans="1:17" ht="21.75" customHeight="1" x14ac:dyDescent="0.2">
      <c r="A35" s="38">
        <v>46325</v>
      </c>
      <c r="B35" s="39" t="s">
        <v>443</v>
      </c>
      <c r="C35" s="40"/>
      <c r="D35" s="40"/>
      <c r="E35" s="40"/>
      <c r="F35" s="40"/>
      <c r="G35" s="40"/>
      <c r="H35" s="40"/>
      <c r="I35" s="40"/>
      <c r="J35" s="40"/>
      <c r="K35" s="40"/>
      <c r="L35" s="41"/>
      <c r="M35" s="5" t="str">
        <f t="shared" si="0"/>
        <v/>
      </c>
      <c r="N35" s="5" t="str">
        <f t="shared" si="1"/>
        <v/>
      </c>
      <c r="O35" s="5" t="str">
        <f t="shared" si="2"/>
        <v/>
      </c>
      <c r="P35" s="5" t="str">
        <f t="shared" si="3"/>
        <v/>
      </c>
      <c r="Q35" s="16" t="str">
        <f t="shared" si="4"/>
        <v/>
      </c>
    </row>
    <row r="36" spans="1:17" ht="18.75" customHeight="1" x14ac:dyDescent="0.2">
      <c r="A36" s="105">
        <v>46326</v>
      </c>
      <c r="B36" t="s">
        <v>444</v>
      </c>
      <c r="M36" t="str">
        <f t="shared" si="0"/>
        <v/>
      </c>
      <c r="N36" t="str">
        <f t="shared" si="1"/>
        <v/>
      </c>
      <c r="O36" t="str">
        <f t="shared" si="2"/>
        <v/>
      </c>
      <c r="P36" t="str">
        <f t="shared" si="3"/>
        <v/>
      </c>
      <c r="Q36" t="str">
        <f t="shared" si="4"/>
        <v/>
      </c>
    </row>
    <row r="37" spans="1:17" ht="18.75" customHeight="1" x14ac:dyDescent="0.2"/>
    <row r="38" spans="1:17" ht="18.75" customHeight="1" x14ac:dyDescent="0.2"/>
    <row r="39" spans="1:17" ht="18.75" customHeight="1" x14ac:dyDescent="0.2"/>
    <row r="40" spans="1:17" ht="18.75" customHeight="1" x14ac:dyDescent="0.2"/>
    <row r="41" spans="1:17" ht="18.75" customHeight="1" x14ac:dyDescent="0.2"/>
    <row r="42" spans="1:17" ht="18.75" customHeight="1" x14ac:dyDescent="0.2"/>
    <row r="43" spans="1:17" ht="18.75" customHeight="1" x14ac:dyDescent="0.2"/>
    <row r="44" spans="1:17" ht="18.75" customHeight="1" x14ac:dyDescent="0.2"/>
    <row r="45" spans="1:17" ht="18.75" customHeight="1" x14ac:dyDescent="0.2"/>
    <row r="46" spans="1:17" ht="18.75" customHeight="1" x14ac:dyDescent="0.2"/>
    <row r="47" spans="1:17" ht="18.75" customHeight="1" x14ac:dyDescent="0.2"/>
    <row r="48" spans="1:17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9">
    <mergeCell ref="A1:Q1"/>
    <mergeCell ref="E3:F3"/>
    <mergeCell ref="O3:P3"/>
    <mergeCell ref="G3:J3"/>
    <mergeCell ref="A5:B5"/>
    <mergeCell ref="A2:Q2"/>
    <mergeCell ref="M3:N3"/>
    <mergeCell ref="C3:D3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8"/>
  <sheetViews>
    <sheetView workbookViewId="0"/>
  </sheetViews>
  <sheetFormatPr baseColWidth="10" defaultColWidth="9" defaultRowHeight="14" x14ac:dyDescent="0.2"/>
  <cols>
    <col min="1" max="1" width="10" customWidth="1"/>
    <col min="2" max="2" width="26" customWidth="1"/>
    <col min="3" max="3" width="18" customWidth="1"/>
    <col min="4" max="4" width="17" customWidth="1"/>
    <col min="5" max="5" width="9" customWidth="1"/>
    <col min="6" max="6" width="10" customWidth="1"/>
    <col min="7" max="8" width="14" customWidth="1"/>
    <col min="9" max="9" width="9" customWidth="1"/>
    <col min="10" max="11" width="17" customWidth="1"/>
    <col min="12" max="12" width="9" customWidth="1"/>
    <col min="13" max="13" width="17" customWidth="1"/>
    <col min="14" max="14" width="20" customWidth="1"/>
  </cols>
  <sheetData>
    <row r="1" spans="1:14" ht="22" customHeight="1" x14ac:dyDescent="0.2">
      <c r="A1" s="165" t="s">
        <v>535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</row>
    <row r="2" spans="1:14" ht="16" customHeight="1" x14ac:dyDescent="0.2">
      <c r="A2" s="164" t="s">
        <v>456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</row>
    <row r="3" spans="1:14" ht="30" customHeight="1" x14ac:dyDescent="0.2">
      <c r="A3" s="106" t="s">
        <v>457</v>
      </c>
      <c r="B3" s="106" t="s">
        <v>421</v>
      </c>
      <c r="C3" s="106" t="s">
        <v>423</v>
      </c>
      <c r="D3" s="107" t="s">
        <v>525</v>
      </c>
      <c r="E3" s="108" t="s">
        <v>526</v>
      </c>
      <c r="F3" s="106" t="s">
        <v>424</v>
      </c>
      <c r="G3" s="106" t="s">
        <v>458</v>
      </c>
      <c r="H3" s="109" t="s">
        <v>426</v>
      </c>
      <c r="I3" s="109" t="s">
        <v>459</v>
      </c>
      <c r="J3" s="110" t="s">
        <v>460</v>
      </c>
      <c r="K3" s="107" t="s">
        <v>527</v>
      </c>
      <c r="L3" s="108" t="s">
        <v>528</v>
      </c>
      <c r="M3" s="108" t="s">
        <v>461</v>
      </c>
      <c r="N3" s="111" t="s">
        <v>432</v>
      </c>
    </row>
    <row r="4" spans="1:14" ht="18" customHeight="1" x14ac:dyDescent="0.2">
      <c r="A4" s="112" t="s">
        <v>464</v>
      </c>
      <c r="B4" s="113" t="s">
        <v>536</v>
      </c>
      <c r="C4" s="114">
        <f>IFERROR(SUM('📅 DAILY T10'!C6:C9),0)</f>
        <v>136221703</v>
      </c>
      <c r="D4" s="115">
        <v>162425589</v>
      </c>
      <c r="E4" s="116">
        <f>IFERROR(IF(D4&gt;0,C4/D4,""),"")</f>
        <v>0.8386714423427456</v>
      </c>
      <c r="F4" s="114">
        <f>IFERROR(SUM('📅 DAILY T10'!D6:D9),0)</f>
        <v>319</v>
      </c>
      <c r="G4" s="114">
        <f>IFERROR(IF(F4&gt;0,C4/F4,""),"")</f>
        <v>427027.28213166143</v>
      </c>
      <c r="H4" s="117">
        <f>IFERROR(SUM('📅 DAILY T10'!F6:F9),0)</f>
        <v>0</v>
      </c>
      <c r="I4" s="118" t="str">
        <f>IFERROR(IF(H4&gt;0,C4/H4,""),"")</f>
        <v/>
      </c>
      <c r="J4" s="119">
        <f>IFERROR(SUM('📅 DAILY T10'!M6:M9),0)</f>
        <v>72023087</v>
      </c>
      <c r="K4" s="115">
        <v>87459932</v>
      </c>
      <c r="L4" s="116">
        <f>IFERROR(IF(K4&gt;0,J4/K4,""),"")</f>
        <v>0.82349809053133038</v>
      </c>
      <c r="M4" s="120">
        <f>IFERROR(C4+J4,"")</f>
        <v>208244790</v>
      </c>
      <c r="N4" s="121"/>
    </row>
    <row r="5" spans="1:14" ht="18" customHeight="1" x14ac:dyDescent="0.2">
      <c r="A5" s="112" t="s">
        <v>466</v>
      </c>
      <c r="B5" s="113" t="s">
        <v>537</v>
      </c>
      <c r="C5" s="114">
        <f>IFERROR(SUM('📅 DAILY T10'!C10:C16),0)</f>
        <v>249915804</v>
      </c>
      <c r="D5" s="115">
        <v>284244781</v>
      </c>
      <c r="E5" s="116">
        <f>IFERROR(IF(D5&gt;0,C5/D5,""),"")</f>
        <v>0.87922741490898293</v>
      </c>
      <c r="F5" s="114">
        <f>IFERROR(SUM('📅 DAILY T10'!D10:D16),0)</f>
        <v>555</v>
      </c>
      <c r="G5" s="114">
        <f>IFERROR(IF(F5&gt;0,C5/F5,""),"")</f>
        <v>450298.74594594596</v>
      </c>
      <c r="H5" s="117">
        <f>IFERROR(SUM('📅 DAILY T10'!F10:F16),0)</f>
        <v>0</v>
      </c>
      <c r="I5" s="118" t="str">
        <f>IFERROR(IF(H5&gt;0,C5/H5,""),"")</f>
        <v/>
      </c>
      <c r="J5" s="119">
        <f>IFERROR(SUM('📅 DAILY T10'!M10:M16),0)</f>
        <v>102179135</v>
      </c>
      <c r="K5" s="115">
        <v>153054882</v>
      </c>
      <c r="L5" s="116">
        <f>IFERROR(IF(K5&gt;0,J5/K5,""),"")</f>
        <v>0.6675980123260622</v>
      </c>
      <c r="M5" s="120">
        <f>IFERROR(C5+J5,"")</f>
        <v>352094939</v>
      </c>
      <c r="N5" s="121"/>
    </row>
    <row r="6" spans="1:14" ht="18" customHeight="1" x14ac:dyDescent="0.2">
      <c r="A6" s="112" t="s">
        <v>468</v>
      </c>
      <c r="B6" s="113" t="s">
        <v>538</v>
      </c>
      <c r="C6" s="114">
        <f>IFERROR(SUM('📅 DAILY T10'!C17:C23),0)</f>
        <v>244233003</v>
      </c>
      <c r="D6" s="115">
        <v>284244781</v>
      </c>
      <c r="E6" s="116">
        <f>IFERROR(IF(D6&gt;0,C6/D6,""),"")</f>
        <v>0.85923478398007946</v>
      </c>
      <c r="F6" s="114">
        <f>IFERROR(SUM('📅 DAILY T10'!D17:D23),0)</f>
        <v>588</v>
      </c>
      <c r="G6" s="114">
        <f>IFERROR(IF(F6&gt;0,C6/F6,""),"")</f>
        <v>415362.25</v>
      </c>
      <c r="H6" s="117">
        <f>IFERROR(SUM('📅 DAILY T10'!F17:F23),0)</f>
        <v>0</v>
      </c>
      <c r="I6" s="118" t="str">
        <f>IFERROR(IF(H6&gt;0,C6/H6,""),"")</f>
        <v/>
      </c>
      <c r="J6" s="119">
        <f>IFERROR(SUM('📅 DAILY T10'!M17:M23),0)</f>
        <v>145606652</v>
      </c>
      <c r="K6" s="115">
        <v>153054882</v>
      </c>
      <c r="L6" s="116">
        <f>IFERROR(IF(K6&gt;0,J6/K6,""),"")</f>
        <v>0.95133621415617442</v>
      </c>
      <c r="M6" s="120">
        <f>IFERROR(C6+J6,"")</f>
        <v>389839655</v>
      </c>
      <c r="N6" s="121"/>
    </row>
    <row r="7" spans="1:14" ht="18" customHeight="1" x14ac:dyDescent="0.2">
      <c r="A7" s="112" t="s">
        <v>470</v>
      </c>
      <c r="B7" s="113" t="s">
        <v>539</v>
      </c>
      <c r="C7" s="114">
        <f>IFERROR(SUM('📅 DAILY T10'!C24:C30),0)</f>
        <v>0</v>
      </c>
      <c r="D7" s="115">
        <v>284244781</v>
      </c>
      <c r="E7" s="116">
        <f>IFERROR(IF(D7&gt;0,C7/D7,""),"")</f>
        <v>0</v>
      </c>
      <c r="F7" s="114">
        <f>IFERROR(SUM('📅 DAILY T10'!D24:D30),0)</f>
        <v>0</v>
      </c>
      <c r="G7" s="114" t="str">
        <f>IFERROR(IF(F7&gt;0,C7/F7,""),"")</f>
        <v/>
      </c>
      <c r="H7" s="117">
        <f>IFERROR(SUM('📅 DAILY T10'!F24:F30),0)</f>
        <v>0</v>
      </c>
      <c r="I7" s="118" t="str">
        <f>IFERROR(IF(H7&gt;0,C7/H7,""),"")</f>
        <v/>
      </c>
      <c r="J7" s="119">
        <f>IFERROR(SUM('📅 DAILY T10'!M24:M30),0)</f>
        <v>0</v>
      </c>
      <c r="K7" s="115">
        <v>153054882</v>
      </c>
      <c r="L7" s="116">
        <f>IFERROR(IF(K7&gt;0,J7/K7,""),"")</f>
        <v>0</v>
      </c>
      <c r="M7" s="120">
        <f>IFERROR(C7+J7,"")</f>
        <v>0</v>
      </c>
      <c r="N7" s="121"/>
    </row>
    <row r="8" spans="1:14" ht="18" customHeight="1" x14ac:dyDescent="0.2">
      <c r="A8" s="112" t="s">
        <v>472</v>
      </c>
      <c r="B8" s="113" t="s">
        <v>540</v>
      </c>
      <c r="C8" s="114">
        <f>IFERROR(SUM('📅 DAILY T10'!C31:C36),0)</f>
        <v>0</v>
      </c>
      <c r="D8" s="115">
        <v>243638383</v>
      </c>
      <c r="E8" s="116">
        <f>IFERROR(IF(D8&gt;0,C8/D8,""),"")</f>
        <v>0</v>
      </c>
      <c r="F8" s="114">
        <f>IFERROR(SUM('📅 DAILY T10'!D31:D36),0)</f>
        <v>0</v>
      </c>
      <c r="G8" s="114" t="str">
        <f>IFERROR(IF(F8&gt;0,C8/F8,""),"")</f>
        <v/>
      </c>
      <c r="H8" s="117">
        <f>IFERROR(SUM('📅 DAILY T10'!F31:F36),0)</f>
        <v>0</v>
      </c>
      <c r="I8" s="118" t="str">
        <f>IFERROR(IF(H8&gt;0,C8/H8,""),"")</f>
        <v/>
      </c>
      <c r="J8" s="119">
        <f>IFERROR(SUM('📅 DAILY T10'!M31:M36),0)</f>
        <v>0</v>
      </c>
      <c r="K8" s="115">
        <v>131189899</v>
      </c>
      <c r="L8" s="116">
        <f>IFERROR(IF(K8&gt;0,J8/K8,""),"")</f>
        <v>0</v>
      </c>
      <c r="M8" s="120">
        <f>IFERROR(C8+J8,"")</f>
        <v>0</v>
      </c>
      <c r="N8" s="121"/>
    </row>
  </sheetData>
  <mergeCells count="2">
    <mergeCell ref="A2:N2"/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Q200"/>
  <sheetViews>
    <sheetView workbookViewId="0"/>
  </sheetViews>
  <sheetFormatPr baseColWidth="10" defaultColWidth="14" defaultRowHeight="14" x14ac:dyDescent="0.2"/>
  <cols>
    <col min="1" max="1" width="15" customWidth="1"/>
    <col min="2" max="2" width="6" customWidth="1"/>
    <col min="3" max="3" width="19" customWidth="1"/>
    <col min="4" max="4" width="11" customWidth="1"/>
    <col min="5" max="5" width="15" customWidth="1"/>
    <col min="6" max="9" width="17" customWidth="1"/>
    <col min="10" max="10" width="12" customWidth="1"/>
    <col min="11" max="11" width="16" customWidth="1"/>
    <col min="12" max="12" width="27" customWidth="1"/>
    <col min="13" max="14" width="18" customWidth="1"/>
    <col min="15" max="16" width="15" customWidth="1"/>
    <col min="17" max="17" width="12" customWidth="1"/>
    <col min="18" max="20" width="11" customWidth="1"/>
  </cols>
  <sheetData>
    <row r="1" spans="1:17" ht="33" customHeight="1" x14ac:dyDescent="0.2">
      <c r="A1" s="158" t="s">
        <v>541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1.75" customHeight="1" x14ac:dyDescent="0.2">
      <c r="A2" s="146" t="s">
        <v>412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.75" customHeight="1" x14ac:dyDescent="0.2">
      <c r="A3" s="157" t="s">
        <v>413</v>
      </c>
      <c r="B3" s="143"/>
      <c r="C3" s="156" t="s">
        <v>414</v>
      </c>
      <c r="D3" s="143"/>
      <c r="E3" s="159" t="s">
        <v>415</v>
      </c>
      <c r="F3" s="143"/>
      <c r="G3" s="154" t="s">
        <v>416</v>
      </c>
      <c r="H3" s="143"/>
      <c r="I3" s="143"/>
      <c r="J3" s="143"/>
      <c r="K3" s="22" t="s">
        <v>417</v>
      </c>
      <c r="L3" s="23" t="s">
        <v>418</v>
      </c>
      <c r="M3" s="153" t="s">
        <v>419</v>
      </c>
      <c r="N3" s="143"/>
      <c r="O3" s="153" t="s">
        <v>419</v>
      </c>
      <c r="P3" s="143"/>
      <c r="Q3" s="24" t="s">
        <v>420</v>
      </c>
    </row>
    <row r="4" spans="1:17" ht="36" customHeight="1" x14ac:dyDescent="0.2">
      <c r="A4" s="25" t="s">
        <v>421</v>
      </c>
      <c r="B4" s="25" t="s">
        <v>422</v>
      </c>
      <c r="C4" s="26" t="s">
        <v>423</v>
      </c>
      <c r="D4" s="26" t="s">
        <v>424</v>
      </c>
      <c r="E4" s="27" t="s">
        <v>425</v>
      </c>
      <c r="F4" s="27" t="s">
        <v>426</v>
      </c>
      <c r="G4" s="28" t="s">
        <v>427</v>
      </c>
      <c r="H4" s="28" t="s">
        <v>428</v>
      </c>
      <c r="I4" s="28" t="s">
        <v>429</v>
      </c>
      <c r="J4" s="28" t="s">
        <v>430</v>
      </c>
      <c r="K4" s="29" t="s">
        <v>431</v>
      </c>
      <c r="L4" s="30" t="s">
        <v>432</v>
      </c>
      <c r="M4" s="31" t="s">
        <v>433</v>
      </c>
      <c r="N4" s="31" t="s">
        <v>434</v>
      </c>
      <c r="O4" s="31" t="s">
        <v>435</v>
      </c>
      <c r="P4" s="31" t="s">
        <v>436</v>
      </c>
      <c r="Q4" s="31" t="s">
        <v>437</v>
      </c>
    </row>
    <row r="5" spans="1:17" ht="21.75" customHeight="1" x14ac:dyDescent="0.2">
      <c r="A5" s="155" t="s">
        <v>438</v>
      </c>
      <c r="B5" s="143"/>
      <c r="C5" s="32">
        <v>1625138977</v>
      </c>
      <c r="D5" s="33"/>
      <c r="E5" s="33"/>
      <c r="F5" s="33"/>
      <c r="G5" s="34">
        <v>400220793</v>
      </c>
      <c r="H5" s="34">
        <v>208114812</v>
      </c>
      <c r="I5" s="34">
        <v>192105981</v>
      </c>
      <c r="J5" s="33"/>
      <c r="K5" s="33"/>
      <c r="L5" s="33"/>
      <c r="M5" s="35">
        <v>800441586</v>
      </c>
      <c r="N5" s="35">
        <v>2425580563</v>
      </c>
      <c r="O5" s="36">
        <v>450000</v>
      </c>
      <c r="P5" s="36">
        <v>330000</v>
      </c>
      <c r="Q5" s="37"/>
    </row>
    <row r="6" spans="1:17" ht="21.75" customHeight="1" x14ac:dyDescent="0.2">
      <c r="A6" s="38">
        <v>46327</v>
      </c>
      <c r="B6" s="39" t="s">
        <v>445</v>
      </c>
      <c r="C6" s="40"/>
      <c r="D6" s="40"/>
      <c r="E6" s="40"/>
      <c r="F6" s="40"/>
      <c r="G6" s="40"/>
      <c r="H6" s="40"/>
      <c r="I6" s="40"/>
      <c r="J6" s="40"/>
      <c r="K6" s="40"/>
      <c r="L6" s="41"/>
      <c r="M6" s="5" t="str">
        <f t="shared" ref="M6:M35" si="0">IF(SUM(G6:I6)&gt;0,SUM(G6:I6),"")</f>
        <v/>
      </c>
      <c r="N6" s="5" t="str">
        <f t="shared" ref="N6:N35" si="1">IF(N(C6)+N(M6)&gt;0,N(C6)+N(M6),"")</f>
        <v/>
      </c>
      <c r="O6" s="5" t="str">
        <f t="shared" ref="O6:O35" si="2">IFERROR(IF(D6&gt;0,C6/D6,""),"")</f>
        <v/>
      </c>
      <c r="P6" s="5" t="str">
        <f t="shared" ref="P6:P35" si="3">IFERROR(IF(J6&gt;0,M6/J6,""),"")</f>
        <v/>
      </c>
      <c r="Q6" s="16" t="str">
        <f t="shared" ref="Q6:Q35" si="4">IFERROR(IF(E6&gt;0,D6/E6,""),"")</f>
        <v/>
      </c>
    </row>
    <row r="7" spans="1:17" ht="21.75" customHeight="1" x14ac:dyDescent="0.2">
      <c r="A7" s="38">
        <v>46328</v>
      </c>
      <c r="B7" s="39" t="s">
        <v>439</v>
      </c>
      <c r="C7" s="40"/>
      <c r="D7" s="40"/>
      <c r="E7" s="40"/>
      <c r="F7" s="40"/>
      <c r="G7" s="40"/>
      <c r="H7" s="40"/>
      <c r="I7" s="40"/>
      <c r="J7" s="40"/>
      <c r="K7" s="40"/>
      <c r="L7" s="41"/>
      <c r="M7" s="5" t="str">
        <f t="shared" si="0"/>
        <v/>
      </c>
      <c r="N7" s="5" t="str">
        <f t="shared" si="1"/>
        <v/>
      </c>
      <c r="O7" s="5" t="str">
        <f t="shared" si="2"/>
        <v/>
      </c>
      <c r="P7" s="5" t="str">
        <f t="shared" si="3"/>
        <v/>
      </c>
      <c r="Q7" s="16" t="str">
        <f t="shared" si="4"/>
        <v/>
      </c>
    </row>
    <row r="8" spans="1:17" ht="21.75" customHeight="1" x14ac:dyDescent="0.2">
      <c r="A8" s="38">
        <v>46329</v>
      </c>
      <c r="B8" s="39" t="s">
        <v>440</v>
      </c>
      <c r="C8" s="40"/>
      <c r="D8" s="40"/>
      <c r="E8" s="40"/>
      <c r="F8" s="40"/>
      <c r="G8" s="40"/>
      <c r="H8" s="40"/>
      <c r="I8" s="40"/>
      <c r="J8" s="40"/>
      <c r="K8" s="40"/>
      <c r="L8" s="41"/>
      <c r="M8" s="5" t="str">
        <f t="shared" si="0"/>
        <v/>
      </c>
      <c r="N8" s="5" t="str">
        <f t="shared" si="1"/>
        <v/>
      </c>
      <c r="O8" s="5" t="str">
        <f t="shared" si="2"/>
        <v/>
      </c>
      <c r="P8" s="5" t="str">
        <f t="shared" si="3"/>
        <v/>
      </c>
      <c r="Q8" s="16" t="str">
        <f t="shared" si="4"/>
        <v/>
      </c>
    </row>
    <row r="9" spans="1:17" ht="21.75" customHeight="1" x14ac:dyDescent="0.2">
      <c r="A9" s="38">
        <v>46330</v>
      </c>
      <c r="B9" s="39" t="s">
        <v>441</v>
      </c>
      <c r="C9" s="40"/>
      <c r="D9" s="40"/>
      <c r="E9" s="40"/>
      <c r="F9" s="40"/>
      <c r="G9" s="40"/>
      <c r="H9" s="40"/>
      <c r="I9" s="40"/>
      <c r="J9" s="40"/>
      <c r="K9" s="40"/>
      <c r="L9" s="41"/>
      <c r="M9" s="5" t="str">
        <f t="shared" si="0"/>
        <v/>
      </c>
      <c r="N9" s="5" t="str">
        <f t="shared" si="1"/>
        <v/>
      </c>
      <c r="O9" s="5" t="str">
        <f t="shared" si="2"/>
        <v/>
      </c>
      <c r="P9" s="5" t="str">
        <f t="shared" si="3"/>
        <v/>
      </c>
      <c r="Q9" s="16" t="str">
        <f t="shared" si="4"/>
        <v/>
      </c>
    </row>
    <row r="10" spans="1:17" ht="21.75" customHeight="1" x14ac:dyDescent="0.2">
      <c r="A10" s="42">
        <v>46331</v>
      </c>
      <c r="B10" s="43" t="s">
        <v>442</v>
      </c>
      <c r="C10" s="40"/>
      <c r="D10" s="40"/>
      <c r="E10" s="40"/>
      <c r="F10" s="40"/>
      <c r="G10" s="40"/>
      <c r="H10" s="40"/>
      <c r="I10" s="40"/>
      <c r="J10" s="40"/>
      <c r="K10" s="40"/>
      <c r="L10" s="41"/>
      <c r="M10" s="5" t="str">
        <f t="shared" si="0"/>
        <v/>
      </c>
      <c r="N10" s="5" t="str">
        <f t="shared" si="1"/>
        <v/>
      </c>
      <c r="O10" s="5" t="str">
        <f t="shared" si="2"/>
        <v/>
      </c>
      <c r="P10" s="5" t="str">
        <f t="shared" si="3"/>
        <v/>
      </c>
      <c r="Q10" s="16" t="str">
        <f t="shared" si="4"/>
        <v/>
      </c>
    </row>
    <row r="11" spans="1:17" ht="21.75" customHeight="1" x14ac:dyDescent="0.2">
      <c r="A11" s="42">
        <v>46332</v>
      </c>
      <c r="B11" s="43" t="s">
        <v>443</v>
      </c>
      <c r="C11" s="40"/>
      <c r="D11" s="40"/>
      <c r="E11" s="40"/>
      <c r="F11" s="40"/>
      <c r="G11" s="40"/>
      <c r="H11" s="40"/>
      <c r="I11" s="40"/>
      <c r="J11" s="40"/>
      <c r="K11" s="40"/>
      <c r="L11" s="41"/>
      <c r="M11" s="5" t="str">
        <f t="shared" si="0"/>
        <v/>
      </c>
      <c r="N11" s="5" t="str">
        <f t="shared" si="1"/>
        <v/>
      </c>
      <c r="O11" s="5" t="str">
        <f t="shared" si="2"/>
        <v/>
      </c>
      <c r="P11" s="5" t="str">
        <f t="shared" si="3"/>
        <v/>
      </c>
      <c r="Q11" s="16" t="str">
        <f t="shared" si="4"/>
        <v/>
      </c>
    </row>
    <row r="12" spans="1:17" ht="21.75" customHeight="1" x14ac:dyDescent="0.2">
      <c r="A12" s="38">
        <v>46333</v>
      </c>
      <c r="B12" s="39" t="s">
        <v>444</v>
      </c>
      <c r="C12" s="40"/>
      <c r="D12" s="40"/>
      <c r="E12" s="40"/>
      <c r="F12" s="40"/>
      <c r="G12" s="40"/>
      <c r="H12" s="40"/>
      <c r="I12" s="40"/>
      <c r="J12" s="40"/>
      <c r="K12" s="40"/>
      <c r="L12" s="41"/>
      <c r="M12" s="5" t="str">
        <f t="shared" si="0"/>
        <v/>
      </c>
      <c r="N12" s="5" t="str">
        <f t="shared" si="1"/>
        <v/>
      </c>
      <c r="O12" s="5" t="str">
        <f t="shared" si="2"/>
        <v/>
      </c>
      <c r="P12" s="5" t="str">
        <f t="shared" si="3"/>
        <v/>
      </c>
      <c r="Q12" s="16" t="str">
        <f t="shared" si="4"/>
        <v/>
      </c>
    </row>
    <row r="13" spans="1:17" ht="21.75" customHeight="1" x14ac:dyDescent="0.2">
      <c r="A13" s="38">
        <v>46334</v>
      </c>
      <c r="B13" s="39" t="s">
        <v>445</v>
      </c>
      <c r="C13" s="40"/>
      <c r="D13" s="40"/>
      <c r="E13" s="40"/>
      <c r="F13" s="40"/>
      <c r="G13" s="40"/>
      <c r="H13" s="40"/>
      <c r="I13" s="40"/>
      <c r="J13" s="40"/>
      <c r="K13" s="40"/>
      <c r="L13" s="41"/>
      <c r="M13" s="5" t="str">
        <f t="shared" si="0"/>
        <v/>
      </c>
      <c r="N13" s="5" t="str">
        <f t="shared" si="1"/>
        <v/>
      </c>
      <c r="O13" s="5" t="str">
        <f t="shared" si="2"/>
        <v/>
      </c>
      <c r="P13" s="5" t="str">
        <f t="shared" si="3"/>
        <v/>
      </c>
      <c r="Q13" s="16" t="str">
        <f t="shared" si="4"/>
        <v/>
      </c>
    </row>
    <row r="14" spans="1:17" ht="21.75" customHeight="1" x14ac:dyDescent="0.2">
      <c r="A14" s="38">
        <v>46335</v>
      </c>
      <c r="B14" s="39" t="s">
        <v>439</v>
      </c>
      <c r="C14" s="40"/>
      <c r="D14" s="40"/>
      <c r="E14" s="40"/>
      <c r="F14" s="40"/>
      <c r="G14" s="40"/>
      <c r="H14" s="40"/>
      <c r="I14" s="40"/>
      <c r="J14" s="40"/>
      <c r="K14" s="40"/>
      <c r="L14" s="41"/>
      <c r="M14" s="5" t="str">
        <f t="shared" si="0"/>
        <v/>
      </c>
      <c r="N14" s="5" t="str">
        <f t="shared" si="1"/>
        <v/>
      </c>
      <c r="O14" s="5" t="str">
        <f t="shared" si="2"/>
        <v/>
      </c>
      <c r="P14" s="5" t="str">
        <f t="shared" si="3"/>
        <v/>
      </c>
      <c r="Q14" s="16" t="str">
        <f t="shared" si="4"/>
        <v/>
      </c>
    </row>
    <row r="15" spans="1:17" ht="21.75" customHeight="1" x14ac:dyDescent="0.2">
      <c r="A15" s="38">
        <v>46336</v>
      </c>
      <c r="B15" s="39" t="s">
        <v>440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  <c r="M15" s="5" t="str">
        <f t="shared" si="0"/>
        <v/>
      </c>
      <c r="N15" s="5" t="str">
        <f t="shared" si="1"/>
        <v/>
      </c>
      <c r="O15" s="5" t="str">
        <f t="shared" si="2"/>
        <v/>
      </c>
      <c r="P15" s="5" t="str">
        <f t="shared" si="3"/>
        <v/>
      </c>
      <c r="Q15" s="16" t="str">
        <f t="shared" si="4"/>
        <v/>
      </c>
    </row>
    <row r="16" spans="1:17" ht="21.75" customHeight="1" x14ac:dyDescent="0.2">
      <c r="A16" s="38">
        <v>46337</v>
      </c>
      <c r="B16" s="39" t="s">
        <v>441</v>
      </c>
      <c r="C16" s="40"/>
      <c r="D16" s="40"/>
      <c r="E16" s="40"/>
      <c r="F16" s="40"/>
      <c r="G16" s="40"/>
      <c r="H16" s="40"/>
      <c r="I16" s="40"/>
      <c r="J16" s="40"/>
      <c r="K16" s="40"/>
      <c r="L16" s="41"/>
      <c r="M16" s="5" t="str">
        <f t="shared" si="0"/>
        <v/>
      </c>
      <c r="N16" s="5" t="str">
        <f t="shared" si="1"/>
        <v/>
      </c>
      <c r="O16" s="5" t="str">
        <f t="shared" si="2"/>
        <v/>
      </c>
      <c r="P16" s="5" t="str">
        <f t="shared" si="3"/>
        <v/>
      </c>
      <c r="Q16" s="16" t="str">
        <f t="shared" si="4"/>
        <v/>
      </c>
    </row>
    <row r="17" spans="1:17" ht="21.75" customHeight="1" x14ac:dyDescent="0.2">
      <c r="A17" s="42">
        <v>46338</v>
      </c>
      <c r="B17" s="43" t="s">
        <v>442</v>
      </c>
      <c r="C17" s="40"/>
      <c r="D17" s="40"/>
      <c r="E17" s="40"/>
      <c r="F17" s="40"/>
      <c r="G17" s="40"/>
      <c r="H17" s="40"/>
      <c r="I17" s="40"/>
      <c r="J17" s="40"/>
      <c r="K17" s="40"/>
      <c r="L17" s="41"/>
      <c r="M17" s="5" t="str">
        <f t="shared" si="0"/>
        <v/>
      </c>
      <c r="N17" s="5" t="str">
        <f t="shared" si="1"/>
        <v/>
      </c>
      <c r="O17" s="5" t="str">
        <f t="shared" si="2"/>
        <v/>
      </c>
      <c r="P17" s="5" t="str">
        <f t="shared" si="3"/>
        <v/>
      </c>
      <c r="Q17" s="16" t="str">
        <f t="shared" si="4"/>
        <v/>
      </c>
    </row>
    <row r="18" spans="1:17" ht="21.75" customHeight="1" x14ac:dyDescent="0.2">
      <c r="A18" s="42">
        <v>46339</v>
      </c>
      <c r="B18" s="43" t="s">
        <v>443</v>
      </c>
      <c r="C18" s="40"/>
      <c r="D18" s="40"/>
      <c r="E18" s="40"/>
      <c r="F18" s="40"/>
      <c r="G18" s="40"/>
      <c r="H18" s="40"/>
      <c r="I18" s="40"/>
      <c r="J18" s="40"/>
      <c r="K18" s="40"/>
      <c r="L18" s="41"/>
      <c r="M18" s="5" t="str">
        <f t="shared" si="0"/>
        <v/>
      </c>
      <c r="N18" s="5" t="str">
        <f t="shared" si="1"/>
        <v/>
      </c>
      <c r="O18" s="5" t="str">
        <f t="shared" si="2"/>
        <v/>
      </c>
      <c r="P18" s="5" t="str">
        <f t="shared" si="3"/>
        <v/>
      </c>
      <c r="Q18" s="16" t="str">
        <f t="shared" si="4"/>
        <v/>
      </c>
    </row>
    <row r="19" spans="1:17" ht="21.75" customHeight="1" x14ac:dyDescent="0.2">
      <c r="A19" s="38">
        <v>46340</v>
      </c>
      <c r="B19" s="39" t="s">
        <v>444</v>
      </c>
      <c r="C19" s="40"/>
      <c r="D19" s="40"/>
      <c r="E19" s="40"/>
      <c r="F19" s="40"/>
      <c r="G19" s="40"/>
      <c r="H19" s="40"/>
      <c r="I19" s="40"/>
      <c r="J19" s="40"/>
      <c r="K19" s="40"/>
      <c r="L19" s="41"/>
      <c r="M19" s="5" t="str">
        <f t="shared" si="0"/>
        <v/>
      </c>
      <c r="N19" s="5" t="str">
        <f t="shared" si="1"/>
        <v/>
      </c>
      <c r="O19" s="5" t="str">
        <f t="shared" si="2"/>
        <v/>
      </c>
      <c r="P19" s="5" t="str">
        <f t="shared" si="3"/>
        <v/>
      </c>
      <c r="Q19" s="16" t="str">
        <f t="shared" si="4"/>
        <v/>
      </c>
    </row>
    <row r="20" spans="1:17" ht="21.75" customHeight="1" x14ac:dyDescent="0.2">
      <c r="A20" s="38">
        <v>46341</v>
      </c>
      <c r="B20" s="39" t="s">
        <v>445</v>
      </c>
      <c r="C20" s="40"/>
      <c r="D20" s="40"/>
      <c r="E20" s="40"/>
      <c r="F20" s="40"/>
      <c r="G20" s="40"/>
      <c r="H20" s="40"/>
      <c r="I20" s="40"/>
      <c r="J20" s="40"/>
      <c r="K20" s="40"/>
      <c r="L20" s="41"/>
      <c r="M20" s="5" t="str">
        <f t="shared" si="0"/>
        <v/>
      </c>
      <c r="N20" s="5" t="str">
        <f t="shared" si="1"/>
        <v/>
      </c>
      <c r="O20" s="5" t="str">
        <f t="shared" si="2"/>
        <v/>
      </c>
      <c r="P20" s="5" t="str">
        <f t="shared" si="3"/>
        <v/>
      </c>
      <c r="Q20" s="16" t="str">
        <f t="shared" si="4"/>
        <v/>
      </c>
    </row>
    <row r="21" spans="1:17" ht="21.75" customHeight="1" x14ac:dyDescent="0.2">
      <c r="A21" s="38">
        <v>46342</v>
      </c>
      <c r="B21" s="39" t="s">
        <v>439</v>
      </c>
      <c r="C21" s="40"/>
      <c r="D21" s="40"/>
      <c r="E21" s="40"/>
      <c r="F21" s="40"/>
      <c r="G21" s="40"/>
      <c r="H21" s="40"/>
      <c r="I21" s="40"/>
      <c r="J21" s="40"/>
      <c r="K21" s="40"/>
      <c r="L21" s="41"/>
      <c r="M21" s="5" t="str">
        <f t="shared" si="0"/>
        <v/>
      </c>
      <c r="N21" s="5" t="str">
        <f t="shared" si="1"/>
        <v/>
      </c>
      <c r="O21" s="5" t="str">
        <f t="shared" si="2"/>
        <v/>
      </c>
      <c r="P21" s="5" t="str">
        <f t="shared" si="3"/>
        <v/>
      </c>
      <c r="Q21" s="16" t="str">
        <f t="shared" si="4"/>
        <v/>
      </c>
    </row>
    <row r="22" spans="1:17" ht="21.75" customHeight="1" x14ac:dyDescent="0.2">
      <c r="A22" s="38">
        <v>46343</v>
      </c>
      <c r="B22" s="39" t="s">
        <v>440</v>
      </c>
      <c r="C22" s="40"/>
      <c r="D22" s="40"/>
      <c r="E22" s="40"/>
      <c r="F22" s="40"/>
      <c r="G22" s="40"/>
      <c r="H22" s="40"/>
      <c r="I22" s="40"/>
      <c r="J22" s="40"/>
      <c r="K22" s="40"/>
      <c r="L22" s="41"/>
      <c r="M22" s="5" t="str">
        <f t="shared" si="0"/>
        <v/>
      </c>
      <c r="N22" s="5" t="str">
        <f t="shared" si="1"/>
        <v/>
      </c>
      <c r="O22" s="5" t="str">
        <f t="shared" si="2"/>
        <v/>
      </c>
      <c r="P22" s="5" t="str">
        <f t="shared" si="3"/>
        <v/>
      </c>
      <c r="Q22" s="16" t="str">
        <f t="shared" si="4"/>
        <v/>
      </c>
    </row>
    <row r="23" spans="1:17" ht="21.75" customHeight="1" x14ac:dyDescent="0.2">
      <c r="A23" s="38">
        <v>46344</v>
      </c>
      <c r="B23" s="39" t="s">
        <v>441</v>
      </c>
      <c r="C23" s="40"/>
      <c r="D23" s="40"/>
      <c r="E23" s="40"/>
      <c r="F23" s="40"/>
      <c r="G23" s="40"/>
      <c r="H23" s="40"/>
      <c r="I23" s="40"/>
      <c r="J23" s="40"/>
      <c r="K23" s="40"/>
      <c r="L23" s="41"/>
      <c r="M23" s="5" t="str">
        <f t="shared" si="0"/>
        <v/>
      </c>
      <c r="N23" s="5" t="str">
        <f t="shared" si="1"/>
        <v/>
      </c>
      <c r="O23" s="5" t="str">
        <f t="shared" si="2"/>
        <v/>
      </c>
      <c r="P23" s="5" t="str">
        <f t="shared" si="3"/>
        <v/>
      </c>
      <c r="Q23" s="16" t="str">
        <f t="shared" si="4"/>
        <v/>
      </c>
    </row>
    <row r="24" spans="1:17" ht="21.75" customHeight="1" x14ac:dyDescent="0.2">
      <c r="A24" s="42">
        <v>46345</v>
      </c>
      <c r="B24" s="43" t="s">
        <v>442</v>
      </c>
      <c r="C24" s="40"/>
      <c r="D24" s="40"/>
      <c r="E24" s="40"/>
      <c r="F24" s="40"/>
      <c r="G24" s="40"/>
      <c r="H24" s="40"/>
      <c r="I24" s="40"/>
      <c r="J24" s="40"/>
      <c r="K24" s="40"/>
      <c r="L24" s="41"/>
      <c r="M24" s="5" t="str">
        <f t="shared" si="0"/>
        <v/>
      </c>
      <c r="N24" s="5" t="str">
        <f t="shared" si="1"/>
        <v/>
      </c>
      <c r="O24" s="5" t="str">
        <f t="shared" si="2"/>
        <v/>
      </c>
      <c r="P24" s="5" t="str">
        <f t="shared" si="3"/>
        <v/>
      </c>
      <c r="Q24" s="16" t="str">
        <f t="shared" si="4"/>
        <v/>
      </c>
    </row>
    <row r="25" spans="1:17" ht="21.75" customHeight="1" x14ac:dyDescent="0.2">
      <c r="A25" s="42">
        <v>46346</v>
      </c>
      <c r="B25" s="43" t="s">
        <v>443</v>
      </c>
      <c r="C25" s="40"/>
      <c r="D25" s="40"/>
      <c r="E25" s="40"/>
      <c r="F25" s="40"/>
      <c r="G25" s="40"/>
      <c r="H25" s="40"/>
      <c r="I25" s="40"/>
      <c r="J25" s="40"/>
      <c r="K25" s="40"/>
      <c r="L25" s="41"/>
      <c r="M25" s="5" t="str">
        <f t="shared" si="0"/>
        <v/>
      </c>
      <c r="N25" s="5" t="str">
        <f t="shared" si="1"/>
        <v/>
      </c>
      <c r="O25" s="5" t="str">
        <f t="shared" si="2"/>
        <v/>
      </c>
      <c r="P25" s="5" t="str">
        <f t="shared" si="3"/>
        <v/>
      </c>
      <c r="Q25" s="16" t="str">
        <f t="shared" si="4"/>
        <v/>
      </c>
    </row>
    <row r="26" spans="1:17" ht="21.75" customHeight="1" x14ac:dyDescent="0.2">
      <c r="A26" s="38">
        <v>46347</v>
      </c>
      <c r="B26" s="39" t="s">
        <v>444</v>
      </c>
      <c r="C26" s="40"/>
      <c r="D26" s="40"/>
      <c r="E26" s="40"/>
      <c r="F26" s="40"/>
      <c r="G26" s="40"/>
      <c r="H26" s="40"/>
      <c r="I26" s="40"/>
      <c r="J26" s="40"/>
      <c r="K26" s="40"/>
      <c r="L26" s="41"/>
      <c r="M26" s="5" t="str">
        <f t="shared" si="0"/>
        <v/>
      </c>
      <c r="N26" s="5" t="str">
        <f t="shared" si="1"/>
        <v/>
      </c>
      <c r="O26" s="5" t="str">
        <f t="shared" si="2"/>
        <v/>
      </c>
      <c r="P26" s="5" t="str">
        <f t="shared" si="3"/>
        <v/>
      </c>
      <c r="Q26" s="16" t="str">
        <f t="shared" si="4"/>
        <v/>
      </c>
    </row>
    <row r="27" spans="1:17" ht="21.75" customHeight="1" x14ac:dyDescent="0.2">
      <c r="A27" s="38">
        <v>46348</v>
      </c>
      <c r="B27" s="39" t="s">
        <v>445</v>
      </c>
      <c r="C27" s="40"/>
      <c r="D27" s="40"/>
      <c r="E27" s="40"/>
      <c r="F27" s="40"/>
      <c r="G27" s="40"/>
      <c r="H27" s="40"/>
      <c r="I27" s="40"/>
      <c r="J27" s="40"/>
      <c r="K27" s="40"/>
      <c r="L27" s="41"/>
      <c r="M27" s="5" t="str">
        <f t="shared" si="0"/>
        <v/>
      </c>
      <c r="N27" s="5" t="str">
        <f t="shared" si="1"/>
        <v/>
      </c>
      <c r="O27" s="5" t="str">
        <f t="shared" si="2"/>
        <v/>
      </c>
      <c r="P27" s="5" t="str">
        <f t="shared" si="3"/>
        <v/>
      </c>
      <c r="Q27" s="16" t="str">
        <f t="shared" si="4"/>
        <v/>
      </c>
    </row>
    <row r="28" spans="1:17" ht="21.75" customHeight="1" x14ac:dyDescent="0.2">
      <c r="A28" s="38">
        <v>46349</v>
      </c>
      <c r="B28" s="39" t="s">
        <v>439</v>
      </c>
      <c r="C28" s="40"/>
      <c r="D28" s="40"/>
      <c r="E28" s="40"/>
      <c r="F28" s="40"/>
      <c r="G28" s="40"/>
      <c r="H28" s="40"/>
      <c r="I28" s="40"/>
      <c r="J28" s="40"/>
      <c r="K28" s="40"/>
      <c r="L28" s="41"/>
      <c r="M28" s="5" t="str">
        <f t="shared" si="0"/>
        <v/>
      </c>
      <c r="N28" s="5" t="str">
        <f t="shared" si="1"/>
        <v/>
      </c>
      <c r="O28" s="5" t="str">
        <f t="shared" si="2"/>
        <v/>
      </c>
      <c r="P28" s="5" t="str">
        <f t="shared" si="3"/>
        <v/>
      </c>
      <c r="Q28" s="16" t="str">
        <f t="shared" si="4"/>
        <v/>
      </c>
    </row>
    <row r="29" spans="1:17" ht="21.75" customHeight="1" x14ac:dyDescent="0.2">
      <c r="A29" s="38">
        <v>46350</v>
      </c>
      <c r="B29" s="39" t="s">
        <v>440</v>
      </c>
      <c r="C29" s="40"/>
      <c r="D29" s="40"/>
      <c r="E29" s="40"/>
      <c r="F29" s="40"/>
      <c r="G29" s="40"/>
      <c r="H29" s="40"/>
      <c r="I29" s="40"/>
      <c r="J29" s="40"/>
      <c r="K29" s="40"/>
      <c r="L29" s="41"/>
      <c r="M29" s="5" t="str">
        <f t="shared" si="0"/>
        <v/>
      </c>
      <c r="N29" s="5" t="str">
        <f t="shared" si="1"/>
        <v/>
      </c>
      <c r="O29" s="5" t="str">
        <f t="shared" si="2"/>
        <v/>
      </c>
      <c r="P29" s="5" t="str">
        <f t="shared" si="3"/>
        <v/>
      </c>
      <c r="Q29" s="16" t="str">
        <f t="shared" si="4"/>
        <v/>
      </c>
    </row>
    <row r="30" spans="1:17" ht="21.75" customHeight="1" x14ac:dyDescent="0.2">
      <c r="A30" s="38">
        <v>46351</v>
      </c>
      <c r="B30" s="39" t="s">
        <v>441</v>
      </c>
      <c r="C30" s="40"/>
      <c r="D30" s="40"/>
      <c r="E30" s="40"/>
      <c r="F30" s="40"/>
      <c r="G30" s="40"/>
      <c r="H30" s="40"/>
      <c r="I30" s="40"/>
      <c r="J30" s="40"/>
      <c r="K30" s="40"/>
      <c r="L30" s="41"/>
      <c r="M30" s="5" t="str">
        <f t="shared" si="0"/>
        <v/>
      </c>
      <c r="N30" s="5" t="str">
        <f t="shared" si="1"/>
        <v/>
      </c>
      <c r="O30" s="5" t="str">
        <f t="shared" si="2"/>
        <v/>
      </c>
      <c r="P30" s="5" t="str">
        <f t="shared" si="3"/>
        <v/>
      </c>
      <c r="Q30" s="16" t="str">
        <f t="shared" si="4"/>
        <v/>
      </c>
    </row>
    <row r="31" spans="1:17" ht="21.75" customHeight="1" x14ac:dyDescent="0.2">
      <c r="A31" s="42">
        <v>46352</v>
      </c>
      <c r="B31" s="43" t="s">
        <v>442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  <c r="M31" s="5" t="str">
        <f t="shared" si="0"/>
        <v/>
      </c>
      <c r="N31" s="5" t="str">
        <f t="shared" si="1"/>
        <v/>
      </c>
      <c r="O31" s="5" t="str">
        <f t="shared" si="2"/>
        <v/>
      </c>
      <c r="P31" s="5" t="str">
        <f t="shared" si="3"/>
        <v/>
      </c>
      <c r="Q31" s="16" t="str">
        <f t="shared" si="4"/>
        <v/>
      </c>
    </row>
    <row r="32" spans="1:17" ht="21.75" customHeight="1" x14ac:dyDescent="0.2">
      <c r="A32" s="42">
        <v>46353</v>
      </c>
      <c r="B32" s="43" t="s">
        <v>443</v>
      </c>
      <c r="C32" s="40"/>
      <c r="D32" s="40"/>
      <c r="E32" s="40"/>
      <c r="F32" s="40"/>
      <c r="G32" s="40"/>
      <c r="H32" s="40"/>
      <c r="I32" s="40"/>
      <c r="J32" s="40"/>
      <c r="K32" s="40"/>
      <c r="L32" s="41"/>
      <c r="M32" s="5" t="str">
        <f t="shared" si="0"/>
        <v/>
      </c>
      <c r="N32" s="5" t="str">
        <f t="shared" si="1"/>
        <v/>
      </c>
      <c r="O32" s="5" t="str">
        <f t="shared" si="2"/>
        <v/>
      </c>
      <c r="P32" s="5" t="str">
        <f t="shared" si="3"/>
        <v/>
      </c>
      <c r="Q32" s="16" t="str">
        <f t="shared" si="4"/>
        <v/>
      </c>
    </row>
    <row r="33" spans="1:17" ht="21.75" customHeight="1" x14ac:dyDescent="0.2">
      <c r="A33" s="38">
        <v>46354</v>
      </c>
      <c r="B33" s="39" t="s">
        <v>444</v>
      </c>
      <c r="C33" s="40"/>
      <c r="D33" s="40"/>
      <c r="E33" s="40"/>
      <c r="F33" s="40"/>
      <c r="G33" s="40"/>
      <c r="H33" s="40"/>
      <c r="I33" s="40"/>
      <c r="J33" s="40"/>
      <c r="K33" s="40"/>
      <c r="L33" s="41"/>
      <c r="M33" s="5" t="str">
        <f t="shared" si="0"/>
        <v/>
      </c>
      <c r="N33" s="5" t="str">
        <f t="shared" si="1"/>
        <v/>
      </c>
      <c r="O33" s="5" t="str">
        <f t="shared" si="2"/>
        <v/>
      </c>
      <c r="P33" s="5" t="str">
        <f t="shared" si="3"/>
        <v/>
      </c>
      <c r="Q33" s="16" t="str">
        <f t="shared" si="4"/>
        <v/>
      </c>
    </row>
    <row r="34" spans="1:17" ht="21.75" customHeight="1" x14ac:dyDescent="0.2">
      <c r="A34" s="38">
        <v>46355</v>
      </c>
      <c r="B34" s="39" t="s">
        <v>445</v>
      </c>
      <c r="C34" s="40"/>
      <c r="D34" s="40"/>
      <c r="E34" s="40"/>
      <c r="F34" s="40"/>
      <c r="G34" s="40"/>
      <c r="H34" s="40"/>
      <c r="I34" s="40"/>
      <c r="J34" s="40"/>
      <c r="K34" s="40"/>
      <c r="L34" s="41"/>
      <c r="M34" s="5" t="str">
        <f t="shared" si="0"/>
        <v/>
      </c>
      <c r="N34" s="5" t="str">
        <f t="shared" si="1"/>
        <v/>
      </c>
      <c r="O34" s="5" t="str">
        <f t="shared" si="2"/>
        <v/>
      </c>
      <c r="P34" s="5" t="str">
        <f t="shared" si="3"/>
        <v/>
      </c>
      <c r="Q34" s="16" t="str">
        <f t="shared" si="4"/>
        <v/>
      </c>
    </row>
    <row r="35" spans="1:17" ht="21.75" customHeight="1" x14ac:dyDescent="0.2">
      <c r="A35" s="38">
        <v>46356</v>
      </c>
      <c r="B35" s="39" t="s">
        <v>439</v>
      </c>
      <c r="C35" s="40"/>
      <c r="D35" s="40"/>
      <c r="E35" s="40"/>
      <c r="F35" s="40"/>
      <c r="G35" s="40"/>
      <c r="H35" s="40"/>
      <c r="I35" s="40"/>
      <c r="J35" s="40"/>
      <c r="K35" s="40"/>
      <c r="L35" s="41"/>
      <c r="M35" s="5" t="str">
        <f t="shared" si="0"/>
        <v/>
      </c>
      <c r="N35" s="5" t="str">
        <f t="shared" si="1"/>
        <v/>
      </c>
      <c r="O35" s="5" t="str">
        <f t="shared" si="2"/>
        <v/>
      </c>
      <c r="P35" s="5" t="str">
        <f t="shared" si="3"/>
        <v/>
      </c>
      <c r="Q35" s="16" t="str">
        <f t="shared" si="4"/>
        <v/>
      </c>
    </row>
    <row r="36" spans="1:17" ht="18.75" customHeight="1" x14ac:dyDescent="0.2"/>
    <row r="37" spans="1:17" ht="18.75" customHeight="1" x14ac:dyDescent="0.2"/>
    <row r="38" spans="1:17" ht="18.75" customHeight="1" x14ac:dyDescent="0.2"/>
    <row r="39" spans="1:17" ht="18.75" customHeight="1" x14ac:dyDescent="0.2"/>
    <row r="40" spans="1:17" ht="18.75" customHeight="1" x14ac:dyDescent="0.2"/>
    <row r="41" spans="1:17" ht="18.75" customHeight="1" x14ac:dyDescent="0.2"/>
    <row r="42" spans="1:17" ht="18.75" customHeight="1" x14ac:dyDescent="0.2"/>
    <row r="43" spans="1:17" ht="18.75" customHeight="1" x14ac:dyDescent="0.2"/>
    <row r="44" spans="1:17" ht="18.75" customHeight="1" x14ac:dyDescent="0.2"/>
    <row r="45" spans="1:17" ht="18.75" customHeight="1" x14ac:dyDescent="0.2"/>
    <row r="46" spans="1:17" ht="18.75" customHeight="1" x14ac:dyDescent="0.2"/>
    <row r="47" spans="1:17" ht="18.75" customHeight="1" x14ac:dyDescent="0.2"/>
    <row r="48" spans="1:17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9">
    <mergeCell ref="A1:Q1"/>
    <mergeCell ref="E3:F3"/>
    <mergeCell ref="O3:P3"/>
    <mergeCell ref="G3:J3"/>
    <mergeCell ref="A5:B5"/>
    <mergeCell ref="A2:Q2"/>
    <mergeCell ref="M3:N3"/>
    <mergeCell ref="C3:D3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9"/>
  <sheetViews>
    <sheetView workbookViewId="0"/>
  </sheetViews>
  <sheetFormatPr baseColWidth="10" defaultColWidth="9" defaultRowHeight="14" x14ac:dyDescent="0.2"/>
  <cols>
    <col min="1" max="1" width="10" customWidth="1"/>
    <col min="2" max="2" width="26" customWidth="1"/>
    <col min="3" max="3" width="18" customWidth="1"/>
    <col min="4" max="4" width="17" customWidth="1"/>
    <col min="5" max="5" width="9" customWidth="1"/>
    <col min="6" max="6" width="10" customWidth="1"/>
    <col min="7" max="8" width="14" customWidth="1"/>
    <col min="9" max="9" width="9" customWidth="1"/>
    <col min="10" max="11" width="17" customWidth="1"/>
    <col min="12" max="12" width="9" customWidth="1"/>
    <col min="13" max="13" width="17" customWidth="1"/>
    <col min="14" max="14" width="20" customWidth="1"/>
  </cols>
  <sheetData>
    <row r="1" spans="1:14" ht="22" customHeight="1" x14ac:dyDescent="0.2">
      <c r="A1" s="165" t="s">
        <v>542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</row>
    <row r="2" spans="1:14" ht="16" customHeight="1" x14ac:dyDescent="0.2">
      <c r="A2" s="164" t="s">
        <v>456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</row>
    <row r="3" spans="1:14" ht="30" customHeight="1" x14ac:dyDescent="0.2">
      <c r="A3" s="106" t="s">
        <v>457</v>
      </c>
      <c r="B3" s="106" t="s">
        <v>421</v>
      </c>
      <c r="C3" s="106" t="s">
        <v>423</v>
      </c>
      <c r="D3" s="107" t="s">
        <v>525</v>
      </c>
      <c r="E3" s="108" t="s">
        <v>526</v>
      </c>
      <c r="F3" s="106" t="s">
        <v>424</v>
      </c>
      <c r="G3" s="106" t="s">
        <v>458</v>
      </c>
      <c r="H3" s="109" t="s">
        <v>426</v>
      </c>
      <c r="I3" s="109" t="s">
        <v>459</v>
      </c>
      <c r="J3" s="110" t="s">
        <v>460</v>
      </c>
      <c r="K3" s="107" t="s">
        <v>527</v>
      </c>
      <c r="L3" s="108" t="s">
        <v>528</v>
      </c>
      <c r="M3" s="108" t="s">
        <v>461</v>
      </c>
      <c r="N3" s="111" t="s">
        <v>432</v>
      </c>
    </row>
    <row r="4" spans="1:14" ht="18" customHeight="1" x14ac:dyDescent="0.2">
      <c r="A4" s="112" t="s">
        <v>464</v>
      </c>
      <c r="B4" s="113" t="s">
        <v>543</v>
      </c>
      <c r="C4" s="114">
        <f>IFERROR(SUM('📅 DAILY T11'!C6:C6),0)</f>
        <v>0</v>
      </c>
      <c r="D4" s="115">
        <v>54171299</v>
      </c>
      <c r="E4" s="116">
        <f t="shared" ref="E4:E9" si="0">IFERROR(IF(D4&gt;0,C4/D4,""),"")</f>
        <v>0</v>
      </c>
      <c r="F4" s="114">
        <f>IFERROR(SUM('📅 DAILY T11'!D6:D6),0)</f>
        <v>0</v>
      </c>
      <c r="G4" s="114" t="str">
        <f t="shared" ref="G4:G9" si="1">IFERROR(IF(F4&gt;0,C4/F4,""),"")</f>
        <v/>
      </c>
      <c r="H4" s="117">
        <f>IFERROR(SUM('📅 DAILY T11'!F6:F6),0)</f>
        <v>0</v>
      </c>
      <c r="I4" s="118" t="str">
        <f t="shared" ref="I4:I9" si="2">IFERROR(IF(H4&gt;0,C4/H4,""),"")</f>
        <v/>
      </c>
      <c r="J4" s="119">
        <f>IFERROR(SUM('📅 DAILY T11'!M6:M6),0)</f>
        <v>0</v>
      </c>
      <c r="K4" s="115">
        <v>26681386</v>
      </c>
      <c r="L4" s="116">
        <f t="shared" ref="L4:L9" si="3">IFERROR(IF(K4&gt;0,J4/K4,""),"")</f>
        <v>0</v>
      </c>
      <c r="M4" s="120">
        <f t="shared" ref="M4:M9" si="4">IFERROR(C4+J4,"")</f>
        <v>0</v>
      </c>
      <c r="N4" s="121"/>
    </row>
    <row r="5" spans="1:14" ht="18" customHeight="1" x14ac:dyDescent="0.2">
      <c r="A5" s="112" t="s">
        <v>466</v>
      </c>
      <c r="B5" s="113" t="s">
        <v>544</v>
      </c>
      <c r="C5" s="114">
        <f>IFERROR(SUM('📅 DAILY T11'!C7:C13),0)</f>
        <v>0</v>
      </c>
      <c r="D5" s="115">
        <v>379199095</v>
      </c>
      <c r="E5" s="116">
        <f t="shared" si="0"/>
        <v>0</v>
      </c>
      <c r="F5" s="114">
        <f>IFERROR(SUM('📅 DAILY T11'!D7:D13),0)</f>
        <v>0</v>
      </c>
      <c r="G5" s="114" t="str">
        <f t="shared" si="1"/>
        <v/>
      </c>
      <c r="H5" s="117">
        <f>IFERROR(SUM('📅 DAILY T11'!F7:F13),0)</f>
        <v>0</v>
      </c>
      <c r="I5" s="118" t="str">
        <f t="shared" si="2"/>
        <v/>
      </c>
      <c r="J5" s="119">
        <f>IFERROR(SUM('📅 DAILY T11'!M7:M13),0)</f>
        <v>0</v>
      </c>
      <c r="K5" s="115">
        <v>186769704</v>
      </c>
      <c r="L5" s="116">
        <f t="shared" si="3"/>
        <v>0</v>
      </c>
      <c r="M5" s="120">
        <f t="shared" si="4"/>
        <v>0</v>
      </c>
      <c r="N5" s="121"/>
    </row>
    <row r="6" spans="1:14" ht="18" customHeight="1" x14ac:dyDescent="0.2">
      <c r="A6" s="112" t="s">
        <v>468</v>
      </c>
      <c r="B6" s="113" t="s">
        <v>545</v>
      </c>
      <c r="C6" s="114">
        <f>IFERROR(SUM('📅 DAILY T11'!C14:C20),0)</f>
        <v>0</v>
      </c>
      <c r="D6" s="115">
        <v>379199095</v>
      </c>
      <c r="E6" s="116">
        <f t="shared" si="0"/>
        <v>0</v>
      </c>
      <c r="F6" s="114">
        <f>IFERROR(SUM('📅 DAILY T11'!D14:D20),0)</f>
        <v>0</v>
      </c>
      <c r="G6" s="114" t="str">
        <f t="shared" si="1"/>
        <v/>
      </c>
      <c r="H6" s="117">
        <f>IFERROR(SUM('📅 DAILY T11'!F14:F20),0)</f>
        <v>0</v>
      </c>
      <c r="I6" s="118" t="str">
        <f t="shared" si="2"/>
        <v/>
      </c>
      <c r="J6" s="119">
        <f>IFERROR(SUM('📅 DAILY T11'!M14:M20),0)</f>
        <v>0</v>
      </c>
      <c r="K6" s="115">
        <v>186769704</v>
      </c>
      <c r="L6" s="116">
        <f t="shared" si="3"/>
        <v>0</v>
      </c>
      <c r="M6" s="120">
        <f t="shared" si="4"/>
        <v>0</v>
      </c>
      <c r="N6" s="121"/>
    </row>
    <row r="7" spans="1:14" ht="18" customHeight="1" x14ac:dyDescent="0.2">
      <c r="A7" s="112" t="s">
        <v>470</v>
      </c>
      <c r="B7" s="113" t="s">
        <v>546</v>
      </c>
      <c r="C7" s="114">
        <f>IFERROR(SUM('📅 DAILY T11'!C21:C27),0)</f>
        <v>0</v>
      </c>
      <c r="D7" s="115">
        <v>379199095</v>
      </c>
      <c r="E7" s="116">
        <f t="shared" si="0"/>
        <v>0</v>
      </c>
      <c r="F7" s="114">
        <f>IFERROR(SUM('📅 DAILY T11'!D21:D27),0)</f>
        <v>0</v>
      </c>
      <c r="G7" s="114" t="str">
        <f t="shared" si="1"/>
        <v/>
      </c>
      <c r="H7" s="117">
        <f>IFERROR(SUM('📅 DAILY T11'!F21:F27),0)</f>
        <v>0</v>
      </c>
      <c r="I7" s="118" t="str">
        <f t="shared" si="2"/>
        <v/>
      </c>
      <c r="J7" s="119">
        <f>IFERROR(SUM('📅 DAILY T11'!M21:M27),0)</f>
        <v>0</v>
      </c>
      <c r="K7" s="115">
        <v>186769704</v>
      </c>
      <c r="L7" s="116">
        <f t="shared" si="3"/>
        <v>0</v>
      </c>
      <c r="M7" s="120">
        <f t="shared" si="4"/>
        <v>0</v>
      </c>
      <c r="N7" s="121"/>
    </row>
    <row r="8" spans="1:14" ht="18" customHeight="1" x14ac:dyDescent="0.2">
      <c r="A8" s="112" t="s">
        <v>472</v>
      </c>
      <c r="B8" s="113" t="s">
        <v>547</v>
      </c>
      <c r="C8" s="114">
        <f>IFERROR(SUM('📅 DAILY T11'!C28:C34),0)</f>
        <v>0</v>
      </c>
      <c r="D8" s="115">
        <v>379199095</v>
      </c>
      <c r="E8" s="116">
        <f t="shared" si="0"/>
        <v>0</v>
      </c>
      <c r="F8" s="114">
        <f>IFERROR(SUM('📅 DAILY T11'!D28:D34),0)</f>
        <v>0</v>
      </c>
      <c r="G8" s="114" t="str">
        <f t="shared" si="1"/>
        <v/>
      </c>
      <c r="H8" s="117">
        <f>IFERROR(SUM('📅 DAILY T11'!F28:F34),0)</f>
        <v>0</v>
      </c>
      <c r="I8" s="118" t="str">
        <f t="shared" si="2"/>
        <v/>
      </c>
      <c r="J8" s="119">
        <f>IFERROR(SUM('📅 DAILY T11'!M28:M34),0)</f>
        <v>0</v>
      </c>
      <c r="K8" s="115">
        <v>186769704</v>
      </c>
      <c r="L8" s="116">
        <f t="shared" si="3"/>
        <v>0</v>
      </c>
      <c r="M8" s="120">
        <f t="shared" si="4"/>
        <v>0</v>
      </c>
      <c r="N8" s="121"/>
    </row>
    <row r="9" spans="1:14" ht="18" customHeight="1" x14ac:dyDescent="0.2">
      <c r="A9" s="112" t="s">
        <v>521</v>
      </c>
      <c r="B9" s="113" t="s">
        <v>548</v>
      </c>
      <c r="C9" s="114">
        <f>IFERROR(SUM('📅 DAILY T11'!C35:C35),0)</f>
        <v>0</v>
      </c>
      <c r="D9" s="115">
        <v>54171299</v>
      </c>
      <c r="E9" s="116">
        <f t="shared" si="0"/>
        <v>0</v>
      </c>
      <c r="F9" s="114">
        <f>IFERROR(SUM('📅 DAILY T11'!D35:D35),0)</f>
        <v>0</v>
      </c>
      <c r="G9" s="114" t="str">
        <f t="shared" si="1"/>
        <v/>
      </c>
      <c r="H9" s="117">
        <f>IFERROR(SUM('📅 DAILY T11'!F35:F35),0)</f>
        <v>0</v>
      </c>
      <c r="I9" s="118" t="str">
        <f t="shared" si="2"/>
        <v/>
      </c>
      <c r="J9" s="119">
        <f>IFERROR(SUM('📅 DAILY T11'!M35:M35),0)</f>
        <v>0</v>
      </c>
      <c r="K9" s="115">
        <v>26681386</v>
      </c>
      <c r="L9" s="116">
        <f t="shared" si="3"/>
        <v>0</v>
      </c>
      <c r="M9" s="120">
        <f t="shared" si="4"/>
        <v>0</v>
      </c>
      <c r="N9" s="121"/>
    </row>
  </sheetData>
  <mergeCells count="2">
    <mergeCell ref="A2:N2"/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Q200"/>
  <sheetViews>
    <sheetView workbookViewId="0"/>
  </sheetViews>
  <sheetFormatPr baseColWidth="10" defaultColWidth="14" defaultRowHeight="14" x14ac:dyDescent="0.2"/>
  <cols>
    <col min="1" max="1" width="15" customWidth="1"/>
    <col min="2" max="2" width="6" customWidth="1"/>
    <col min="3" max="3" width="19" customWidth="1"/>
    <col min="4" max="4" width="11" customWidth="1"/>
    <col min="5" max="5" width="15" customWidth="1"/>
    <col min="6" max="9" width="17" customWidth="1"/>
    <col min="10" max="10" width="12" customWidth="1"/>
    <col min="11" max="11" width="16" customWidth="1"/>
    <col min="12" max="12" width="27" customWidth="1"/>
    <col min="13" max="14" width="18" customWidth="1"/>
    <col min="15" max="16" width="15" customWidth="1"/>
    <col min="17" max="17" width="12" customWidth="1"/>
    <col min="18" max="20" width="11" customWidth="1"/>
  </cols>
  <sheetData>
    <row r="1" spans="1:17" ht="33" customHeight="1" x14ac:dyDescent="0.2">
      <c r="A1" s="158" t="s">
        <v>549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1.75" customHeight="1" x14ac:dyDescent="0.2">
      <c r="A2" s="146" t="s">
        <v>412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.75" customHeight="1" x14ac:dyDescent="0.2">
      <c r="A3" s="157" t="s">
        <v>413</v>
      </c>
      <c r="B3" s="143"/>
      <c r="C3" s="156" t="s">
        <v>414</v>
      </c>
      <c r="D3" s="143"/>
      <c r="E3" s="159" t="s">
        <v>415</v>
      </c>
      <c r="F3" s="143"/>
      <c r="G3" s="154" t="s">
        <v>416</v>
      </c>
      <c r="H3" s="143"/>
      <c r="I3" s="143"/>
      <c r="J3" s="143"/>
      <c r="K3" s="22" t="s">
        <v>417</v>
      </c>
      <c r="L3" s="23" t="s">
        <v>418</v>
      </c>
      <c r="M3" s="153" t="s">
        <v>419</v>
      </c>
      <c r="N3" s="143"/>
      <c r="O3" s="153" t="s">
        <v>419</v>
      </c>
      <c r="P3" s="143"/>
      <c r="Q3" s="24" t="s">
        <v>420</v>
      </c>
    </row>
    <row r="4" spans="1:17" ht="36" customHeight="1" x14ac:dyDescent="0.2">
      <c r="A4" s="25" t="s">
        <v>421</v>
      </c>
      <c r="B4" s="25" t="s">
        <v>422</v>
      </c>
      <c r="C4" s="26" t="s">
        <v>423</v>
      </c>
      <c r="D4" s="26" t="s">
        <v>424</v>
      </c>
      <c r="E4" s="27" t="s">
        <v>425</v>
      </c>
      <c r="F4" s="27" t="s">
        <v>426</v>
      </c>
      <c r="G4" s="28" t="s">
        <v>427</v>
      </c>
      <c r="H4" s="28" t="s">
        <v>428</v>
      </c>
      <c r="I4" s="28" t="s">
        <v>429</v>
      </c>
      <c r="J4" s="28" t="s">
        <v>430</v>
      </c>
      <c r="K4" s="29" t="s">
        <v>431</v>
      </c>
      <c r="L4" s="30" t="s">
        <v>432</v>
      </c>
      <c r="M4" s="31" t="s">
        <v>433</v>
      </c>
      <c r="N4" s="31" t="s">
        <v>434</v>
      </c>
      <c r="O4" s="31" t="s">
        <v>435</v>
      </c>
      <c r="P4" s="31" t="s">
        <v>436</v>
      </c>
      <c r="Q4" s="31" t="s">
        <v>437</v>
      </c>
    </row>
    <row r="5" spans="1:17" ht="21.75" customHeight="1" x14ac:dyDescent="0.2">
      <c r="A5" s="155" t="s">
        <v>438</v>
      </c>
      <c r="B5" s="143"/>
      <c r="C5" s="32">
        <v>1965067740</v>
      </c>
      <c r="D5" s="33"/>
      <c r="E5" s="33"/>
      <c r="F5" s="33"/>
      <c r="G5" s="34">
        <v>462368880</v>
      </c>
      <c r="H5" s="34">
        <v>240431818</v>
      </c>
      <c r="I5" s="34">
        <v>221937062</v>
      </c>
      <c r="J5" s="33"/>
      <c r="K5" s="33"/>
      <c r="L5" s="33"/>
      <c r="M5" s="35">
        <v>924737760</v>
      </c>
      <c r="N5" s="35">
        <v>2889805500</v>
      </c>
      <c r="O5" s="36">
        <v>450000</v>
      </c>
      <c r="P5" s="36">
        <v>330000</v>
      </c>
      <c r="Q5" s="37"/>
    </row>
    <row r="6" spans="1:17" ht="21.75" customHeight="1" x14ac:dyDescent="0.2">
      <c r="A6" s="38">
        <v>46357</v>
      </c>
      <c r="B6" s="39" t="s">
        <v>440</v>
      </c>
      <c r="C6" s="40"/>
      <c r="D6" s="40"/>
      <c r="E6" s="40"/>
      <c r="F6" s="40"/>
      <c r="G6" s="40"/>
      <c r="H6" s="40"/>
      <c r="I6" s="40"/>
      <c r="J6" s="40"/>
      <c r="K6" s="40"/>
      <c r="L6" s="41"/>
      <c r="M6" s="5" t="str">
        <f t="shared" ref="M6:M36" si="0">IF(SUM(G6:I6)&gt;0,SUM(G6:I6),"")</f>
        <v/>
      </c>
      <c r="N6" s="5" t="str">
        <f t="shared" ref="N6:N36" si="1">IF(N(C6)+N(M6)&gt;0,N(C6)+N(M6),"")</f>
        <v/>
      </c>
      <c r="O6" s="5" t="str">
        <f t="shared" ref="O6:O36" si="2">IFERROR(IF(D6&gt;0,C6/D6,""),"")</f>
        <v/>
      </c>
      <c r="P6" s="5" t="str">
        <f t="shared" ref="P6:P36" si="3">IFERROR(IF(J6&gt;0,M6/J6,""),"")</f>
        <v/>
      </c>
      <c r="Q6" s="16" t="str">
        <f t="shared" ref="Q6:Q36" si="4">IFERROR(IF(E6&gt;0,D6/E6,""),"")</f>
        <v/>
      </c>
    </row>
    <row r="7" spans="1:17" ht="21.75" customHeight="1" x14ac:dyDescent="0.2">
      <c r="A7" s="38">
        <v>46358</v>
      </c>
      <c r="B7" s="39" t="s">
        <v>441</v>
      </c>
      <c r="C7" s="40"/>
      <c r="D7" s="40"/>
      <c r="E7" s="40"/>
      <c r="F7" s="40"/>
      <c r="G7" s="40"/>
      <c r="H7" s="40"/>
      <c r="I7" s="40"/>
      <c r="J7" s="40"/>
      <c r="K7" s="40"/>
      <c r="L7" s="41"/>
      <c r="M7" s="5" t="str">
        <f t="shared" si="0"/>
        <v/>
      </c>
      <c r="N7" s="5" t="str">
        <f t="shared" si="1"/>
        <v/>
      </c>
      <c r="O7" s="5" t="str">
        <f t="shared" si="2"/>
        <v/>
      </c>
      <c r="P7" s="5" t="str">
        <f t="shared" si="3"/>
        <v/>
      </c>
      <c r="Q7" s="16" t="str">
        <f t="shared" si="4"/>
        <v/>
      </c>
    </row>
    <row r="8" spans="1:17" ht="21.75" customHeight="1" x14ac:dyDescent="0.2">
      <c r="A8" s="38">
        <v>46359</v>
      </c>
      <c r="B8" s="39" t="s">
        <v>442</v>
      </c>
      <c r="C8" s="40"/>
      <c r="D8" s="40"/>
      <c r="E8" s="40"/>
      <c r="F8" s="40"/>
      <c r="G8" s="40"/>
      <c r="H8" s="40"/>
      <c r="I8" s="40"/>
      <c r="J8" s="40"/>
      <c r="K8" s="40"/>
      <c r="L8" s="41"/>
      <c r="M8" s="5" t="str">
        <f t="shared" si="0"/>
        <v/>
      </c>
      <c r="N8" s="5" t="str">
        <f t="shared" si="1"/>
        <v/>
      </c>
      <c r="O8" s="5" t="str">
        <f t="shared" si="2"/>
        <v/>
      </c>
      <c r="P8" s="5" t="str">
        <f t="shared" si="3"/>
        <v/>
      </c>
      <c r="Q8" s="16" t="str">
        <f t="shared" si="4"/>
        <v/>
      </c>
    </row>
    <row r="9" spans="1:17" ht="21.75" customHeight="1" x14ac:dyDescent="0.2">
      <c r="A9" s="38">
        <v>46360</v>
      </c>
      <c r="B9" s="39" t="s">
        <v>443</v>
      </c>
      <c r="C9" s="40"/>
      <c r="D9" s="40"/>
      <c r="E9" s="40"/>
      <c r="F9" s="40"/>
      <c r="G9" s="40"/>
      <c r="H9" s="40"/>
      <c r="I9" s="40"/>
      <c r="J9" s="40"/>
      <c r="K9" s="40"/>
      <c r="L9" s="41"/>
      <c r="M9" s="5" t="str">
        <f t="shared" si="0"/>
        <v/>
      </c>
      <c r="N9" s="5" t="str">
        <f t="shared" si="1"/>
        <v/>
      </c>
      <c r="O9" s="5" t="str">
        <f t="shared" si="2"/>
        <v/>
      </c>
      <c r="P9" s="5" t="str">
        <f t="shared" si="3"/>
        <v/>
      </c>
      <c r="Q9" s="16" t="str">
        <f t="shared" si="4"/>
        <v/>
      </c>
    </row>
    <row r="10" spans="1:17" ht="21.75" customHeight="1" x14ac:dyDescent="0.2">
      <c r="A10" s="42">
        <v>46361</v>
      </c>
      <c r="B10" s="43" t="s">
        <v>444</v>
      </c>
      <c r="C10" s="40"/>
      <c r="D10" s="40"/>
      <c r="E10" s="40"/>
      <c r="F10" s="40"/>
      <c r="G10" s="40"/>
      <c r="H10" s="40"/>
      <c r="I10" s="40"/>
      <c r="J10" s="40"/>
      <c r="K10" s="40"/>
      <c r="L10" s="41"/>
      <c r="M10" s="5" t="str">
        <f t="shared" si="0"/>
        <v/>
      </c>
      <c r="N10" s="5" t="str">
        <f t="shared" si="1"/>
        <v/>
      </c>
      <c r="O10" s="5" t="str">
        <f t="shared" si="2"/>
        <v/>
      </c>
      <c r="P10" s="5" t="str">
        <f t="shared" si="3"/>
        <v/>
      </c>
      <c r="Q10" s="16" t="str">
        <f t="shared" si="4"/>
        <v/>
      </c>
    </row>
    <row r="11" spans="1:17" ht="21.75" customHeight="1" x14ac:dyDescent="0.2">
      <c r="A11" s="42">
        <v>46362</v>
      </c>
      <c r="B11" s="43" t="s">
        <v>445</v>
      </c>
      <c r="C11" s="40"/>
      <c r="D11" s="40"/>
      <c r="E11" s="40"/>
      <c r="F11" s="40"/>
      <c r="G11" s="40"/>
      <c r="H11" s="40"/>
      <c r="I11" s="40"/>
      <c r="J11" s="40"/>
      <c r="K11" s="40"/>
      <c r="L11" s="41"/>
      <c r="M11" s="5" t="str">
        <f t="shared" si="0"/>
        <v/>
      </c>
      <c r="N11" s="5" t="str">
        <f t="shared" si="1"/>
        <v/>
      </c>
      <c r="O11" s="5" t="str">
        <f t="shared" si="2"/>
        <v/>
      </c>
      <c r="P11" s="5" t="str">
        <f t="shared" si="3"/>
        <v/>
      </c>
      <c r="Q11" s="16" t="str">
        <f t="shared" si="4"/>
        <v/>
      </c>
    </row>
    <row r="12" spans="1:17" ht="21.75" customHeight="1" x14ac:dyDescent="0.2">
      <c r="A12" s="38">
        <v>46363</v>
      </c>
      <c r="B12" s="39" t="s">
        <v>439</v>
      </c>
      <c r="C12" s="40"/>
      <c r="D12" s="40"/>
      <c r="E12" s="40"/>
      <c r="F12" s="40"/>
      <c r="G12" s="40"/>
      <c r="H12" s="40"/>
      <c r="I12" s="40"/>
      <c r="J12" s="40"/>
      <c r="K12" s="40"/>
      <c r="L12" s="41"/>
      <c r="M12" s="5" t="str">
        <f t="shared" si="0"/>
        <v/>
      </c>
      <c r="N12" s="5" t="str">
        <f t="shared" si="1"/>
        <v/>
      </c>
      <c r="O12" s="5" t="str">
        <f t="shared" si="2"/>
        <v/>
      </c>
      <c r="P12" s="5" t="str">
        <f t="shared" si="3"/>
        <v/>
      </c>
      <c r="Q12" s="16" t="str">
        <f t="shared" si="4"/>
        <v/>
      </c>
    </row>
    <row r="13" spans="1:17" ht="21.75" customHeight="1" x14ac:dyDescent="0.2">
      <c r="A13" s="38">
        <v>46364</v>
      </c>
      <c r="B13" s="39" t="s">
        <v>440</v>
      </c>
      <c r="C13" s="40"/>
      <c r="D13" s="40"/>
      <c r="E13" s="40"/>
      <c r="F13" s="40"/>
      <c r="G13" s="40"/>
      <c r="H13" s="40"/>
      <c r="I13" s="40"/>
      <c r="J13" s="40"/>
      <c r="K13" s="40"/>
      <c r="L13" s="41"/>
      <c r="M13" s="5" t="str">
        <f t="shared" si="0"/>
        <v/>
      </c>
      <c r="N13" s="5" t="str">
        <f t="shared" si="1"/>
        <v/>
      </c>
      <c r="O13" s="5" t="str">
        <f t="shared" si="2"/>
        <v/>
      </c>
      <c r="P13" s="5" t="str">
        <f t="shared" si="3"/>
        <v/>
      </c>
      <c r="Q13" s="16" t="str">
        <f t="shared" si="4"/>
        <v/>
      </c>
    </row>
    <row r="14" spans="1:17" ht="21.75" customHeight="1" x14ac:dyDescent="0.2">
      <c r="A14" s="38">
        <v>46365</v>
      </c>
      <c r="B14" s="39" t="s">
        <v>441</v>
      </c>
      <c r="C14" s="40"/>
      <c r="D14" s="40"/>
      <c r="E14" s="40"/>
      <c r="F14" s="40"/>
      <c r="G14" s="40"/>
      <c r="H14" s="40"/>
      <c r="I14" s="40"/>
      <c r="J14" s="40"/>
      <c r="K14" s="40"/>
      <c r="L14" s="41"/>
      <c r="M14" s="5" t="str">
        <f t="shared" si="0"/>
        <v/>
      </c>
      <c r="N14" s="5" t="str">
        <f t="shared" si="1"/>
        <v/>
      </c>
      <c r="O14" s="5" t="str">
        <f t="shared" si="2"/>
        <v/>
      </c>
      <c r="P14" s="5" t="str">
        <f t="shared" si="3"/>
        <v/>
      </c>
      <c r="Q14" s="16" t="str">
        <f t="shared" si="4"/>
        <v/>
      </c>
    </row>
    <row r="15" spans="1:17" ht="21.75" customHeight="1" x14ac:dyDescent="0.2">
      <c r="A15" s="38">
        <v>46366</v>
      </c>
      <c r="B15" s="39" t="s">
        <v>442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  <c r="M15" s="5" t="str">
        <f t="shared" si="0"/>
        <v/>
      </c>
      <c r="N15" s="5" t="str">
        <f t="shared" si="1"/>
        <v/>
      </c>
      <c r="O15" s="5" t="str">
        <f t="shared" si="2"/>
        <v/>
      </c>
      <c r="P15" s="5" t="str">
        <f t="shared" si="3"/>
        <v/>
      </c>
      <c r="Q15" s="16" t="str">
        <f t="shared" si="4"/>
        <v/>
      </c>
    </row>
    <row r="16" spans="1:17" ht="21.75" customHeight="1" x14ac:dyDescent="0.2">
      <c r="A16" s="38">
        <v>46367</v>
      </c>
      <c r="B16" s="39" t="s">
        <v>443</v>
      </c>
      <c r="C16" s="40"/>
      <c r="D16" s="40"/>
      <c r="E16" s="40"/>
      <c r="F16" s="40"/>
      <c r="G16" s="40"/>
      <c r="H16" s="40"/>
      <c r="I16" s="40"/>
      <c r="J16" s="40"/>
      <c r="K16" s="40"/>
      <c r="L16" s="41"/>
      <c r="M16" s="5" t="str">
        <f t="shared" si="0"/>
        <v/>
      </c>
      <c r="N16" s="5" t="str">
        <f t="shared" si="1"/>
        <v/>
      </c>
      <c r="O16" s="5" t="str">
        <f t="shared" si="2"/>
        <v/>
      </c>
      <c r="P16" s="5" t="str">
        <f t="shared" si="3"/>
        <v/>
      </c>
      <c r="Q16" s="16" t="str">
        <f t="shared" si="4"/>
        <v/>
      </c>
    </row>
    <row r="17" spans="1:17" ht="21.75" customHeight="1" x14ac:dyDescent="0.2">
      <c r="A17" s="42">
        <v>46368</v>
      </c>
      <c r="B17" s="43" t="s">
        <v>444</v>
      </c>
      <c r="C17" s="40"/>
      <c r="D17" s="40"/>
      <c r="E17" s="40"/>
      <c r="F17" s="40"/>
      <c r="G17" s="40"/>
      <c r="H17" s="40"/>
      <c r="I17" s="40"/>
      <c r="J17" s="40"/>
      <c r="K17" s="40"/>
      <c r="L17" s="41"/>
      <c r="M17" s="5" t="str">
        <f t="shared" si="0"/>
        <v/>
      </c>
      <c r="N17" s="5" t="str">
        <f t="shared" si="1"/>
        <v/>
      </c>
      <c r="O17" s="5" t="str">
        <f t="shared" si="2"/>
        <v/>
      </c>
      <c r="P17" s="5" t="str">
        <f t="shared" si="3"/>
        <v/>
      </c>
      <c r="Q17" s="16" t="str">
        <f t="shared" si="4"/>
        <v/>
      </c>
    </row>
    <row r="18" spans="1:17" ht="21.75" customHeight="1" x14ac:dyDescent="0.2">
      <c r="A18" s="42">
        <v>46369</v>
      </c>
      <c r="B18" s="43" t="s">
        <v>445</v>
      </c>
      <c r="C18" s="40"/>
      <c r="D18" s="40"/>
      <c r="E18" s="40"/>
      <c r="F18" s="40"/>
      <c r="G18" s="40"/>
      <c r="H18" s="40"/>
      <c r="I18" s="40"/>
      <c r="J18" s="40"/>
      <c r="K18" s="40"/>
      <c r="L18" s="41"/>
      <c r="M18" s="5" t="str">
        <f t="shared" si="0"/>
        <v/>
      </c>
      <c r="N18" s="5" t="str">
        <f t="shared" si="1"/>
        <v/>
      </c>
      <c r="O18" s="5" t="str">
        <f t="shared" si="2"/>
        <v/>
      </c>
      <c r="P18" s="5" t="str">
        <f t="shared" si="3"/>
        <v/>
      </c>
      <c r="Q18" s="16" t="str">
        <f t="shared" si="4"/>
        <v/>
      </c>
    </row>
    <row r="19" spans="1:17" ht="21.75" customHeight="1" x14ac:dyDescent="0.2">
      <c r="A19" s="38">
        <v>46370</v>
      </c>
      <c r="B19" s="39" t="s">
        <v>439</v>
      </c>
      <c r="C19" s="40"/>
      <c r="D19" s="40"/>
      <c r="E19" s="40"/>
      <c r="F19" s="40"/>
      <c r="G19" s="40"/>
      <c r="H19" s="40"/>
      <c r="I19" s="40"/>
      <c r="J19" s="40"/>
      <c r="K19" s="40"/>
      <c r="L19" s="41"/>
      <c r="M19" s="5" t="str">
        <f t="shared" si="0"/>
        <v/>
      </c>
      <c r="N19" s="5" t="str">
        <f t="shared" si="1"/>
        <v/>
      </c>
      <c r="O19" s="5" t="str">
        <f t="shared" si="2"/>
        <v/>
      </c>
      <c r="P19" s="5" t="str">
        <f t="shared" si="3"/>
        <v/>
      </c>
      <c r="Q19" s="16" t="str">
        <f t="shared" si="4"/>
        <v/>
      </c>
    </row>
    <row r="20" spans="1:17" ht="21.75" customHeight="1" x14ac:dyDescent="0.2">
      <c r="A20" s="38">
        <v>46371</v>
      </c>
      <c r="B20" s="39" t="s">
        <v>440</v>
      </c>
      <c r="C20" s="40"/>
      <c r="D20" s="40"/>
      <c r="E20" s="40"/>
      <c r="F20" s="40"/>
      <c r="G20" s="40"/>
      <c r="H20" s="40"/>
      <c r="I20" s="40"/>
      <c r="J20" s="40"/>
      <c r="K20" s="40"/>
      <c r="L20" s="41"/>
      <c r="M20" s="5" t="str">
        <f t="shared" si="0"/>
        <v/>
      </c>
      <c r="N20" s="5" t="str">
        <f t="shared" si="1"/>
        <v/>
      </c>
      <c r="O20" s="5" t="str">
        <f t="shared" si="2"/>
        <v/>
      </c>
      <c r="P20" s="5" t="str">
        <f t="shared" si="3"/>
        <v/>
      </c>
      <c r="Q20" s="16" t="str">
        <f t="shared" si="4"/>
        <v/>
      </c>
    </row>
    <row r="21" spans="1:17" ht="21.75" customHeight="1" x14ac:dyDescent="0.2">
      <c r="A21" s="38">
        <v>46372</v>
      </c>
      <c r="B21" s="39" t="s">
        <v>441</v>
      </c>
      <c r="C21" s="40"/>
      <c r="D21" s="40"/>
      <c r="E21" s="40"/>
      <c r="F21" s="40"/>
      <c r="G21" s="40"/>
      <c r="H21" s="40"/>
      <c r="I21" s="40"/>
      <c r="J21" s="40"/>
      <c r="K21" s="40"/>
      <c r="L21" s="41"/>
      <c r="M21" s="5" t="str">
        <f t="shared" si="0"/>
        <v/>
      </c>
      <c r="N21" s="5" t="str">
        <f t="shared" si="1"/>
        <v/>
      </c>
      <c r="O21" s="5" t="str">
        <f t="shared" si="2"/>
        <v/>
      </c>
      <c r="P21" s="5" t="str">
        <f t="shared" si="3"/>
        <v/>
      </c>
      <c r="Q21" s="16" t="str">
        <f t="shared" si="4"/>
        <v/>
      </c>
    </row>
    <row r="22" spans="1:17" ht="21.75" customHeight="1" x14ac:dyDescent="0.2">
      <c r="A22" s="38">
        <v>46373</v>
      </c>
      <c r="B22" s="39" t="s">
        <v>442</v>
      </c>
      <c r="C22" s="40"/>
      <c r="D22" s="40"/>
      <c r="E22" s="40"/>
      <c r="F22" s="40"/>
      <c r="G22" s="40"/>
      <c r="H22" s="40"/>
      <c r="I22" s="40"/>
      <c r="J22" s="40"/>
      <c r="K22" s="40"/>
      <c r="L22" s="41"/>
      <c r="M22" s="5" t="str">
        <f t="shared" si="0"/>
        <v/>
      </c>
      <c r="N22" s="5" t="str">
        <f t="shared" si="1"/>
        <v/>
      </c>
      <c r="O22" s="5" t="str">
        <f t="shared" si="2"/>
        <v/>
      </c>
      <c r="P22" s="5" t="str">
        <f t="shared" si="3"/>
        <v/>
      </c>
      <c r="Q22" s="16" t="str">
        <f t="shared" si="4"/>
        <v/>
      </c>
    </row>
    <row r="23" spans="1:17" ht="21.75" customHeight="1" x14ac:dyDescent="0.2">
      <c r="A23" s="38">
        <v>46374</v>
      </c>
      <c r="B23" s="39" t="s">
        <v>443</v>
      </c>
      <c r="C23" s="40"/>
      <c r="D23" s="40"/>
      <c r="E23" s="40"/>
      <c r="F23" s="40"/>
      <c r="G23" s="40"/>
      <c r="H23" s="40"/>
      <c r="I23" s="40"/>
      <c r="J23" s="40"/>
      <c r="K23" s="40"/>
      <c r="L23" s="41"/>
      <c r="M23" s="5" t="str">
        <f t="shared" si="0"/>
        <v/>
      </c>
      <c r="N23" s="5" t="str">
        <f t="shared" si="1"/>
        <v/>
      </c>
      <c r="O23" s="5" t="str">
        <f t="shared" si="2"/>
        <v/>
      </c>
      <c r="P23" s="5" t="str">
        <f t="shared" si="3"/>
        <v/>
      </c>
      <c r="Q23" s="16" t="str">
        <f t="shared" si="4"/>
        <v/>
      </c>
    </row>
    <row r="24" spans="1:17" ht="21.75" customHeight="1" x14ac:dyDescent="0.2">
      <c r="A24" s="42">
        <v>46375</v>
      </c>
      <c r="B24" s="43" t="s">
        <v>444</v>
      </c>
      <c r="C24" s="40"/>
      <c r="D24" s="40"/>
      <c r="E24" s="40"/>
      <c r="F24" s="40"/>
      <c r="G24" s="40"/>
      <c r="H24" s="40"/>
      <c r="I24" s="40"/>
      <c r="J24" s="40"/>
      <c r="K24" s="40"/>
      <c r="L24" s="41"/>
      <c r="M24" s="5" t="str">
        <f t="shared" si="0"/>
        <v/>
      </c>
      <c r="N24" s="5" t="str">
        <f t="shared" si="1"/>
        <v/>
      </c>
      <c r="O24" s="5" t="str">
        <f t="shared" si="2"/>
        <v/>
      </c>
      <c r="P24" s="5" t="str">
        <f t="shared" si="3"/>
        <v/>
      </c>
      <c r="Q24" s="16" t="str">
        <f t="shared" si="4"/>
        <v/>
      </c>
    </row>
    <row r="25" spans="1:17" ht="21.75" customHeight="1" x14ac:dyDescent="0.2">
      <c r="A25" s="42">
        <v>46376</v>
      </c>
      <c r="B25" s="43" t="s">
        <v>445</v>
      </c>
      <c r="C25" s="40"/>
      <c r="D25" s="40"/>
      <c r="E25" s="40"/>
      <c r="F25" s="40"/>
      <c r="G25" s="40"/>
      <c r="H25" s="40"/>
      <c r="I25" s="40"/>
      <c r="J25" s="40"/>
      <c r="K25" s="40"/>
      <c r="L25" s="41"/>
      <c r="M25" s="5" t="str">
        <f t="shared" si="0"/>
        <v/>
      </c>
      <c r="N25" s="5" t="str">
        <f t="shared" si="1"/>
        <v/>
      </c>
      <c r="O25" s="5" t="str">
        <f t="shared" si="2"/>
        <v/>
      </c>
      <c r="P25" s="5" t="str">
        <f t="shared" si="3"/>
        <v/>
      </c>
      <c r="Q25" s="16" t="str">
        <f t="shared" si="4"/>
        <v/>
      </c>
    </row>
    <row r="26" spans="1:17" ht="21.75" customHeight="1" x14ac:dyDescent="0.2">
      <c r="A26" s="38">
        <v>46377</v>
      </c>
      <c r="B26" s="39" t="s">
        <v>439</v>
      </c>
      <c r="C26" s="40"/>
      <c r="D26" s="40"/>
      <c r="E26" s="40"/>
      <c r="F26" s="40"/>
      <c r="G26" s="40"/>
      <c r="H26" s="40"/>
      <c r="I26" s="40"/>
      <c r="J26" s="40"/>
      <c r="K26" s="40"/>
      <c r="L26" s="41"/>
      <c r="M26" s="5" t="str">
        <f t="shared" si="0"/>
        <v/>
      </c>
      <c r="N26" s="5" t="str">
        <f t="shared" si="1"/>
        <v/>
      </c>
      <c r="O26" s="5" t="str">
        <f t="shared" si="2"/>
        <v/>
      </c>
      <c r="P26" s="5" t="str">
        <f t="shared" si="3"/>
        <v/>
      </c>
      <c r="Q26" s="16" t="str">
        <f t="shared" si="4"/>
        <v/>
      </c>
    </row>
    <row r="27" spans="1:17" ht="21.75" customHeight="1" x14ac:dyDescent="0.2">
      <c r="A27" s="38">
        <v>46378</v>
      </c>
      <c r="B27" s="39" t="s">
        <v>440</v>
      </c>
      <c r="C27" s="40"/>
      <c r="D27" s="40"/>
      <c r="E27" s="40"/>
      <c r="F27" s="40"/>
      <c r="G27" s="40"/>
      <c r="H27" s="40"/>
      <c r="I27" s="40"/>
      <c r="J27" s="40"/>
      <c r="K27" s="40"/>
      <c r="L27" s="41"/>
      <c r="M27" s="5" t="str">
        <f t="shared" si="0"/>
        <v/>
      </c>
      <c r="N27" s="5" t="str">
        <f t="shared" si="1"/>
        <v/>
      </c>
      <c r="O27" s="5" t="str">
        <f t="shared" si="2"/>
        <v/>
      </c>
      <c r="P27" s="5" t="str">
        <f t="shared" si="3"/>
        <v/>
      </c>
      <c r="Q27" s="16" t="str">
        <f t="shared" si="4"/>
        <v/>
      </c>
    </row>
    <row r="28" spans="1:17" ht="21.75" customHeight="1" x14ac:dyDescent="0.2">
      <c r="A28" s="38">
        <v>46379</v>
      </c>
      <c r="B28" s="39" t="s">
        <v>441</v>
      </c>
      <c r="C28" s="40"/>
      <c r="D28" s="40"/>
      <c r="E28" s="40"/>
      <c r="F28" s="40"/>
      <c r="G28" s="40"/>
      <c r="H28" s="40"/>
      <c r="I28" s="40"/>
      <c r="J28" s="40"/>
      <c r="K28" s="40"/>
      <c r="L28" s="41"/>
      <c r="M28" s="5" t="str">
        <f t="shared" si="0"/>
        <v/>
      </c>
      <c r="N28" s="5" t="str">
        <f t="shared" si="1"/>
        <v/>
      </c>
      <c r="O28" s="5" t="str">
        <f t="shared" si="2"/>
        <v/>
      </c>
      <c r="P28" s="5" t="str">
        <f t="shared" si="3"/>
        <v/>
      </c>
      <c r="Q28" s="16" t="str">
        <f t="shared" si="4"/>
        <v/>
      </c>
    </row>
    <row r="29" spans="1:17" ht="21.75" customHeight="1" x14ac:dyDescent="0.2">
      <c r="A29" s="38">
        <v>46380</v>
      </c>
      <c r="B29" s="39" t="s">
        <v>442</v>
      </c>
      <c r="C29" s="40"/>
      <c r="D29" s="40"/>
      <c r="E29" s="40"/>
      <c r="F29" s="40"/>
      <c r="G29" s="40"/>
      <c r="H29" s="40"/>
      <c r="I29" s="40"/>
      <c r="J29" s="40"/>
      <c r="K29" s="40"/>
      <c r="L29" s="41"/>
      <c r="M29" s="5" t="str">
        <f t="shared" si="0"/>
        <v/>
      </c>
      <c r="N29" s="5" t="str">
        <f t="shared" si="1"/>
        <v/>
      </c>
      <c r="O29" s="5" t="str">
        <f t="shared" si="2"/>
        <v/>
      </c>
      <c r="P29" s="5" t="str">
        <f t="shared" si="3"/>
        <v/>
      </c>
      <c r="Q29" s="16" t="str">
        <f t="shared" si="4"/>
        <v/>
      </c>
    </row>
    <row r="30" spans="1:17" ht="21.75" customHeight="1" x14ac:dyDescent="0.2">
      <c r="A30" s="38">
        <v>46381</v>
      </c>
      <c r="B30" s="39" t="s">
        <v>443</v>
      </c>
      <c r="C30" s="40"/>
      <c r="D30" s="40"/>
      <c r="E30" s="40"/>
      <c r="F30" s="40"/>
      <c r="G30" s="40"/>
      <c r="H30" s="40"/>
      <c r="I30" s="40"/>
      <c r="J30" s="40"/>
      <c r="K30" s="40"/>
      <c r="L30" s="41"/>
      <c r="M30" s="5" t="str">
        <f t="shared" si="0"/>
        <v/>
      </c>
      <c r="N30" s="5" t="str">
        <f t="shared" si="1"/>
        <v/>
      </c>
      <c r="O30" s="5" t="str">
        <f t="shared" si="2"/>
        <v/>
      </c>
      <c r="P30" s="5" t="str">
        <f t="shared" si="3"/>
        <v/>
      </c>
      <c r="Q30" s="16" t="str">
        <f t="shared" si="4"/>
        <v/>
      </c>
    </row>
    <row r="31" spans="1:17" ht="21.75" customHeight="1" x14ac:dyDescent="0.2">
      <c r="A31" s="42">
        <v>46382</v>
      </c>
      <c r="B31" s="43" t="s">
        <v>444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  <c r="M31" s="5" t="str">
        <f t="shared" si="0"/>
        <v/>
      </c>
      <c r="N31" s="5" t="str">
        <f t="shared" si="1"/>
        <v/>
      </c>
      <c r="O31" s="5" t="str">
        <f t="shared" si="2"/>
        <v/>
      </c>
      <c r="P31" s="5" t="str">
        <f t="shared" si="3"/>
        <v/>
      </c>
      <c r="Q31" s="16" t="str">
        <f t="shared" si="4"/>
        <v/>
      </c>
    </row>
    <row r="32" spans="1:17" ht="21.75" customHeight="1" x14ac:dyDescent="0.2">
      <c r="A32" s="42">
        <v>46383</v>
      </c>
      <c r="B32" s="43" t="s">
        <v>445</v>
      </c>
      <c r="C32" s="40"/>
      <c r="D32" s="40"/>
      <c r="E32" s="40"/>
      <c r="F32" s="40"/>
      <c r="G32" s="40"/>
      <c r="H32" s="40"/>
      <c r="I32" s="40"/>
      <c r="J32" s="40"/>
      <c r="K32" s="40"/>
      <c r="L32" s="41"/>
      <c r="M32" s="5" t="str">
        <f t="shared" si="0"/>
        <v/>
      </c>
      <c r="N32" s="5" t="str">
        <f t="shared" si="1"/>
        <v/>
      </c>
      <c r="O32" s="5" t="str">
        <f t="shared" si="2"/>
        <v/>
      </c>
      <c r="P32" s="5" t="str">
        <f t="shared" si="3"/>
        <v/>
      </c>
      <c r="Q32" s="16" t="str">
        <f t="shared" si="4"/>
        <v/>
      </c>
    </row>
    <row r="33" spans="1:17" ht="21.75" customHeight="1" x14ac:dyDescent="0.2">
      <c r="A33" s="38">
        <v>46384</v>
      </c>
      <c r="B33" s="39" t="s">
        <v>439</v>
      </c>
      <c r="C33" s="40"/>
      <c r="D33" s="40"/>
      <c r="E33" s="40"/>
      <c r="F33" s="40"/>
      <c r="G33" s="40"/>
      <c r="H33" s="40"/>
      <c r="I33" s="40"/>
      <c r="J33" s="40"/>
      <c r="K33" s="40"/>
      <c r="L33" s="41"/>
      <c r="M33" s="5" t="str">
        <f t="shared" si="0"/>
        <v/>
      </c>
      <c r="N33" s="5" t="str">
        <f t="shared" si="1"/>
        <v/>
      </c>
      <c r="O33" s="5" t="str">
        <f t="shared" si="2"/>
        <v/>
      </c>
      <c r="P33" s="5" t="str">
        <f t="shared" si="3"/>
        <v/>
      </c>
      <c r="Q33" s="16" t="str">
        <f t="shared" si="4"/>
        <v/>
      </c>
    </row>
    <row r="34" spans="1:17" ht="21.75" customHeight="1" x14ac:dyDescent="0.2">
      <c r="A34" s="38">
        <v>46385</v>
      </c>
      <c r="B34" s="39" t="s">
        <v>440</v>
      </c>
      <c r="C34" s="40"/>
      <c r="D34" s="40"/>
      <c r="E34" s="40"/>
      <c r="F34" s="40"/>
      <c r="G34" s="40"/>
      <c r="H34" s="40"/>
      <c r="I34" s="40"/>
      <c r="J34" s="40"/>
      <c r="K34" s="40"/>
      <c r="L34" s="41"/>
      <c r="M34" s="5" t="str">
        <f t="shared" si="0"/>
        <v/>
      </c>
      <c r="N34" s="5" t="str">
        <f t="shared" si="1"/>
        <v/>
      </c>
      <c r="O34" s="5" t="str">
        <f t="shared" si="2"/>
        <v/>
      </c>
      <c r="P34" s="5" t="str">
        <f t="shared" si="3"/>
        <v/>
      </c>
      <c r="Q34" s="16" t="str">
        <f t="shared" si="4"/>
        <v/>
      </c>
    </row>
    <row r="35" spans="1:17" ht="21.75" customHeight="1" x14ac:dyDescent="0.2">
      <c r="A35" s="38">
        <v>46386</v>
      </c>
      <c r="B35" s="39" t="s">
        <v>441</v>
      </c>
      <c r="C35" s="40"/>
      <c r="D35" s="40"/>
      <c r="E35" s="40"/>
      <c r="F35" s="40"/>
      <c r="G35" s="40"/>
      <c r="H35" s="40"/>
      <c r="I35" s="40"/>
      <c r="J35" s="40"/>
      <c r="K35" s="40"/>
      <c r="L35" s="41"/>
      <c r="M35" s="5" t="str">
        <f t="shared" si="0"/>
        <v/>
      </c>
      <c r="N35" s="5" t="str">
        <f t="shared" si="1"/>
        <v/>
      </c>
      <c r="O35" s="5" t="str">
        <f t="shared" si="2"/>
        <v/>
      </c>
      <c r="P35" s="5" t="str">
        <f t="shared" si="3"/>
        <v/>
      </c>
      <c r="Q35" s="16" t="str">
        <f t="shared" si="4"/>
        <v/>
      </c>
    </row>
    <row r="36" spans="1:17" ht="18.75" customHeight="1" x14ac:dyDescent="0.2">
      <c r="A36" s="105">
        <v>46387</v>
      </c>
      <c r="B36" t="s">
        <v>442</v>
      </c>
      <c r="M36" t="str">
        <f t="shared" si="0"/>
        <v/>
      </c>
      <c r="N36" t="str">
        <f t="shared" si="1"/>
        <v/>
      </c>
      <c r="O36" t="str">
        <f t="shared" si="2"/>
        <v/>
      </c>
      <c r="P36" t="str">
        <f t="shared" si="3"/>
        <v/>
      </c>
      <c r="Q36" t="str">
        <f t="shared" si="4"/>
        <v/>
      </c>
    </row>
    <row r="37" spans="1:17" ht="18.75" customHeight="1" x14ac:dyDescent="0.2"/>
    <row r="38" spans="1:17" ht="18.75" customHeight="1" x14ac:dyDescent="0.2"/>
    <row r="39" spans="1:17" ht="18.75" customHeight="1" x14ac:dyDescent="0.2"/>
    <row r="40" spans="1:17" ht="18.75" customHeight="1" x14ac:dyDescent="0.2"/>
    <row r="41" spans="1:17" ht="18.75" customHeight="1" x14ac:dyDescent="0.2"/>
    <row r="42" spans="1:17" ht="18.75" customHeight="1" x14ac:dyDescent="0.2"/>
    <row r="43" spans="1:17" ht="18.75" customHeight="1" x14ac:dyDescent="0.2"/>
    <row r="44" spans="1:17" ht="18.75" customHeight="1" x14ac:dyDescent="0.2"/>
    <row r="45" spans="1:17" ht="18.75" customHeight="1" x14ac:dyDescent="0.2"/>
    <row r="46" spans="1:17" ht="18.75" customHeight="1" x14ac:dyDescent="0.2"/>
    <row r="47" spans="1:17" ht="18.75" customHeight="1" x14ac:dyDescent="0.2"/>
    <row r="48" spans="1:17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9">
    <mergeCell ref="A1:Q1"/>
    <mergeCell ref="E3:F3"/>
    <mergeCell ref="O3:P3"/>
    <mergeCell ref="G3:J3"/>
    <mergeCell ref="A5:B5"/>
    <mergeCell ref="A2:Q2"/>
    <mergeCell ref="M3:N3"/>
    <mergeCell ref="C3:D3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8"/>
  <sheetViews>
    <sheetView workbookViewId="0"/>
  </sheetViews>
  <sheetFormatPr baseColWidth="10" defaultColWidth="9" defaultRowHeight="14" x14ac:dyDescent="0.2"/>
  <cols>
    <col min="1" max="1" width="10" customWidth="1"/>
    <col min="2" max="2" width="26" customWidth="1"/>
    <col min="3" max="3" width="18" customWidth="1"/>
    <col min="4" max="4" width="17" customWidth="1"/>
    <col min="5" max="5" width="9" customWidth="1"/>
    <col min="6" max="6" width="10" customWidth="1"/>
    <col min="7" max="8" width="14" customWidth="1"/>
    <col min="9" max="9" width="9" customWidth="1"/>
    <col min="10" max="11" width="17" customWidth="1"/>
    <col min="12" max="12" width="9" customWidth="1"/>
    <col min="13" max="13" width="17" customWidth="1"/>
    <col min="14" max="14" width="20" customWidth="1"/>
  </cols>
  <sheetData>
    <row r="1" spans="1:14" ht="22" customHeight="1" x14ac:dyDescent="0.2">
      <c r="A1" s="165" t="s">
        <v>550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</row>
    <row r="2" spans="1:14" ht="16" customHeight="1" x14ac:dyDescent="0.2">
      <c r="A2" s="164" t="s">
        <v>456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</row>
    <row r="3" spans="1:14" ht="30" customHeight="1" x14ac:dyDescent="0.2">
      <c r="A3" s="106" t="s">
        <v>457</v>
      </c>
      <c r="B3" s="106" t="s">
        <v>421</v>
      </c>
      <c r="C3" s="106" t="s">
        <v>423</v>
      </c>
      <c r="D3" s="107" t="s">
        <v>525</v>
      </c>
      <c r="E3" s="108" t="s">
        <v>526</v>
      </c>
      <c r="F3" s="106" t="s">
        <v>424</v>
      </c>
      <c r="G3" s="106" t="s">
        <v>458</v>
      </c>
      <c r="H3" s="109" t="s">
        <v>426</v>
      </c>
      <c r="I3" s="109" t="s">
        <v>459</v>
      </c>
      <c r="J3" s="110" t="s">
        <v>460</v>
      </c>
      <c r="K3" s="107" t="s">
        <v>527</v>
      </c>
      <c r="L3" s="108" t="s">
        <v>528</v>
      </c>
      <c r="M3" s="108" t="s">
        <v>461</v>
      </c>
      <c r="N3" s="111" t="s">
        <v>432</v>
      </c>
    </row>
    <row r="4" spans="1:14" ht="18" customHeight="1" x14ac:dyDescent="0.2">
      <c r="A4" s="112" t="s">
        <v>464</v>
      </c>
      <c r="B4" s="113" t="s">
        <v>551</v>
      </c>
      <c r="C4" s="114">
        <f>IFERROR(SUM('📅 DAILY T12'!C6:C11),0)</f>
        <v>0</v>
      </c>
      <c r="D4" s="115">
        <v>380335692</v>
      </c>
      <c r="E4" s="116">
        <f>IFERROR(IF(D4&gt;0,C4/D4,""),"")</f>
        <v>0</v>
      </c>
      <c r="F4" s="114">
        <f>IFERROR(SUM('📅 DAILY T12'!D6:D11),0)</f>
        <v>0</v>
      </c>
      <c r="G4" s="114" t="str">
        <f>IFERROR(IF(F4&gt;0,C4/F4,""),"")</f>
        <v/>
      </c>
      <c r="H4" s="117">
        <f>IFERROR(SUM('📅 DAILY T12'!F6:F11),0)</f>
        <v>0</v>
      </c>
      <c r="I4" s="118" t="str">
        <f>IFERROR(IF(H4&gt;0,C4/H4,""),"")</f>
        <v/>
      </c>
      <c r="J4" s="119">
        <f>IFERROR(SUM('📅 DAILY T12'!M6:M11),0)</f>
        <v>0</v>
      </c>
      <c r="K4" s="115">
        <v>178981502</v>
      </c>
      <c r="L4" s="116">
        <f>IFERROR(IF(K4&gt;0,J4/K4,""),"")</f>
        <v>0</v>
      </c>
      <c r="M4" s="120">
        <f>IFERROR(C4+J4,"")</f>
        <v>0</v>
      </c>
      <c r="N4" s="121"/>
    </row>
    <row r="5" spans="1:14" ht="18" customHeight="1" x14ac:dyDescent="0.2">
      <c r="A5" s="112" t="s">
        <v>466</v>
      </c>
      <c r="B5" s="113" t="s">
        <v>552</v>
      </c>
      <c r="C5" s="114">
        <f>IFERROR(SUM('📅 DAILY T12'!C12:C18),0)</f>
        <v>0</v>
      </c>
      <c r="D5" s="115">
        <v>443724974</v>
      </c>
      <c r="E5" s="116">
        <f>IFERROR(IF(D5&gt;0,C5/D5,""),"")</f>
        <v>0</v>
      </c>
      <c r="F5" s="114">
        <f>IFERROR(SUM('📅 DAILY T12'!D12:D18),0)</f>
        <v>0</v>
      </c>
      <c r="G5" s="114" t="str">
        <f>IFERROR(IF(F5&gt;0,C5/F5,""),"")</f>
        <v/>
      </c>
      <c r="H5" s="117">
        <f>IFERROR(SUM('📅 DAILY T12'!F12:F18),0)</f>
        <v>0</v>
      </c>
      <c r="I5" s="118" t="str">
        <f>IFERROR(IF(H5&gt;0,C5/H5,""),"")</f>
        <v/>
      </c>
      <c r="J5" s="119">
        <f>IFERROR(SUM('📅 DAILY T12'!M12:M18),0)</f>
        <v>0</v>
      </c>
      <c r="K5" s="115">
        <v>208811752</v>
      </c>
      <c r="L5" s="116">
        <f>IFERROR(IF(K5&gt;0,J5/K5,""),"")</f>
        <v>0</v>
      </c>
      <c r="M5" s="120">
        <f>IFERROR(C5+J5,"")</f>
        <v>0</v>
      </c>
      <c r="N5" s="121"/>
    </row>
    <row r="6" spans="1:14" ht="18" customHeight="1" x14ac:dyDescent="0.2">
      <c r="A6" s="112" t="s">
        <v>468</v>
      </c>
      <c r="B6" s="113" t="s">
        <v>553</v>
      </c>
      <c r="C6" s="114">
        <f>IFERROR(SUM('📅 DAILY T12'!C19:C25),0)</f>
        <v>0</v>
      </c>
      <c r="D6" s="115">
        <v>443724974</v>
      </c>
      <c r="E6" s="116">
        <f>IFERROR(IF(D6&gt;0,C6/D6,""),"")</f>
        <v>0</v>
      </c>
      <c r="F6" s="114">
        <f>IFERROR(SUM('📅 DAILY T12'!D19:D25),0)</f>
        <v>0</v>
      </c>
      <c r="G6" s="114" t="str">
        <f>IFERROR(IF(F6&gt;0,C6/F6,""),"")</f>
        <v/>
      </c>
      <c r="H6" s="117">
        <f>IFERROR(SUM('📅 DAILY T12'!F19:F25),0)</f>
        <v>0</v>
      </c>
      <c r="I6" s="118" t="str">
        <f>IFERROR(IF(H6&gt;0,C6/H6,""),"")</f>
        <v/>
      </c>
      <c r="J6" s="119">
        <f>IFERROR(SUM('📅 DAILY T12'!M19:M25),0)</f>
        <v>0</v>
      </c>
      <c r="K6" s="115">
        <v>208811752</v>
      </c>
      <c r="L6" s="116">
        <f>IFERROR(IF(K6&gt;0,J6/K6,""),"")</f>
        <v>0</v>
      </c>
      <c r="M6" s="120">
        <f>IFERROR(C6+J6,"")</f>
        <v>0</v>
      </c>
      <c r="N6" s="121"/>
    </row>
    <row r="7" spans="1:14" ht="18" customHeight="1" x14ac:dyDescent="0.2">
      <c r="A7" s="112" t="s">
        <v>470</v>
      </c>
      <c r="B7" s="113" t="s">
        <v>554</v>
      </c>
      <c r="C7" s="114">
        <f>IFERROR(SUM('📅 DAILY T12'!C26:C32),0)</f>
        <v>0</v>
      </c>
      <c r="D7" s="115">
        <v>443724974</v>
      </c>
      <c r="E7" s="116">
        <f>IFERROR(IF(D7&gt;0,C7/D7,""),"")</f>
        <v>0</v>
      </c>
      <c r="F7" s="114">
        <f>IFERROR(SUM('📅 DAILY T12'!D26:D32),0)</f>
        <v>0</v>
      </c>
      <c r="G7" s="114" t="str">
        <f>IFERROR(IF(F7&gt;0,C7/F7,""),"")</f>
        <v/>
      </c>
      <c r="H7" s="117">
        <f>IFERROR(SUM('📅 DAILY T12'!F26:F32),0)</f>
        <v>0</v>
      </c>
      <c r="I7" s="118" t="str">
        <f>IFERROR(IF(H7&gt;0,C7/H7,""),"")</f>
        <v/>
      </c>
      <c r="J7" s="119">
        <f>IFERROR(SUM('📅 DAILY T12'!M26:M32),0)</f>
        <v>0</v>
      </c>
      <c r="K7" s="115">
        <v>208811752</v>
      </c>
      <c r="L7" s="116">
        <f>IFERROR(IF(K7&gt;0,J7/K7,""),"")</f>
        <v>0</v>
      </c>
      <c r="M7" s="120">
        <f>IFERROR(C7+J7,"")</f>
        <v>0</v>
      </c>
      <c r="N7" s="121"/>
    </row>
    <row r="8" spans="1:14" ht="18" customHeight="1" x14ac:dyDescent="0.2">
      <c r="A8" s="112" t="s">
        <v>472</v>
      </c>
      <c r="B8" s="113" t="s">
        <v>555</v>
      </c>
      <c r="C8" s="114">
        <f>IFERROR(SUM('📅 DAILY T12'!C33:C36),0)</f>
        <v>0</v>
      </c>
      <c r="D8" s="115">
        <v>253557128</v>
      </c>
      <c r="E8" s="116">
        <f>IFERROR(IF(D8&gt;0,C8/D8,""),"")</f>
        <v>0</v>
      </c>
      <c r="F8" s="114">
        <f>IFERROR(SUM('📅 DAILY T12'!D33:D36),0)</f>
        <v>0</v>
      </c>
      <c r="G8" s="114" t="str">
        <f>IFERROR(IF(F8&gt;0,C8/F8,""),"")</f>
        <v/>
      </c>
      <c r="H8" s="117">
        <f>IFERROR(SUM('📅 DAILY T12'!F33:F36),0)</f>
        <v>0</v>
      </c>
      <c r="I8" s="118" t="str">
        <f>IFERROR(IF(H8&gt;0,C8/H8,""),"")</f>
        <v/>
      </c>
      <c r="J8" s="119">
        <f>IFERROR(SUM('📅 DAILY T12'!M33:M36),0)</f>
        <v>0</v>
      </c>
      <c r="K8" s="115">
        <v>119321001</v>
      </c>
      <c r="L8" s="116">
        <f>IFERROR(IF(K8&gt;0,J8/K8,""),"")</f>
        <v>0</v>
      </c>
      <c r="M8" s="120">
        <f>IFERROR(C8+J8,"")</f>
        <v>0</v>
      </c>
      <c r="N8" s="121"/>
    </row>
  </sheetData>
  <mergeCells count="2">
    <mergeCell ref="A2:N2"/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/>
  </sheetPr>
  <dimension ref="A1:C200"/>
  <sheetViews>
    <sheetView zoomScaleNormal="100" workbookViewId="0"/>
  </sheetViews>
  <sheetFormatPr baseColWidth="10" defaultColWidth="14" defaultRowHeight="14" x14ac:dyDescent="0.2"/>
  <cols>
    <col min="1" max="1" width="8" customWidth="1"/>
    <col min="2" max="2" width="34" customWidth="1"/>
    <col min="3" max="3" width="62" customWidth="1"/>
    <col min="4" max="20" width="11" customWidth="1"/>
  </cols>
  <sheetData>
    <row r="1" spans="1:3" ht="33" customHeight="1" x14ac:dyDescent="0.2">
      <c r="A1" s="158" t="s">
        <v>556</v>
      </c>
      <c r="B1" s="143"/>
      <c r="C1" s="143"/>
    </row>
    <row r="2" spans="1:3" ht="18.75" customHeight="1" x14ac:dyDescent="0.2"/>
    <row r="3" spans="1:3" ht="28.5" customHeight="1" x14ac:dyDescent="0.2">
      <c r="A3" s="168" t="s">
        <v>557</v>
      </c>
      <c r="B3" s="143"/>
      <c r="C3" s="143"/>
    </row>
    <row r="4" spans="1:3" ht="24" customHeight="1" x14ac:dyDescent="0.2">
      <c r="A4" s="77"/>
      <c r="B4" s="78" t="s">
        <v>558</v>
      </c>
      <c r="C4" s="79" t="s">
        <v>559</v>
      </c>
    </row>
    <row r="5" spans="1:3" ht="24" customHeight="1" x14ac:dyDescent="0.2">
      <c r="A5" s="52"/>
      <c r="B5" s="6" t="s">
        <v>560</v>
      </c>
      <c r="C5" s="80" t="s">
        <v>561</v>
      </c>
    </row>
    <row r="6" spans="1:3" ht="24" customHeight="1" x14ac:dyDescent="0.2">
      <c r="A6" s="77"/>
      <c r="B6" s="78" t="s">
        <v>562</v>
      </c>
      <c r="C6" s="79" t="s">
        <v>563</v>
      </c>
    </row>
    <row r="7" spans="1:3" ht="24" customHeight="1" x14ac:dyDescent="0.2">
      <c r="A7" s="52"/>
      <c r="B7" s="6" t="s">
        <v>564</v>
      </c>
      <c r="C7" s="80" t="s">
        <v>565</v>
      </c>
    </row>
    <row r="8" spans="1:3" ht="24" customHeight="1" x14ac:dyDescent="0.2">
      <c r="A8" s="77"/>
      <c r="B8" s="78" t="s">
        <v>566</v>
      </c>
      <c r="C8" s="79" t="s">
        <v>567</v>
      </c>
    </row>
    <row r="9" spans="1:3" ht="24" customHeight="1" x14ac:dyDescent="0.2">
      <c r="A9" s="52"/>
      <c r="B9" s="6" t="s">
        <v>568</v>
      </c>
      <c r="C9" s="80" t="s">
        <v>569</v>
      </c>
    </row>
    <row r="10" spans="1:3" ht="18.75" customHeight="1" x14ac:dyDescent="0.2"/>
    <row r="11" spans="1:3" ht="28.5" customHeight="1" x14ac:dyDescent="0.2">
      <c r="A11" s="166" t="s">
        <v>570</v>
      </c>
      <c r="B11" s="143"/>
      <c r="C11" s="143"/>
    </row>
    <row r="12" spans="1:3" ht="24" customHeight="1" x14ac:dyDescent="0.2">
      <c r="A12" s="81"/>
      <c r="B12" s="82" t="s">
        <v>571</v>
      </c>
      <c r="C12" s="83" t="s">
        <v>572</v>
      </c>
    </row>
    <row r="13" spans="1:3" ht="24" customHeight="1" x14ac:dyDescent="0.2">
      <c r="A13" s="52"/>
      <c r="B13" s="6" t="s">
        <v>573</v>
      </c>
      <c r="C13" s="80" t="s">
        <v>574</v>
      </c>
    </row>
    <row r="14" spans="1:3" ht="24" customHeight="1" x14ac:dyDescent="0.2">
      <c r="A14" s="81"/>
      <c r="B14" s="82" t="s">
        <v>575</v>
      </c>
      <c r="C14" s="83" t="s">
        <v>576</v>
      </c>
    </row>
    <row r="15" spans="1:3" ht="24" customHeight="1" x14ac:dyDescent="0.2">
      <c r="A15" s="52"/>
      <c r="B15" s="6" t="s">
        <v>577</v>
      </c>
      <c r="C15" s="80" t="s">
        <v>578</v>
      </c>
    </row>
    <row r="16" spans="1:3" ht="18.75" customHeight="1" x14ac:dyDescent="0.2"/>
    <row r="17" spans="1:3" ht="28.5" customHeight="1" x14ac:dyDescent="0.2">
      <c r="A17" s="167" t="s">
        <v>579</v>
      </c>
      <c r="B17" s="143"/>
      <c r="C17" s="143"/>
    </row>
    <row r="18" spans="1:3" ht="24" customHeight="1" x14ac:dyDescent="0.2">
      <c r="A18" s="84"/>
      <c r="B18" s="85" t="s">
        <v>580</v>
      </c>
      <c r="C18" s="86" t="s">
        <v>581</v>
      </c>
    </row>
    <row r="19" spans="1:3" ht="24" customHeight="1" x14ac:dyDescent="0.2">
      <c r="A19" s="52"/>
      <c r="B19" s="6" t="s">
        <v>582</v>
      </c>
      <c r="C19" s="80" t="s">
        <v>583</v>
      </c>
    </row>
    <row r="20" spans="1:3" ht="24" customHeight="1" x14ac:dyDescent="0.2">
      <c r="A20" s="84"/>
      <c r="B20" s="85" t="s">
        <v>584</v>
      </c>
      <c r="C20" s="86" t="s">
        <v>585</v>
      </c>
    </row>
    <row r="21" spans="1:3" ht="24" customHeight="1" x14ac:dyDescent="0.2">
      <c r="A21" s="52"/>
      <c r="B21" s="6" t="s">
        <v>586</v>
      </c>
      <c r="C21" s="80" t="s">
        <v>587</v>
      </c>
    </row>
    <row r="22" spans="1:3" ht="24" customHeight="1" x14ac:dyDescent="0.2">
      <c r="A22" s="84"/>
      <c r="B22" s="85" t="s">
        <v>588</v>
      </c>
      <c r="C22" s="86" t="s">
        <v>589</v>
      </c>
    </row>
    <row r="23" spans="1:3" ht="18.75" customHeight="1" x14ac:dyDescent="0.2"/>
    <row r="24" spans="1:3" ht="28.5" customHeight="1" x14ac:dyDescent="0.2">
      <c r="A24" s="169" t="s">
        <v>590</v>
      </c>
      <c r="B24" s="143"/>
      <c r="C24" s="143"/>
    </row>
    <row r="25" spans="1:3" ht="24" customHeight="1" x14ac:dyDescent="0.2">
      <c r="A25" s="87"/>
      <c r="B25" s="88" t="s">
        <v>591</v>
      </c>
      <c r="C25" s="89" t="s">
        <v>592</v>
      </c>
    </row>
    <row r="26" spans="1:3" ht="24" customHeight="1" x14ac:dyDescent="0.2">
      <c r="A26" s="52"/>
      <c r="B26" s="6" t="s">
        <v>593</v>
      </c>
      <c r="C26" s="80" t="s">
        <v>594</v>
      </c>
    </row>
    <row r="27" spans="1:3" ht="24" customHeight="1" x14ac:dyDescent="0.2">
      <c r="A27" s="87"/>
      <c r="B27" s="88" t="s">
        <v>595</v>
      </c>
      <c r="C27" s="89" t="s">
        <v>596</v>
      </c>
    </row>
    <row r="28" spans="1:3" ht="24" customHeight="1" x14ac:dyDescent="0.2">
      <c r="A28" s="52"/>
      <c r="B28" s="6" t="s">
        <v>597</v>
      </c>
      <c r="C28" s="80" t="s">
        <v>598</v>
      </c>
    </row>
    <row r="29" spans="1:3" ht="24" customHeight="1" x14ac:dyDescent="0.2">
      <c r="A29" s="87"/>
      <c r="B29" s="88" t="s">
        <v>599</v>
      </c>
      <c r="C29" s="89" t="s">
        <v>600</v>
      </c>
    </row>
    <row r="30" spans="1:3" ht="24" customHeight="1" x14ac:dyDescent="0.2">
      <c r="A30" s="52"/>
      <c r="B30" s="6" t="s">
        <v>601</v>
      </c>
      <c r="C30" s="80" t="s">
        <v>602</v>
      </c>
    </row>
    <row r="31" spans="1:3" ht="24" customHeight="1" x14ac:dyDescent="0.2">
      <c r="A31" s="87"/>
      <c r="B31" s="88" t="s">
        <v>603</v>
      </c>
      <c r="C31" s="89" t="s">
        <v>604</v>
      </c>
    </row>
    <row r="32" spans="1:3" ht="24" customHeight="1" x14ac:dyDescent="0.2">
      <c r="A32" s="52"/>
      <c r="B32" s="6" t="s">
        <v>605</v>
      </c>
      <c r="C32" s="80" t="s">
        <v>606</v>
      </c>
    </row>
    <row r="33" spans="1:3" ht="24" customHeight="1" x14ac:dyDescent="0.2">
      <c r="A33" s="87"/>
      <c r="B33" s="88" t="s">
        <v>607</v>
      </c>
      <c r="C33" s="89" t="s">
        <v>608</v>
      </c>
    </row>
    <row r="34" spans="1:3" ht="24" customHeight="1" x14ac:dyDescent="0.2">
      <c r="A34" s="52"/>
      <c r="B34" s="6" t="s">
        <v>609</v>
      </c>
      <c r="C34" s="80" t="s">
        <v>610</v>
      </c>
    </row>
    <row r="35" spans="1:3" ht="18.75" customHeight="1" x14ac:dyDescent="0.2"/>
    <row r="36" spans="1:3" ht="18.75" customHeight="1" x14ac:dyDescent="0.2"/>
    <row r="37" spans="1:3" ht="18.75" customHeight="1" x14ac:dyDescent="0.2"/>
    <row r="38" spans="1:3" ht="18.75" customHeight="1" x14ac:dyDescent="0.2"/>
    <row r="39" spans="1:3" ht="18.75" customHeight="1" x14ac:dyDescent="0.2"/>
    <row r="40" spans="1:3" ht="18.75" customHeight="1" x14ac:dyDescent="0.2"/>
    <row r="41" spans="1:3" ht="18.75" customHeight="1" x14ac:dyDescent="0.2"/>
    <row r="42" spans="1:3" ht="18.75" customHeight="1" x14ac:dyDescent="0.2"/>
    <row r="43" spans="1:3" ht="18.75" customHeight="1" x14ac:dyDescent="0.2"/>
    <row r="44" spans="1:3" ht="18.75" customHeight="1" x14ac:dyDescent="0.2"/>
    <row r="45" spans="1:3" ht="18.75" customHeight="1" x14ac:dyDescent="0.2"/>
    <row r="46" spans="1:3" ht="18.75" customHeight="1" x14ac:dyDescent="0.2"/>
    <row r="47" spans="1:3" ht="18.75" customHeight="1" x14ac:dyDescent="0.2"/>
    <row r="48" spans="1:3" ht="18.75" customHeight="1" x14ac:dyDescent="0.2"/>
    <row r="49" ht="18.75" customHeight="1" x14ac:dyDescent="0.2"/>
    <row r="50" ht="18.75" customHeight="1" x14ac:dyDescent="0.2"/>
    <row r="51" ht="18.75" customHeight="1" x14ac:dyDescent="0.2"/>
    <row r="52" ht="18.75" customHeight="1" x14ac:dyDescent="0.2"/>
    <row r="53" ht="18.75" customHeight="1" x14ac:dyDescent="0.2"/>
    <row r="54" ht="18.75" customHeight="1" x14ac:dyDescent="0.2"/>
    <row r="55" ht="18.75" customHeight="1" x14ac:dyDescent="0.2"/>
    <row r="56" ht="18.75" customHeight="1" x14ac:dyDescent="0.2"/>
    <row r="57" ht="18.75" customHeight="1" x14ac:dyDescent="0.2"/>
    <row r="58" ht="18.75" customHeight="1" x14ac:dyDescent="0.2"/>
    <row r="59" ht="18.75" customHeight="1" x14ac:dyDescent="0.2"/>
    <row r="60" ht="18.75" customHeight="1" x14ac:dyDescent="0.2"/>
    <row r="61" ht="18.75" customHeight="1" x14ac:dyDescent="0.2"/>
    <row r="62" ht="18.75" customHeight="1" x14ac:dyDescent="0.2"/>
    <row r="63" ht="18.75" customHeight="1" x14ac:dyDescent="0.2"/>
    <row r="6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</sheetData>
  <mergeCells count="5">
    <mergeCell ref="A11:C11"/>
    <mergeCell ref="A1:C1"/>
    <mergeCell ref="A17:C17"/>
    <mergeCell ref="A3:C3"/>
    <mergeCell ref="A24:C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171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9" defaultRowHeight="14" x14ac:dyDescent="0.2"/>
  <cols>
    <col min="1" max="1" width="8" customWidth="1"/>
    <col min="2" max="2" width="13" customWidth="1"/>
    <col min="3" max="3" width="7.3984375" customWidth="1"/>
    <col min="4" max="7" width="6" customWidth="1"/>
    <col min="8" max="8" width="6.3984375" customWidth="1"/>
    <col min="9" max="9" width="7" customWidth="1"/>
    <col min="10" max="10" width="6.3984375" customWidth="1"/>
    <col min="11" max="13" width="11" customWidth="1"/>
    <col min="14" max="14" width="9.3984375" customWidth="1"/>
  </cols>
  <sheetData>
    <row r="1" spans="1:14" ht="25.5" customHeight="1" x14ac:dyDescent="0.2">
      <c r="A1" s="172" t="s">
        <v>611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</row>
    <row r="2" spans="1:14" ht="12.75" customHeight="1" x14ac:dyDescent="0.2">
      <c r="A2" s="171" t="s">
        <v>612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</row>
    <row r="3" spans="1:14" ht="30" customHeight="1" x14ac:dyDescent="0.2">
      <c r="A3" s="90" t="s">
        <v>613</v>
      </c>
      <c r="B3" s="90" t="s">
        <v>614</v>
      </c>
      <c r="C3" s="90" t="s">
        <v>615</v>
      </c>
      <c r="D3" s="90" t="s">
        <v>616</v>
      </c>
      <c r="E3" s="90" t="s">
        <v>617</v>
      </c>
      <c r="F3" s="90" t="s">
        <v>618</v>
      </c>
      <c r="G3" s="90" t="s">
        <v>619</v>
      </c>
      <c r="H3" s="90" t="s">
        <v>620</v>
      </c>
      <c r="I3" s="90" t="s">
        <v>621</v>
      </c>
      <c r="J3" s="90" t="s">
        <v>622</v>
      </c>
      <c r="K3" s="90" t="s">
        <v>623</v>
      </c>
      <c r="L3" s="90" t="s">
        <v>624</v>
      </c>
      <c r="M3" s="90" t="s">
        <v>625</v>
      </c>
      <c r="N3" s="90" t="s">
        <v>626</v>
      </c>
    </row>
    <row r="4" spans="1:14" ht="19.5" customHeight="1" x14ac:dyDescent="0.2">
      <c r="A4" s="170" t="s">
        <v>627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</row>
    <row r="5" spans="1:14" ht="15.75" customHeight="1" x14ac:dyDescent="0.2">
      <c r="A5" s="91" t="s">
        <v>628</v>
      </c>
      <c r="B5" s="92" t="s">
        <v>629</v>
      </c>
      <c r="C5" s="93">
        <v>740</v>
      </c>
      <c r="D5" s="94">
        <v>268</v>
      </c>
      <c r="E5" s="94">
        <v>188</v>
      </c>
      <c r="F5" s="94">
        <v>154</v>
      </c>
      <c r="G5" s="94">
        <v>29</v>
      </c>
      <c r="H5" s="94">
        <v>73</v>
      </c>
      <c r="I5" s="94">
        <v>24</v>
      </c>
      <c r="J5" s="94">
        <v>4</v>
      </c>
      <c r="K5" s="95">
        <v>24</v>
      </c>
      <c r="L5" s="96">
        <v>270</v>
      </c>
      <c r="M5" s="95">
        <v>14</v>
      </c>
      <c r="N5" s="96">
        <v>333</v>
      </c>
    </row>
    <row r="6" spans="1:14" ht="15.75" customHeight="1" x14ac:dyDescent="0.2">
      <c r="A6" s="91" t="s">
        <v>628</v>
      </c>
      <c r="B6" s="97" t="s">
        <v>630</v>
      </c>
      <c r="C6" s="93">
        <v>630</v>
      </c>
      <c r="D6" s="94">
        <v>544</v>
      </c>
      <c r="E6" s="94">
        <v>70</v>
      </c>
      <c r="F6" s="94">
        <v>9</v>
      </c>
      <c r="G6" s="94">
        <v>2</v>
      </c>
      <c r="H6" s="94">
        <v>4</v>
      </c>
      <c r="I6" s="94">
        <v>0</v>
      </c>
      <c r="J6" s="94">
        <v>1</v>
      </c>
      <c r="K6" s="95">
        <v>139</v>
      </c>
      <c r="L6" s="96">
        <v>59</v>
      </c>
      <c r="M6" s="95">
        <v>162</v>
      </c>
      <c r="N6" s="96">
        <v>81</v>
      </c>
    </row>
    <row r="7" spans="1:14" ht="15.75" customHeight="1" x14ac:dyDescent="0.2">
      <c r="A7" s="91" t="s">
        <v>628</v>
      </c>
      <c r="B7" s="98" t="s">
        <v>631</v>
      </c>
      <c r="C7" s="93">
        <v>1436</v>
      </c>
      <c r="D7" s="94">
        <v>1295</v>
      </c>
      <c r="E7" s="94">
        <v>113</v>
      </c>
      <c r="F7" s="94">
        <v>13</v>
      </c>
      <c r="G7" s="94">
        <v>7</v>
      </c>
      <c r="H7" s="94">
        <v>8</v>
      </c>
      <c r="I7" s="95">
        <v>0</v>
      </c>
      <c r="J7" s="95">
        <v>0</v>
      </c>
      <c r="K7" s="95">
        <v>327</v>
      </c>
      <c r="L7" s="96">
        <v>127</v>
      </c>
      <c r="M7" s="95">
        <v>319</v>
      </c>
      <c r="N7" s="96">
        <v>116</v>
      </c>
    </row>
    <row r="8" spans="1:14" ht="4.5" customHeight="1" x14ac:dyDescent="0.2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</row>
    <row r="9" spans="1:14" ht="15.75" customHeight="1" x14ac:dyDescent="0.2">
      <c r="A9" s="91" t="s">
        <v>632</v>
      </c>
      <c r="B9" s="92" t="s">
        <v>629</v>
      </c>
      <c r="C9" s="93">
        <v>379</v>
      </c>
      <c r="D9" s="94">
        <v>128</v>
      </c>
      <c r="E9" s="94">
        <v>74</v>
      </c>
      <c r="F9" s="94">
        <v>101</v>
      </c>
      <c r="G9" s="94">
        <v>19</v>
      </c>
      <c r="H9" s="94">
        <v>33</v>
      </c>
      <c r="I9" s="94">
        <v>13</v>
      </c>
      <c r="J9" s="94">
        <v>11</v>
      </c>
      <c r="K9" s="95">
        <v>6</v>
      </c>
      <c r="L9" s="96">
        <v>146</v>
      </c>
      <c r="M9" s="95">
        <v>6</v>
      </c>
      <c r="N9" s="96">
        <v>181</v>
      </c>
    </row>
    <row r="10" spans="1:14" ht="15.75" customHeight="1" x14ac:dyDescent="0.2">
      <c r="A10" s="91" t="s">
        <v>632</v>
      </c>
      <c r="B10" s="97" t="s">
        <v>630</v>
      </c>
      <c r="C10" s="93">
        <v>365</v>
      </c>
      <c r="D10" s="94">
        <v>287</v>
      </c>
      <c r="E10" s="94">
        <v>61</v>
      </c>
      <c r="F10" s="94">
        <v>9</v>
      </c>
      <c r="G10" s="94">
        <v>2</v>
      </c>
      <c r="H10" s="94">
        <v>4</v>
      </c>
      <c r="I10" s="94">
        <v>2</v>
      </c>
      <c r="J10" s="95">
        <v>0</v>
      </c>
      <c r="K10" s="95">
        <v>77</v>
      </c>
      <c r="L10" s="96">
        <v>31</v>
      </c>
      <c r="M10" s="95">
        <v>85</v>
      </c>
      <c r="N10" s="96">
        <v>48</v>
      </c>
    </row>
    <row r="11" spans="1:14" ht="15.75" customHeight="1" x14ac:dyDescent="0.2">
      <c r="A11" s="91" t="s">
        <v>632</v>
      </c>
      <c r="B11" s="98" t="s">
        <v>631</v>
      </c>
      <c r="C11" s="93">
        <v>893</v>
      </c>
      <c r="D11" s="94">
        <v>763</v>
      </c>
      <c r="E11" s="94">
        <v>99</v>
      </c>
      <c r="F11" s="94">
        <v>16</v>
      </c>
      <c r="G11" s="94">
        <v>12</v>
      </c>
      <c r="H11" s="94">
        <v>4</v>
      </c>
      <c r="I11" s="95">
        <v>0</v>
      </c>
      <c r="J11" s="95">
        <v>0</v>
      </c>
      <c r="K11" s="95">
        <v>196</v>
      </c>
      <c r="L11" s="96">
        <v>84</v>
      </c>
      <c r="M11" s="95">
        <v>184</v>
      </c>
      <c r="N11" s="96">
        <v>101</v>
      </c>
    </row>
    <row r="12" spans="1:14" ht="4.5" customHeight="1" x14ac:dyDescent="0.2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</row>
    <row r="13" spans="1:14" ht="15.75" customHeight="1" x14ac:dyDescent="0.2">
      <c r="A13" s="91" t="s">
        <v>633</v>
      </c>
      <c r="B13" s="92" t="s">
        <v>629</v>
      </c>
      <c r="C13" s="93">
        <v>483</v>
      </c>
      <c r="D13" s="94">
        <v>172</v>
      </c>
      <c r="E13" s="94">
        <v>81</v>
      </c>
      <c r="F13" s="94">
        <v>109</v>
      </c>
      <c r="G13" s="94">
        <v>24</v>
      </c>
      <c r="H13" s="94">
        <v>61</v>
      </c>
      <c r="I13" s="94">
        <v>19</v>
      </c>
      <c r="J13" s="94">
        <v>17</v>
      </c>
      <c r="K13" s="95">
        <v>10</v>
      </c>
      <c r="L13" s="96">
        <v>165</v>
      </c>
      <c r="M13" s="95">
        <v>11</v>
      </c>
      <c r="N13" s="96">
        <v>239</v>
      </c>
    </row>
    <row r="14" spans="1:14" ht="15.75" customHeight="1" x14ac:dyDescent="0.2">
      <c r="A14" s="91" t="s">
        <v>633</v>
      </c>
      <c r="B14" s="97" t="s">
        <v>630</v>
      </c>
      <c r="C14" s="93">
        <v>384</v>
      </c>
      <c r="D14" s="94">
        <v>317</v>
      </c>
      <c r="E14" s="94">
        <v>48</v>
      </c>
      <c r="F14" s="94">
        <v>16</v>
      </c>
      <c r="G14" s="94">
        <v>0</v>
      </c>
      <c r="H14" s="94">
        <v>3</v>
      </c>
      <c r="I14" s="94">
        <v>0</v>
      </c>
      <c r="J14" s="95">
        <v>0</v>
      </c>
      <c r="K14" s="95">
        <v>66</v>
      </c>
      <c r="L14" s="96">
        <v>37</v>
      </c>
      <c r="M14" s="95">
        <v>71</v>
      </c>
      <c r="N14" s="96">
        <v>55</v>
      </c>
    </row>
    <row r="15" spans="1:14" ht="15.75" customHeight="1" x14ac:dyDescent="0.2">
      <c r="A15" s="91" t="s">
        <v>633</v>
      </c>
      <c r="B15" s="98" t="s">
        <v>631</v>
      </c>
      <c r="C15" s="93">
        <v>987</v>
      </c>
      <c r="D15" s="94">
        <v>870</v>
      </c>
      <c r="E15" s="94">
        <v>89</v>
      </c>
      <c r="F15" s="94">
        <v>15</v>
      </c>
      <c r="G15" s="94">
        <v>7</v>
      </c>
      <c r="H15" s="94">
        <v>7</v>
      </c>
      <c r="I15" s="95">
        <v>0</v>
      </c>
      <c r="J15" s="95">
        <v>0</v>
      </c>
      <c r="K15" s="95">
        <v>225</v>
      </c>
      <c r="L15" s="96">
        <v>100</v>
      </c>
      <c r="M15" s="95">
        <v>168</v>
      </c>
      <c r="N15" s="96">
        <v>94</v>
      </c>
    </row>
    <row r="16" spans="1:14" ht="4.5" customHeight="1" x14ac:dyDescent="0.2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</row>
    <row r="17" spans="1:14" ht="15.75" customHeight="1" x14ac:dyDescent="0.2">
      <c r="A17" s="91" t="s">
        <v>634</v>
      </c>
      <c r="B17" s="92" t="s">
        <v>629</v>
      </c>
      <c r="C17" s="93">
        <v>507</v>
      </c>
      <c r="D17" s="94">
        <v>164</v>
      </c>
      <c r="E17" s="94">
        <v>123</v>
      </c>
      <c r="F17" s="94">
        <v>95</v>
      </c>
      <c r="G17" s="94">
        <v>30</v>
      </c>
      <c r="H17" s="94">
        <v>63</v>
      </c>
      <c r="I17" s="94">
        <v>21</v>
      </c>
      <c r="J17" s="94">
        <v>11</v>
      </c>
      <c r="K17" s="95">
        <v>16</v>
      </c>
      <c r="L17" s="96">
        <v>176</v>
      </c>
      <c r="M17" s="95">
        <v>9</v>
      </c>
      <c r="N17" s="96">
        <v>255</v>
      </c>
    </row>
    <row r="18" spans="1:14" ht="15.75" customHeight="1" x14ac:dyDescent="0.2">
      <c r="A18" s="91" t="s">
        <v>634</v>
      </c>
      <c r="B18" s="97" t="s">
        <v>630</v>
      </c>
      <c r="C18" s="93">
        <v>519</v>
      </c>
      <c r="D18" s="94">
        <v>386</v>
      </c>
      <c r="E18" s="94">
        <v>87</v>
      </c>
      <c r="F18" s="94">
        <v>38</v>
      </c>
      <c r="G18" s="94">
        <v>2</v>
      </c>
      <c r="H18" s="94">
        <v>6</v>
      </c>
      <c r="I18" s="94">
        <v>1</v>
      </c>
      <c r="J18" s="95">
        <v>0</v>
      </c>
      <c r="K18" s="95">
        <v>108</v>
      </c>
      <c r="L18" s="96">
        <v>46</v>
      </c>
      <c r="M18" s="95">
        <v>90</v>
      </c>
      <c r="N18" s="96">
        <v>59</v>
      </c>
    </row>
    <row r="19" spans="1:14" ht="15.75" customHeight="1" x14ac:dyDescent="0.2">
      <c r="A19" s="91" t="s">
        <v>634</v>
      </c>
      <c r="B19" s="98" t="s">
        <v>631</v>
      </c>
      <c r="C19" s="93">
        <v>996</v>
      </c>
      <c r="D19" s="94">
        <v>885</v>
      </c>
      <c r="E19" s="94">
        <v>85</v>
      </c>
      <c r="F19" s="94">
        <v>16</v>
      </c>
      <c r="G19" s="94">
        <v>5</v>
      </c>
      <c r="H19" s="94">
        <v>6</v>
      </c>
      <c r="I19" s="95">
        <v>0</v>
      </c>
      <c r="J19" s="95">
        <v>0</v>
      </c>
      <c r="K19" s="95">
        <v>219</v>
      </c>
      <c r="L19" s="96">
        <v>106</v>
      </c>
      <c r="M19" s="95">
        <v>181</v>
      </c>
      <c r="N19" s="96">
        <v>80</v>
      </c>
    </row>
    <row r="20" spans="1:14" ht="4.5" customHeight="1" x14ac:dyDescent="0.2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</row>
    <row r="21" spans="1:14" ht="15.75" customHeight="1" x14ac:dyDescent="0.2">
      <c r="A21" s="91" t="s">
        <v>635</v>
      </c>
      <c r="B21" s="92" t="s">
        <v>629</v>
      </c>
      <c r="C21" s="93">
        <v>606</v>
      </c>
      <c r="D21" s="94">
        <v>234</v>
      </c>
      <c r="E21" s="94">
        <v>136</v>
      </c>
      <c r="F21" s="94">
        <v>122</v>
      </c>
      <c r="G21" s="94">
        <v>23</v>
      </c>
      <c r="H21" s="94">
        <v>60</v>
      </c>
      <c r="I21" s="94">
        <v>25</v>
      </c>
      <c r="J21" s="94">
        <v>6</v>
      </c>
      <c r="K21" s="95">
        <v>8</v>
      </c>
      <c r="L21" s="96">
        <v>212</v>
      </c>
      <c r="M21" s="95">
        <v>11</v>
      </c>
      <c r="N21" s="96">
        <v>289</v>
      </c>
    </row>
    <row r="22" spans="1:14" ht="15.75" customHeight="1" x14ac:dyDescent="0.2">
      <c r="A22" s="91" t="s">
        <v>635</v>
      </c>
      <c r="B22" s="97" t="s">
        <v>630</v>
      </c>
      <c r="C22" s="93">
        <v>575</v>
      </c>
      <c r="D22" s="94">
        <v>448</v>
      </c>
      <c r="E22" s="94">
        <v>85</v>
      </c>
      <c r="F22" s="94">
        <v>31</v>
      </c>
      <c r="G22" s="94">
        <v>5</v>
      </c>
      <c r="H22" s="94">
        <v>6</v>
      </c>
      <c r="I22" s="94">
        <v>2</v>
      </c>
      <c r="J22" s="94">
        <v>0</v>
      </c>
      <c r="K22" s="95">
        <v>135</v>
      </c>
      <c r="L22" s="96">
        <v>44</v>
      </c>
      <c r="M22" s="95">
        <v>93</v>
      </c>
      <c r="N22" s="96">
        <v>63</v>
      </c>
    </row>
    <row r="23" spans="1:14" ht="15.75" customHeight="1" x14ac:dyDescent="0.2">
      <c r="A23" s="91" t="s">
        <v>635</v>
      </c>
      <c r="B23" s="98" t="s">
        <v>631</v>
      </c>
      <c r="C23" s="93">
        <v>908</v>
      </c>
      <c r="D23" s="94">
        <v>793</v>
      </c>
      <c r="E23" s="94">
        <v>90</v>
      </c>
      <c r="F23" s="94">
        <v>13</v>
      </c>
      <c r="G23" s="94">
        <v>7</v>
      </c>
      <c r="H23" s="94">
        <v>5</v>
      </c>
      <c r="I23" s="95">
        <v>0</v>
      </c>
      <c r="J23" s="95">
        <v>0</v>
      </c>
      <c r="K23" s="95">
        <v>219</v>
      </c>
      <c r="L23" s="96">
        <v>69</v>
      </c>
      <c r="M23" s="95">
        <v>155</v>
      </c>
      <c r="N23" s="96">
        <v>105</v>
      </c>
    </row>
    <row r="24" spans="1:14" ht="4.5" customHeight="1" x14ac:dyDescent="0.2">
      <c r="A24" s="9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</row>
    <row r="25" spans="1:14" ht="15.75" customHeight="1" x14ac:dyDescent="0.2">
      <c r="A25" s="91" t="s">
        <v>636</v>
      </c>
      <c r="B25" s="92" t="s">
        <v>629</v>
      </c>
      <c r="C25" s="93">
        <v>568</v>
      </c>
      <c r="D25" s="94">
        <v>222</v>
      </c>
      <c r="E25" s="94">
        <v>116</v>
      </c>
      <c r="F25" s="94">
        <v>122</v>
      </c>
      <c r="G25" s="94">
        <v>16</v>
      </c>
      <c r="H25" s="94">
        <v>71</v>
      </c>
      <c r="I25" s="94">
        <v>14</v>
      </c>
      <c r="J25" s="94">
        <v>8</v>
      </c>
      <c r="K25" s="95">
        <v>12</v>
      </c>
      <c r="L25" s="96">
        <v>203</v>
      </c>
      <c r="M25" s="95">
        <v>8</v>
      </c>
      <c r="N25" s="96">
        <v>264</v>
      </c>
    </row>
    <row r="26" spans="1:14" ht="15.75" customHeight="1" x14ac:dyDescent="0.2">
      <c r="A26" s="91" t="s">
        <v>636</v>
      </c>
      <c r="B26" s="97" t="s">
        <v>630</v>
      </c>
      <c r="C26" s="93">
        <v>686</v>
      </c>
      <c r="D26" s="94">
        <v>502</v>
      </c>
      <c r="E26" s="94">
        <v>118</v>
      </c>
      <c r="F26" s="94">
        <v>54</v>
      </c>
      <c r="G26" s="94">
        <v>6</v>
      </c>
      <c r="H26" s="94">
        <v>6</v>
      </c>
      <c r="I26" s="94">
        <v>1</v>
      </c>
      <c r="J26" s="95">
        <v>0</v>
      </c>
      <c r="K26" s="95">
        <v>142</v>
      </c>
      <c r="L26" s="96">
        <v>66</v>
      </c>
      <c r="M26" s="95">
        <v>124</v>
      </c>
      <c r="N26" s="96">
        <v>87</v>
      </c>
    </row>
    <row r="27" spans="1:14" ht="15.75" customHeight="1" x14ac:dyDescent="0.2">
      <c r="A27" s="91" t="s">
        <v>636</v>
      </c>
      <c r="B27" s="98" t="s">
        <v>631</v>
      </c>
      <c r="C27" s="93">
        <v>826</v>
      </c>
      <c r="D27" s="94">
        <v>718</v>
      </c>
      <c r="E27" s="94">
        <v>84</v>
      </c>
      <c r="F27" s="94">
        <v>21</v>
      </c>
      <c r="G27" s="94">
        <v>3</v>
      </c>
      <c r="H27" s="94">
        <v>3</v>
      </c>
      <c r="I27" s="95">
        <v>0</v>
      </c>
      <c r="J27" s="95">
        <v>0</v>
      </c>
      <c r="K27" s="95">
        <v>184</v>
      </c>
      <c r="L27" s="96">
        <v>82</v>
      </c>
      <c r="M27" s="95">
        <v>153</v>
      </c>
      <c r="N27" s="96">
        <v>80</v>
      </c>
    </row>
    <row r="28" spans="1:14" ht="4.5" customHeight="1" x14ac:dyDescent="0.2">
      <c r="A28" s="99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</row>
    <row r="29" spans="1:14" ht="15.75" customHeight="1" x14ac:dyDescent="0.2">
      <c r="A29" s="91" t="s">
        <v>637</v>
      </c>
      <c r="B29" s="92" t="s">
        <v>629</v>
      </c>
      <c r="C29" s="93">
        <v>575</v>
      </c>
      <c r="D29" s="94">
        <v>229</v>
      </c>
      <c r="E29" s="94">
        <v>120</v>
      </c>
      <c r="F29" s="94">
        <v>111</v>
      </c>
      <c r="G29" s="94">
        <v>23</v>
      </c>
      <c r="H29" s="94">
        <v>63</v>
      </c>
      <c r="I29" s="94">
        <v>20</v>
      </c>
      <c r="J29" s="94">
        <v>11</v>
      </c>
      <c r="K29" s="95">
        <v>10</v>
      </c>
      <c r="L29" s="96">
        <v>185</v>
      </c>
      <c r="M29" s="95">
        <v>7</v>
      </c>
      <c r="N29" s="96">
        <v>270</v>
      </c>
    </row>
    <row r="30" spans="1:14" ht="15.75" customHeight="1" x14ac:dyDescent="0.2">
      <c r="A30" s="91" t="s">
        <v>637</v>
      </c>
      <c r="B30" s="97" t="s">
        <v>630</v>
      </c>
      <c r="C30" s="93">
        <v>806</v>
      </c>
      <c r="D30" s="94">
        <v>578</v>
      </c>
      <c r="E30" s="94">
        <v>124</v>
      </c>
      <c r="F30" s="94">
        <v>84</v>
      </c>
      <c r="G30" s="94">
        <v>11</v>
      </c>
      <c r="H30" s="94">
        <v>12</v>
      </c>
      <c r="I30" s="95">
        <v>1</v>
      </c>
      <c r="J30" s="95">
        <v>0</v>
      </c>
      <c r="K30" s="95">
        <v>192</v>
      </c>
      <c r="L30" s="96">
        <v>81</v>
      </c>
      <c r="M30" s="95">
        <v>132</v>
      </c>
      <c r="N30" s="96">
        <v>110</v>
      </c>
    </row>
    <row r="31" spans="1:14" ht="15.75" customHeight="1" x14ac:dyDescent="0.2">
      <c r="A31" s="91" t="s">
        <v>637</v>
      </c>
      <c r="B31" s="98" t="s">
        <v>631</v>
      </c>
      <c r="C31" s="93">
        <v>898</v>
      </c>
      <c r="D31" s="94">
        <v>763</v>
      </c>
      <c r="E31" s="94">
        <v>105</v>
      </c>
      <c r="F31" s="94">
        <v>17</v>
      </c>
      <c r="G31" s="94">
        <v>9</v>
      </c>
      <c r="H31" s="94">
        <v>5</v>
      </c>
      <c r="I31" s="94">
        <v>1</v>
      </c>
      <c r="J31" s="95">
        <v>0</v>
      </c>
      <c r="K31" s="95">
        <v>222</v>
      </c>
      <c r="L31" s="96">
        <v>89</v>
      </c>
      <c r="M31" s="95">
        <v>160</v>
      </c>
      <c r="N31" s="96">
        <v>115</v>
      </c>
    </row>
    <row r="32" spans="1:14" ht="4.5" customHeight="1" x14ac:dyDescent="0.2">
      <c r="A32" s="99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</row>
    <row r="33" spans="1:14" ht="15.75" customHeight="1" x14ac:dyDescent="0.2">
      <c r="A33" s="91" t="s">
        <v>638</v>
      </c>
      <c r="B33" s="92" t="s">
        <v>629</v>
      </c>
      <c r="C33" s="93">
        <v>609</v>
      </c>
      <c r="D33" s="94">
        <v>217</v>
      </c>
      <c r="E33" s="94">
        <v>125</v>
      </c>
      <c r="F33" s="94">
        <v>135</v>
      </c>
      <c r="G33" s="94">
        <v>23</v>
      </c>
      <c r="H33" s="94">
        <v>66</v>
      </c>
      <c r="I33" s="94">
        <v>30</v>
      </c>
      <c r="J33" s="94">
        <v>14</v>
      </c>
      <c r="K33" s="95">
        <v>10</v>
      </c>
      <c r="L33" s="96">
        <v>207</v>
      </c>
      <c r="M33" s="95">
        <v>6</v>
      </c>
      <c r="N33" s="96">
        <v>290</v>
      </c>
    </row>
    <row r="34" spans="1:14" ht="15.75" customHeight="1" x14ac:dyDescent="0.2">
      <c r="A34" s="91" t="s">
        <v>638</v>
      </c>
      <c r="B34" s="97" t="s">
        <v>630</v>
      </c>
      <c r="C34" s="93">
        <v>962</v>
      </c>
      <c r="D34" s="94">
        <v>685</v>
      </c>
      <c r="E34" s="94">
        <v>154</v>
      </c>
      <c r="F34" s="94">
        <v>93</v>
      </c>
      <c r="G34" s="94">
        <v>14</v>
      </c>
      <c r="H34" s="94">
        <v>19</v>
      </c>
      <c r="I34" s="94">
        <v>5</v>
      </c>
      <c r="J34" s="95">
        <v>0</v>
      </c>
      <c r="K34" s="95">
        <v>220</v>
      </c>
      <c r="L34" s="96">
        <v>99</v>
      </c>
      <c r="M34" s="95">
        <v>134</v>
      </c>
      <c r="N34" s="96">
        <v>143</v>
      </c>
    </row>
    <row r="35" spans="1:14" ht="15.75" customHeight="1" x14ac:dyDescent="0.2">
      <c r="A35" s="91" t="s">
        <v>638</v>
      </c>
      <c r="B35" s="98" t="s">
        <v>631</v>
      </c>
      <c r="C35" s="93">
        <v>888</v>
      </c>
      <c r="D35" s="94">
        <v>747</v>
      </c>
      <c r="E35" s="94">
        <v>106</v>
      </c>
      <c r="F35" s="94">
        <v>20</v>
      </c>
      <c r="G35" s="94">
        <v>5</v>
      </c>
      <c r="H35" s="94">
        <v>8</v>
      </c>
      <c r="I35" s="94">
        <v>2</v>
      </c>
      <c r="J35" s="94">
        <v>1</v>
      </c>
      <c r="K35" s="95">
        <v>220</v>
      </c>
      <c r="L35" s="96">
        <v>77</v>
      </c>
      <c r="M35" s="95">
        <v>144</v>
      </c>
      <c r="N35" s="96">
        <v>129</v>
      </c>
    </row>
    <row r="36" spans="1:14" ht="4.5" customHeight="1" x14ac:dyDescent="0.2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</row>
    <row r="37" spans="1:14" ht="15.75" customHeight="1" x14ac:dyDescent="0.2">
      <c r="A37" s="91" t="s">
        <v>639</v>
      </c>
      <c r="B37" s="92" t="s">
        <v>629</v>
      </c>
      <c r="C37" s="93">
        <v>532</v>
      </c>
      <c r="D37" s="94">
        <v>191</v>
      </c>
      <c r="E37" s="94">
        <v>112</v>
      </c>
      <c r="F37" s="94">
        <v>123</v>
      </c>
      <c r="G37" s="94">
        <v>13</v>
      </c>
      <c r="H37" s="94">
        <v>49</v>
      </c>
      <c r="I37" s="94">
        <v>25</v>
      </c>
      <c r="J37" s="94">
        <v>19</v>
      </c>
      <c r="K37" s="95">
        <v>17</v>
      </c>
      <c r="L37" s="96">
        <v>157</v>
      </c>
      <c r="M37" s="95">
        <v>7</v>
      </c>
      <c r="N37" s="96">
        <v>237</v>
      </c>
    </row>
    <row r="38" spans="1:14" ht="15.75" customHeight="1" x14ac:dyDescent="0.2">
      <c r="A38" s="91" t="s">
        <v>639</v>
      </c>
      <c r="B38" s="97" t="s">
        <v>630</v>
      </c>
      <c r="C38" s="93">
        <v>932</v>
      </c>
      <c r="D38" s="94">
        <v>699</v>
      </c>
      <c r="E38" s="94">
        <v>147</v>
      </c>
      <c r="F38" s="94">
        <v>62</v>
      </c>
      <c r="G38" s="94">
        <v>12</v>
      </c>
      <c r="H38" s="94">
        <v>13</v>
      </c>
      <c r="I38" s="94">
        <v>1</v>
      </c>
      <c r="J38" s="95">
        <v>0</v>
      </c>
      <c r="K38" s="95">
        <v>198</v>
      </c>
      <c r="L38" s="96">
        <v>77</v>
      </c>
      <c r="M38" s="95">
        <v>155</v>
      </c>
      <c r="N38" s="96">
        <v>140</v>
      </c>
    </row>
    <row r="39" spans="1:14" ht="15.75" customHeight="1" x14ac:dyDescent="0.2">
      <c r="A39" s="91" t="s">
        <v>639</v>
      </c>
      <c r="B39" s="98" t="s">
        <v>631</v>
      </c>
      <c r="C39" s="93">
        <v>766</v>
      </c>
      <c r="D39" s="94">
        <v>636</v>
      </c>
      <c r="E39" s="94">
        <v>117</v>
      </c>
      <c r="F39" s="94">
        <v>10</v>
      </c>
      <c r="G39" s="94">
        <v>0</v>
      </c>
      <c r="H39" s="94">
        <v>3</v>
      </c>
      <c r="I39" s="95">
        <v>0</v>
      </c>
      <c r="J39" s="95">
        <v>0</v>
      </c>
      <c r="K39" s="95">
        <v>165</v>
      </c>
      <c r="L39" s="96">
        <v>63</v>
      </c>
      <c r="M39" s="95">
        <v>143</v>
      </c>
      <c r="N39" s="96">
        <v>108</v>
      </c>
    </row>
    <row r="40" spans="1:14" ht="4.5" customHeight="1" x14ac:dyDescent="0.2">
      <c r="A40" s="99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</row>
    <row r="41" spans="1:14" ht="15.75" customHeight="1" x14ac:dyDescent="0.2">
      <c r="A41" s="91" t="s">
        <v>640</v>
      </c>
      <c r="B41" s="92" t="s">
        <v>629</v>
      </c>
      <c r="C41" s="93">
        <v>739</v>
      </c>
      <c r="D41" s="94">
        <v>274</v>
      </c>
      <c r="E41" s="94">
        <v>165</v>
      </c>
      <c r="F41" s="94">
        <v>164</v>
      </c>
      <c r="G41" s="94">
        <v>29</v>
      </c>
      <c r="H41" s="94">
        <v>62</v>
      </c>
      <c r="I41" s="94">
        <v>31</v>
      </c>
      <c r="J41" s="94">
        <v>15</v>
      </c>
      <c r="K41" s="95">
        <v>18</v>
      </c>
      <c r="L41" s="96">
        <v>133</v>
      </c>
      <c r="M41" s="95">
        <v>14</v>
      </c>
      <c r="N41" s="96">
        <v>320</v>
      </c>
    </row>
    <row r="42" spans="1:14" ht="15.75" customHeight="1" x14ac:dyDescent="0.2">
      <c r="A42" s="91" t="s">
        <v>640</v>
      </c>
      <c r="B42" s="97" t="s">
        <v>630</v>
      </c>
      <c r="C42" s="93">
        <v>1213</v>
      </c>
      <c r="D42" s="94">
        <v>891</v>
      </c>
      <c r="E42" s="94">
        <v>218</v>
      </c>
      <c r="F42" s="94">
        <v>81</v>
      </c>
      <c r="G42" s="94">
        <v>13</v>
      </c>
      <c r="H42" s="94">
        <v>19</v>
      </c>
      <c r="I42" s="94">
        <v>2</v>
      </c>
      <c r="J42" s="95">
        <v>0</v>
      </c>
      <c r="K42" s="95">
        <v>306</v>
      </c>
      <c r="L42" s="96">
        <v>105</v>
      </c>
      <c r="M42" s="95">
        <v>171</v>
      </c>
      <c r="N42" s="96">
        <v>199</v>
      </c>
    </row>
    <row r="43" spans="1:14" ht="15.75" customHeight="1" x14ac:dyDescent="0.2">
      <c r="A43" s="91" t="s">
        <v>640</v>
      </c>
      <c r="B43" s="98" t="s">
        <v>631</v>
      </c>
      <c r="C43" s="93">
        <v>738</v>
      </c>
      <c r="D43" s="94">
        <v>643</v>
      </c>
      <c r="E43" s="94">
        <v>85</v>
      </c>
      <c r="F43" s="94">
        <v>10</v>
      </c>
      <c r="G43" s="94">
        <v>1</v>
      </c>
      <c r="H43" s="94">
        <v>4</v>
      </c>
      <c r="I43" s="94">
        <v>1</v>
      </c>
      <c r="J43" s="95">
        <v>0</v>
      </c>
      <c r="K43" s="95">
        <v>193</v>
      </c>
      <c r="L43" s="96">
        <v>48</v>
      </c>
      <c r="M43" s="95">
        <v>122</v>
      </c>
      <c r="N43" s="96">
        <v>94</v>
      </c>
    </row>
    <row r="44" spans="1:14" ht="4.5" customHeight="1" x14ac:dyDescent="0.2">
      <c r="A44" s="99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</row>
    <row r="45" spans="1:14" ht="15.75" customHeight="1" x14ac:dyDescent="0.2">
      <c r="A45" s="91" t="s">
        <v>641</v>
      </c>
      <c r="B45" s="92" t="s">
        <v>629</v>
      </c>
      <c r="C45" s="93">
        <v>772</v>
      </c>
      <c r="D45" s="94">
        <v>297</v>
      </c>
      <c r="E45" s="94">
        <v>165</v>
      </c>
      <c r="F45" s="94">
        <v>172</v>
      </c>
      <c r="G45" s="94">
        <v>20</v>
      </c>
      <c r="H45" s="94">
        <v>76</v>
      </c>
      <c r="I45" s="94">
        <v>27</v>
      </c>
      <c r="J45" s="94">
        <v>18</v>
      </c>
      <c r="K45" s="95">
        <v>24</v>
      </c>
      <c r="L45" s="96">
        <v>163</v>
      </c>
      <c r="M45" s="95">
        <v>18</v>
      </c>
      <c r="N45" s="96">
        <v>353</v>
      </c>
    </row>
    <row r="46" spans="1:14" ht="15.75" customHeight="1" x14ac:dyDescent="0.2">
      <c r="A46" s="91" t="s">
        <v>641</v>
      </c>
      <c r="B46" s="97" t="s">
        <v>630</v>
      </c>
      <c r="C46" s="93">
        <v>1146</v>
      </c>
      <c r="D46" s="94">
        <v>860</v>
      </c>
      <c r="E46" s="94">
        <v>198</v>
      </c>
      <c r="F46" s="94">
        <v>87</v>
      </c>
      <c r="G46" s="94">
        <v>10</v>
      </c>
      <c r="H46" s="94">
        <v>10</v>
      </c>
      <c r="I46" s="94">
        <v>1</v>
      </c>
      <c r="J46" s="95">
        <v>0</v>
      </c>
      <c r="K46" s="95">
        <v>247</v>
      </c>
      <c r="L46" s="96">
        <v>85</v>
      </c>
      <c r="M46" s="95">
        <v>181</v>
      </c>
      <c r="N46" s="96">
        <v>191</v>
      </c>
    </row>
    <row r="47" spans="1:14" ht="15.75" customHeight="1" x14ac:dyDescent="0.2">
      <c r="A47" s="91" t="s">
        <v>641</v>
      </c>
      <c r="B47" s="98" t="s">
        <v>631</v>
      </c>
      <c r="C47" s="93">
        <v>983</v>
      </c>
      <c r="D47" s="94">
        <v>828</v>
      </c>
      <c r="E47" s="94">
        <v>136</v>
      </c>
      <c r="F47" s="94">
        <v>17</v>
      </c>
      <c r="G47" s="94">
        <v>7</v>
      </c>
      <c r="H47" s="94">
        <v>6</v>
      </c>
      <c r="I47" s="94">
        <v>0</v>
      </c>
      <c r="J47" s="95">
        <v>0</v>
      </c>
      <c r="K47" s="95">
        <v>262</v>
      </c>
      <c r="L47" s="96">
        <v>71</v>
      </c>
      <c r="M47" s="95">
        <v>168</v>
      </c>
      <c r="N47" s="96">
        <v>135</v>
      </c>
    </row>
    <row r="48" spans="1:14" ht="4.5" customHeight="1" x14ac:dyDescent="0.2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</row>
    <row r="49" spans="1:14" ht="15.75" customHeight="1" x14ac:dyDescent="0.2">
      <c r="A49" s="91" t="s">
        <v>642</v>
      </c>
      <c r="B49" s="92" t="s">
        <v>629</v>
      </c>
      <c r="C49" s="93">
        <v>920</v>
      </c>
      <c r="D49" s="94">
        <v>333</v>
      </c>
      <c r="E49" s="94">
        <v>176</v>
      </c>
      <c r="F49" s="94">
        <v>228</v>
      </c>
      <c r="G49" s="94">
        <v>22</v>
      </c>
      <c r="H49" s="94">
        <v>106</v>
      </c>
      <c r="I49" s="94">
        <v>43</v>
      </c>
      <c r="J49" s="94">
        <v>19</v>
      </c>
      <c r="K49" s="95">
        <v>16</v>
      </c>
      <c r="L49" s="96">
        <v>318</v>
      </c>
      <c r="M49" s="95">
        <v>23</v>
      </c>
      <c r="N49" s="96">
        <v>419</v>
      </c>
    </row>
    <row r="50" spans="1:14" ht="15.75" customHeight="1" x14ac:dyDescent="0.2">
      <c r="A50" s="91" t="s">
        <v>642</v>
      </c>
      <c r="B50" s="97" t="s">
        <v>630</v>
      </c>
      <c r="C50" s="93">
        <v>1161</v>
      </c>
      <c r="D50" s="94">
        <v>863</v>
      </c>
      <c r="E50" s="94">
        <v>184</v>
      </c>
      <c r="F50" s="94">
        <v>100</v>
      </c>
      <c r="G50" s="94">
        <v>15</v>
      </c>
      <c r="H50" s="94">
        <v>19</v>
      </c>
      <c r="I50" s="95">
        <v>0</v>
      </c>
      <c r="J50" s="95">
        <v>0</v>
      </c>
      <c r="K50" s="95">
        <v>228</v>
      </c>
      <c r="L50" s="96">
        <v>115</v>
      </c>
      <c r="M50" s="95">
        <v>210</v>
      </c>
      <c r="N50" s="96">
        <v>193</v>
      </c>
    </row>
    <row r="51" spans="1:14" ht="15.75" customHeight="1" x14ac:dyDescent="0.2">
      <c r="A51" s="91" t="s">
        <v>642</v>
      </c>
      <c r="B51" s="98" t="s">
        <v>631</v>
      </c>
      <c r="C51" s="93">
        <v>998</v>
      </c>
      <c r="D51" s="94">
        <v>841</v>
      </c>
      <c r="E51" s="94">
        <v>137</v>
      </c>
      <c r="F51" s="94">
        <v>19</v>
      </c>
      <c r="G51" s="94">
        <v>11</v>
      </c>
      <c r="H51" s="94">
        <v>10</v>
      </c>
      <c r="I51" s="95">
        <v>0</v>
      </c>
      <c r="J51" s="95">
        <v>0</v>
      </c>
      <c r="K51" s="95">
        <v>236</v>
      </c>
      <c r="L51" s="96">
        <v>84</v>
      </c>
      <c r="M51" s="95">
        <v>183</v>
      </c>
      <c r="N51" s="96">
        <v>159</v>
      </c>
    </row>
    <row r="52" spans="1:14" ht="4.5" customHeight="1" x14ac:dyDescent="0.2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</row>
    <row r="53" spans="1:14" ht="15.75" customHeight="1" x14ac:dyDescent="0.2">
      <c r="A53" s="91" t="s">
        <v>643</v>
      </c>
      <c r="B53" s="92" t="s">
        <v>629</v>
      </c>
      <c r="C53" s="93">
        <v>1100</v>
      </c>
      <c r="D53" s="94">
        <v>409</v>
      </c>
      <c r="E53" s="94">
        <v>159</v>
      </c>
      <c r="F53" s="94">
        <v>280</v>
      </c>
      <c r="G53" s="94">
        <v>30</v>
      </c>
      <c r="H53" s="94">
        <v>148</v>
      </c>
      <c r="I53" s="94">
        <v>58</v>
      </c>
      <c r="J53" s="94">
        <v>25</v>
      </c>
      <c r="K53" s="95">
        <v>15</v>
      </c>
      <c r="L53" s="96">
        <v>394</v>
      </c>
      <c r="M53" s="95">
        <v>27</v>
      </c>
      <c r="N53" s="96">
        <v>525</v>
      </c>
    </row>
    <row r="54" spans="1:14" ht="15.75" customHeight="1" x14ac:dyDescent="0.2">
      <c r="A54" s="91" t="s">
        <v>643</v>
      </c>
      <c r="B54" s="97" t="s">
        <v>630</v>
      </c>
      <c r="C54" s="93">
        <v>1233</v>
      </c>
      <c r="D54" s="94">
        <v>932</v>
      </c>
      <c r="E54" s="94">
        <v>218</v>
      </c>
      <c r="F54" s="94">
        <v>76</v>
      </c>
      <c r="G54" s="94">
        <v>12</v>
      </c>
      <c r="H54" s="94">
        <v>20</v>
      </c>
      <c r="I54" s="94">
        <v>2</v>
      </c>
      <c r="J54" s="95">
        <v>0</v>
      </c>
      <c r="K54" s="95">
        <v>264</v>
      </c>
      <c r="L54" s="96">
        <v>97</v>
      </c>
      <c r="M54" s="95">
        <v>238</v>
      </c>
      <c r="N54" s="96">
        <v>216</v>
      </c>
    </row>
    <row r="55" spans="1:14" ht="15.75" customHeight="1" x14ac:dyDescent="0.2">
      <c r="A55" s="91" t="s">
        <v>643</v>
      </c>
      <c r="B55" s="98" t="s">
        <v>631</v>
      </c>
      <c r="C55" s="93">
        <v>1119</v>
      </c>
      <c r="D55" s="94">
        <v>955</v>
      </c>
      <c r="E55" s="94">
        <v>150</v>
      </c>
      <c r="F55" s="94">
        <v>22</v>
      </c>
      <c r="G55" s="94">
        <v>10</v>
      </c>
      <c r="H55" s="94">
        <v>11</v>
      </c>
      <c r="I55" s="94">
        <v>1</v>
      </c>
      <c r="J55" s="95">
        <v>0</v>
      </c>
      <c r="K55" s="95">
        <v>255</v>
      </c>
      <c r="L55" s="96">
        <v>88</v>
      </c>
      <c r="M55" s="95">
        <v>201</v>
      </c>
      <c r="N55" s="96">
        <v>179</v>
      </c>
    </row>
    <row r="56" spans="1:14" ht="4.5" customHeight="1" x14ac:dyDescent="0.2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</row>
    <row r="57" spans="1:14" ht="15.75" customHeight="1" x14ac:dyDescent="0.2">
      <c r="A57" s="91" t="s">
        <v>644</v>
      </c>
      <c r="B57" s="92" t="s">
        <v>629</v>
      </c>
      <c r="C57" s="93">
        <v>703</v>
      </c>
      <c r="D57" s="94">
        <v>194</v>
      </c>
      <c r="E57" s="94">
        <v>83</v>
      </c>
      <c r="F57" s="94">
        <v>195</v>
      </c>
      <c r="G57" s="94">
        <v>26</v>
      </c>
      <c r="H57" s="94">
        <v>120</v>
      </c>
      <c r="I57" s="94">
        <v>62</v>
      </c>
      <c r="J57" s="94">
        <v>24</v>
      </c>
      <c r="K57" s="95">
        <v>17</v>
      </c>
      <c r="L57" s="96">
        <v>229</v>
      </c>
      <c r="M57" s="95">
        <v>15</v>
      </c>
      <c r="N57" s="96">
        <v>382</v>
      </c>
    </row>
    <row r="58" spans="1:14" ht="15.75" customHeight="1" x14ac:dyDescent="0.2">
      <c r="A58" s="91" t="s">
        <v>644</v>
      </c>
      <c r="B58" s="97" t="s">
        <v>630</v>
      </c>
      <c r="C58" s="93">
        <v>1099</v>
      </c>
      <c r="D58" s="94">
        <v>862</v>
      </c>
      <c r="E58" s="94">
        <v>185</v>
      </c>
      <c r="F58" s="94">
        <v>57</v>
      </c>
      <c r="G58" s="94">
        <v>11</v>
      </c>
      <c r="H58" s="94">
        <v>11</v>
      </c>
      <c r="I58" s="94">
        <v>1</v>
      </c>
      <c r="J58" s="95">
        <v>0</v>
      </c>
      <c r="K58" s="95">
        <v>261</v>
      </c>
      <c r="L58" s="96">
        <v>91</v>
      </c>
      <c r="M58" s="95">
        <v>163</v>
      </c>
      <c r="N58" s="96">
        <v>163</v>
      </c>
    </row>
    <row r="59" spans="1:14" ht="15.75" customHeight="1" x14ac:dyDescent="0.2">
      <c r="A59" s="91" t="s">
        <v>644</v>
      </c>
      <c r="B59" s="98" t="s">
        <v>631</v>
      </c>
      <c r="C59" s="93">
        <v>903</v>
      </c>
      <c r="D59" s="94">
        <v>756</v>
      </c>
      <c r="E59" s="94">
        <v>122</v>
      </c>
      <c r="F59" s="94">
        <v>20</v>
      </c>
      <c r="G59" s="94">
        <v>16</v>
      </c>
      <c r="H59" s="94">
        <v>11</v>
      </c>
      <c r="I59" s="94">
        <v>2</v>
      </c>
      <c r="J59" s="95">
        <v>0</v>
      </c>
      <c r="K59" s="95">
        <v>225</v>
      </c>
      <c r="L59" s="96">
        <v>52</v>
      </c>
      <c r="M59" s="95">
        <v>136</v>
      </c>
      <c r="N59" s="96">
        <v>147</v>
      </c>
    </row>
    <row r="60" spans="1:14" ht="4.5" customHeight="1" x14ac:dyDescent="0.2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</row>
    <row r="61" spans="1:14" ht="15.75" customHeight="1" x14ac:dyDescent="0.2">
      <c r="A61" s="91" t="s">
        <v>645</v>
      </c>
      <c r="B61" s="92" t="s">
        <v>629</v>
      </c>
      <c r="C61" s="93">
        <v>732</v>
      </c>
      <c r="D61" s="94">
        <v>247</v>
      </c>
      <c r="E61" s="94">
        <v>99</v>
      </c>
      <c r="F61" s="94">
        <v>175</v>
      </c>
      <c r="G61" s="94">
        <v>20</v>
      </c>
      <c r="H61" s="94">
        <v>112</v>
      </c>
      <c r="I61" s="94">
        <v>52</v>
      </c>
      <c r="J61" s="94">
        <v>32</v>
      </c>
      <c r="K61" s="96">
        <v>13</v>
      </c>
      <c r="L61" s="96">
        <v>252</v>
      </c>
      <c r="M61" s="96">
        <v>11</v>
      </c>
      <c r="N61" s="96">
        <v>338</v>
      </c>
    </row>
    <row r="62" spans="1:14" ht="15.75" customHeight="1" x14ac:dyDescent="0.2">
      <c r="A62" s="91" t="s">
        <v>645</v>
      </c>
      <c r="B62" s="97" t="s">
        <v>630</v>
      </c>
      <c r="C62" s="93">
        <v>914</v>
      </c>
      <c r="D62" s="94">
        <v>677</v>
      </c>
      <c r="E62" s="94">
        <v>161</v>
      </c>
      <c r="F62" s="94">
        <v>68</v>
      </c>
      <c r="G62" s="94">
        <v>9</v>
      </c>
      <c r="H62" s="94">
        <v>9</v>
      </c>
      <c r="I62" s="94">
        <v>5</v>
      </c>
      <c r="J62" s="95">
        <v>0</v>
      </c>
      <c r="K62" s="96">
        <v>179</v>
      </c>
      <c r="L62" s="96">
        <v>78</v>
      </c>
      <c r="M62" s="96">
        <v>122</v>
      </c>
      <c r="N62" s="96">
        <v>131</v>
      </c>
    </row>
    <row r="63" spans="1:14" ht="15.75" customHeight="1" x14ac:dyDescent="0.2">
      <c r="A63" s="91" t="s">
        <v>645</v>
      </c>
      <c r="B63" s="98" t="s">
        <v>631</v>
      </c>
      <c r="C63" s="93">
        <v>866</v>
      </c>
      <c r="D63" s="94">
        <v>734</v>
      </c>
      <c r="E63" s="94">
        <v>114</v>
      </c>
      <c r="F63" s="94">
        <v>15</v>
      </c>
      <c r="G63" s="94">
        <v>12</v>
      </c>
      <c r="H63" s="94">
        <v>11</v>
      </c>
      <c r="I63" s="95">
        <v>0</v>
      </c>
      <c r="J63" s="95">
        <v>0</v>
      </c>
      <c r="K63" s="96">
        <v>185</v>
      </c>
      <c r="L63" s="96">
        <v>82</v>
      </c>
      <c r="M63" s="96">
        <v>125</v>
      </c>
      <c r="N63" s="96">
        <v>141</v>
      </c>
    </row>
    <row r="64" spans="1:14" ht="4.5" customHeight="1" x14ac:dyDescent="0.2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</row>
    <row r="65" spans="1:14" ht="15.75" customHeight="1" x14ac:dyDescent="0.2">
      <c r="A65" s="91" t="s">
        <v>646</v>
      </c>
      <c r="B65" s="92" t="s">
        <v>629</v>
      </c>
      <c r="C65" s="93">
        <v>675</v>
      </c>
      <c r="D65" s="94">
        <v>260</v>
      </c>
      <c r="E65" s="94">
        <v>82</v>
      </c>
      <c r="F65" s="94">
        <v>169</v>
      </c>
      <c r="G65" s="94">
        <v>7</v>
      </c>
      <c r="H65" s="94">
        <v>88</v>
      </c>
      <c r="I65" s="94">
        <v>46</v>
      </c>
      <c r="J65" s="94">
        <v>28</v>
      </c>
      <c r="K65" s="96">
        <v>17</v>
      </c>
      <c r="L65" s="96">
        <v>233</v>
      </c>
      <c r="M65" s="96">
        <v>6</v>
      </c>
      <c r="N65" s="96">
        <v>295</v>
      </c>
    </row>
    <row r="66" spans="1:14" ht="15.75" customHeight="1" x14ac:dyDescent="0.2">
      <c r="A66" s="91" t="s">
        <v>646</v>
      </c>
      <c r="B66" s="97" t="s">
        <v>630</v>
      </c>
      <c r="C66" s="93">
        <v>967</v>
      </c>
      <c r="D66" s="94">
        <v>713</v>
      </c>
      <c r="E66" s="94">
        <v>186</v>
      </c>
      <c r="F66" s="94">
        <v>63</v>
      </c>
      <c r="G66" s="94">
        <v>12</v>
      </c>
      <c r="H66" s="94">
        <v>14</v>
      </c>
      <c r="I66" s="94">
        <v>6</v>
      </c>
      <c r="J66" s="95">
        <v>0</v>
      </c>
      <c r="K66" s="96">
        <v>212</v>
      </c>
      <c r="L66" s="96">
        <v>85</v>
      </c>
      <c r="M66" s="96">
        <v>126</v>
      </c>
      <c r="N66" s="96">
        <v>139</v>
      </c>
    </row>
    <row r="67" spans="1:14" ht="15.75" customHeight="1" x14ac:dyDescent="0.2">
      <c r="A67" s="91" t="s">
        <v>646</v>
      </c>
      <c r="B67" s="98" t="s">
        <v>631</v>
      </c>
      <c r="C67" s="93">
        <v>704</v>
      </c>
      <c r="D67" s="94">
        <v>574</v>
      </c>
      <c r="E67" s="94">
        <v>108</v>
      </c>
      <c r="F67" s="94">
        <v>18</v>
      </c>
      <c r="G67" s="94">
        <v>10</v>
      </c>
      <c r="H67" s="94">
        <v>2</v>
      </c>
      <c r="I67" s="94">
        <v>2</v>
      </c>
      <c r="J67" s="95">
        <v>0</v>
      </c>
      <c r="K67" s="96">
        <v>148</v>
      </c>
      <c r="L67" s="96">
        <v>75</v>
      </c>
      <c r="M67" s="96">
        <v>92</v>
      </c>
      <c r="N67" s="96">
        <v>113</v>
      </c>
    </row>
    <row r="68" spans="1:14" ht="4.5" customHeight="1" x14ac:dyDescent="0.2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</row>
    <row r="69" spans="1:14" ht="15.75" customHeight="1" x14ac:dyDescent="0.2">
      <c r="A69" s="91" t="s">
        <v>647</v>
      </c>
      <c r="B69" s="92" t="s">
        <v>629</v>
      </c>
      <c r="C69" s="93">
        <v>670</v>
      </c>
      <c r="D69" s="94">
        <v>263</v>
      </c>
      <c r="E69" s="94">
        <v>99</v>
      </c>
      <c r="F69" s="94">
        <v>150</v>
      </c>
      <c r="G69" s="94">
        <v>18</v>
      </c>
      <c r="H69" s="94">
        <v>79</v>
      </c>
      <c r="I69" s="94">
        <v>44</v>
      </c>
      <c r="J69" s="94">
        <v>22</v>
      </c>
      <c r="K69" s="96">
        <v>11</v>
      </c>
      <c r="L69" s="96">
        <v>213</v>
      </c>
      <c r="M69" s="96">
        <v>15</v>
      </c>
      <c r="N69" s="96">
        <v>288</v>
      </c>
    </row>
    <row r="70" spans="1:14" ht="15.75" customHeight="1" x14ac:dyDescent="0.2">
      <c r="A70" s="91" t="s">
        <v>647</v>
      </c>
      <c r="B70" s="97" t="s">
        <v>630</v>
      </c>
      <c r="C70" s="93">
        <v>946</v>
      </c>
      <c r="D70" s="94">
        <v>656</v>
      </c>
      <c r="E70" s="94">
        <v>196</v>
      </c>
      <c r="F70" s="94">
        <v>97</v>
      </c>
      <c r="G70" s="94">
        <v>14</v>
      </c>
      <c r="H70" s="94">
        <v>13</v>
      </c>
      <c r="I70" s="94">
        <v>4</v>
      </c>
      <c r="J70" s="95">
        <v>0</v>
      </c>
      <c r="K70" s="96">
        <v>204</v>
      </c>
      <c r="L70" s="96">
        <v>72</v>
      </c>
      <c r="M70" s="96">
        <v>116</v>
      </c>
      <c r="N70" s="96">
        <v>141</v>
      </c>
    </row>
    <row r="71" spans="1:14" ht="15.75" customHeight="1" x14ac:dyDescent="0.2">
      <c r="A71" s="91" t="s">
        <v>647</v>
      </c>
      <c r="B71" s="98" t="s">
        <v>631</v>
      </c>
      <c r="C71" s="93">
        <v>683</v>
      </c>
      <c r="D71" s="94">
        <v>572</v>
      </c>
      <c r="E71" s="94">
        <v>96</v>
      </c>
      <c r="F71" s="94">
        <v>16</v>
      </c>
      <c r="G71" s="94">
        <v>8</v>
      </c>
      <c r="H71" s="94">
        <v>7</v>
      </c>
      <c r="I71" s="95">
        <v>0</v>
      </c>
      <c r="J71" s="95">
        <v>0</v>
      </c>
      <c r="K71" s="96">
        <v>158</v>
      </c>
      <c r="L71" s="96">
        <v>62</v>
      </c>
      <c r="M71" s="96">
        <v>91</v>
      </c>
      <c r="N71" s="96">
        <v>117</v>
      </c>
    </row>
    <row r="72" spans="1:14" ht="4.5" customHeight="1" x14ac:dyDescent="0.2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</row>
    <row r="73" spans="1:14" ht="15.75" customHeight="1" x14ac:dyDescent="0.2">
      <c r="A73" s="91" t="s">
        <v>573</v>
      </c>
      <c r="B73" s="92" t="s">
        <v>629</v>
      </c>
      <c r="C73" s="93">
        <v>687</v>
      </c>
      <c r="D73" s="94">
        <v>259</v>
      </c>
      <c r="E73" s="94">
        <v>82</v>
      </c>
      <c r="F73" s="94">
        <v>157</v>
      </c>
      <c r="G73" s="94">
        <v>12</v>
      </c>
      <c r="H73" s="94">
        <v>100</v>
      </c>
      <c r="I73" s="94">
        <v>62</v>
      </c>
      <c r="J73" s="94">
        <v>24</v>
      </c>
      <c r="K73" s="96">
        <v>12</v>
      </c>
      <c r="L73" s="96">
        <v>209</v>
      </c>
      <c r="M73" s="96">
        <v>11</v>
      </c>
      <c r="N73" s="96">
        <v>312</v>
      </c>
    </row>
    <row r="74" spans="1:14" ht="15.75" customHeight="1" x14ac:dyDescent="0.2">
      <c r="A74" s="91" t="s">
        <v>573</v>
      </c>
      <c r="B74" s="97" t="s">
        <v>630</v>
      </c>
      <c r="C74" s="93">
        <v>1019</v>
      </c>
      <c r="D74" s="94">
        <v>738</v>
      </c>
      <c r="E74" s="94">
        <v>205</v>
      </c>
      <c r="F74" s="94">
        <v>70</v>
      </c>
      <c r="G74" s="94">
        <v>13</v>
      </c>
      <c r="H74" s="94">
        <v>16</v>
      </c>
      <c r="I74" s="94">
        <v>5</v>
      </c>
      <c r="J74" s="95">
        <v>0</v>
      </c>
      <c r="K74" s="96">
        <v>179</v>
      </c>
      <c r="L74" s="96">
        <v>107</v>
      </c>
      <c r="M74" s="96">
        <v>125</v>
      </c>
      <c r="N74" s="96">
        <v>140</v>
      </c>
    </row>
    <row r="75" spans="1:14" ht="15.75" customHeight="1" x14ac:dyDescent="0.2">
      <c r="A75" s="91" t="s">
        <v>573</v>
      </c>
      <c r="B75" s="98" t="s">
        <v>631</v>
      </c>
      <c r="C75" s="93">
        <v>646</v>
      </c>
      <c r="D75" s="94">
        <v>545</v>
      </c>
      <c r="E75" s="94">
        <v>87</v>
      </c>
      <c r="F75" s="94">
        <v>16</v>
      </c>
      <c r="G75" s="94">
        <v>4</v>
      </c>
      <c r="H75" s="94">
        <v>7</v>
      </c>
      <c r="I75" s="95">
        <v>0</v>
      </c>
      <c r="J75" s="95">
        <v>0</v>
      </c>
      <c r="K75" s="96">
        <v>146</v>
      </c>
      <c r="L75" s="96">
        <v>63</v>
      </c>
      <c r="M75" s="96">
        <v>94</v>
      </c>
      <c r="N75" s="96">
        <v>103</v>
      </c>
    </row>
    <row r="76" spans="1:14" ht="4.5" customHeight="1" x14ac:dyDescent="0.2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</row>
    <row r="77" spans="1:14" ht="4.5" customHeight="1" x14ac:dyDescent="0.2">
      <c r="A77" s="91" t="s">
        <v>648</v>
      </c>
      <c r="B77" s="92" t="s">
        <v>629</v>
      </c>
      <c r="C77" s="93">
        <v>806</v>
      </c>
      <c r="D77" s="94">
        <v>317</v>
      </c>
      <c r="E77" s="94">
        <v>102</v>
      </c>
      <c r="F77" s="94">
        <v>191</v>
      </c>
      <c r="G77" s="94">
        <v>18</v>
      </c>
      <c r="H77" s="94">
        <v>88</v>
      </c>
      <c r="I77" s="94">
        <v>64</v>
      </c>
      <c r="J77" s="94">
        <v>27</v>
      </c>
      <c r="K77" s="96">
        <v>20</v>
      </c>
      <c r="L77" s="96">
        <v>236</v>
      </c>
      <c r="M77" s="96">
        <v>12</v>
      </c>
      <c r="N77" s="96">
        <v>363</v>
      </c>
    </row>
    <row r="78" spans="1:14" ht="19.5" customHeight="1" x14ac:dyDescent="0.2">
      <c r="A78" s="91" t="s">
        <v>648</v>
      </c>
      <c r="B78" s="97" t="s">
        <v>630</v>
      </c>
      <c r="C78" s="93">
        <v>1147</v>
      </c>
      <c r="D78" s="94">
        <v>870</v>
      </c>
      <c r="E78" s="94">
        <v>189</v>
      </c>
      <c r="F78" s="94">
        <v>65</v>
      </c>
      <c r="G78" s="94">
        <v>9</v>
      </c>
      <c r="H78" s="94">
        <v>16</v>
      </c>
      <c r="I78" s="94">
        <v>2</v>
      </c>
      <c r="J78" s="95">
        <v>0</v>
      </c>
      <c r="K78" s="96">
        <v>216</v>
      </c>
      <c r="L78" s="96">
        <v>190</v>
      </c>
      <c r="M78" s="96">
        <v>172</v>
      </c>
      <c r="N78" s="96">
        <v>151</v>
      </c>
    </row>
    <row r="79" spans="1:14" ht="15.75" customHeight="1" x14ac:dyDescent="0.2">
      <c r="A79" s="91" t="s">
        <v>648</v>
      </c>
      <c r="B79" s="98" t="s">
        <v>631</v>
      </c>
      <c r="C79" s="93">
        <v>662</v>
      </c>
      <c r="D79" s="94">
        <v>535</v>
      </c>
      <c r="E79" s="94">
        <v>109</v>
      </c>
      <c r="F79" s="94">
        <v>12</v>
      </c>
      <c r="G79" s="94">
        <v>7</v>
      </c>
      <c r="H79" s="94">
        <v>4</v>
      </c>
      <c r="I79" s="95">
        <v>0</v>
      </c>
      <c r="J79" s="95">
        <v>0</v>
      </c>
      <c r="K79" s="96">
        <v>159</v>
      </c>
      <c r="L79" s="96">
        <v>59</v>
      </c>
      <c r="M79" s="96">
        <v>92</v>
      </c>
      <c r="N79" s="96">
        <v>118</v>
      </c>
    </row>
    <row r="80" spans="1:14" ht="15.75" customHeight="1" x14ac:dyDescent="0.2">
      <c r="A80" s="99" t="s">
        <v>649</v>
      </c>
      <c r="B80" s="99" t="s">
        <v>629</v>
      </c>
      <c r="C80" s="99">
        <v>807</v>
      </c>
      <c r="D80" s="99">
        <v>290</v>
      </c>
      <c r="E80" s="99">
        <v>101</v>
      </c>
      <c r="F80" s="99">
        <v>197</v>
      </c>
      <c r="G80" s="99">
        <v>23</v>
      </c>
      <c r="H80" s="99">
        <v>95</v>
      </c>
      <c r="I80" s="99">
        <v>69</v>
      </c>
      <c r="J80" s="99">
        <v>34</v>
      </c>
      <c r="K80" s="99">
        <v>23</v>
      </c>
      <c r="L80" s="99">
        <v>135</v>
      </c>
      <c r="M80" s="99">
        <v>11</v>
      </c>
      <c r="N80" s="99">
        <v>391</v>
      </c>
    </row>
    <row r="81" spans="1:14" ht="15.75" customHeight="1" x14ac:dyDescent="0.2">
      <c r="A81" s="102" t="s">
        <v>649</v>
      </c>
      <c r="B81" t="s">
        <v>630</v>
      </c>
      <c r="C81">
        <v>1112</v>
      </c>
      <c r="D81">
        <v>834</v>
      </c>
      <c r="E81">
        <v>174</v>
      </c>
      <c r="F81">
        <v>75</v>
      </c>
      <c r="G81">
        <v>10</v>
      </c>
      <c r="H81">
        <v>19</v>
      </c>
      <c r="I81">
        <v>6</v>
      </c>
      <c r="J81">
        <v>0</v>
      </c>
      <c r="K81">
        <v>201</v>
      </c>
      <c r="L81">
        <v>176</v>
      </c>
      <c r="M81">
        <v>141</v>
      </c>
      <c r="N81">
        <v>171</v>
      </c>
    </row>
    <row r="82" spans="1:14" ht="4.5" customHeight="1" x14ac:dyDescent="0.2">
      <c r="A82" s="91" t="s">
        <v>649</v>
      </c>
      <c r="B82" s="92" t="s">
        <v>631</v>
      </c>
      <c r="C82" s="93">
        <v>582</v>
      </c>
      <c r="D82" s="94">
        <v>474</v>
      </c>
      <c r="E82" s="94">
        <v>88</v>
      </c>
      <c r="F82" s="94">
        <v>14</v>
      </c>
      <c r="G82" s="94">
        <v>4</v>
      </c>
      <c r="H82" s="94">
        <v>6</v>
      </c>
      <c r="I82" s="94">
        <v>0</v>
      </c>
      <c r="J82" s="94">
        <v>0</v>
      </c>
      <c r="K82" s="96">
        <v>124</v>
      </c>
      <c r="L82" s="96">
        <v>47</v>
      </c>
      <c r="M82" s="96">
        <v>83</v>
      </c>
      <c r="N82" s="96">
        <v>115</v>
      </c>
    </row>
    <row r="83" spans="1:14" ht="15.75" customHeight="1" x14ac:dyDescent="0.2">
      <c r="A83" t="s">
        <v>650</v>
      </c>
      <c r="B83" t="s">
        <v>629</v>
      </c>
      <c r="C83">
        <v>750</v>
      </c>
      <c r="D83">
        <v>313</v>
      </c>
      <c r="E83">
        <v>87</v>
      </c>
      <c r="F83">
        <v>193</v>
      </c>
      <c r="G83">
        <v>12</v>
      </c>
      <c r="H83">
        <v>82</v>
      </c>
      <c r="I83">
        <v>41</v>
      </c>
      <c r="J83">
        <v>26</v>
      </c>
      <c r="K83">
        <v>18</v>
      </c>
      <c r="L83">
        <v>105</v>
      </c>
      <c r="M83">
        <v>11</v>
      </c>
      <c r="N83">
        <v>309</v>
      </c>
    </row>
    <row r="84" spans="1:14" ht="15.75" customHeight="1" x14ac:dyDescent="0.2">
      <c r="A84" t="s">
        <v>650</v>
      </c>
      <c r="B84" t="s">
        <v>630</v>
      </c>
      <c r="C84">
        <v>948</v>
      </c>
      <c r="D84">
        <v>684</v>
      </c>
      <c r="E84">
        <v>171</v>
      </c>
      <c r="F84">
        <v>72</v>
      </c>
      <c r="G84">
        <v>9</v>
      </c>
      <c r="H84">
        <v>14</v>
      </c>
      <c r="I84">
        <v>3</v>
      </c>
      <c r="J84">
        <v>0</v>
      </c>
      <c r="K84">
        <v>174</v>
      </c>
      <c r="L84">
        <v>134</v>
      </c>
      <c r="M84">
        <v>133</v>
      </c>
      <c r="N84">
        <v>154</v>
      </c>
    </row>
    <row r="85" spans="1:14" ht="15.75" customHeight="1" x14ac:dyDescent="0.2">
      <c r="A85" t="s">
        <v>650</v>
      </c>
      <c r="B85" t="s">
        <v>631</v>
      </c>
      <c r="C85">
        <v>506</v>
      </c>
      <c r="D85">
        <v>427</v>
      </c>
      <c r="E85">
        <v>67</v>
      </c>
      <c r="F85">
        <v>8</v>
      </c>
      <c r="G85">
        <v>5</v>
      </c>
      <c r="H85">
        <v>1</v>
      </c>
      <c r="I85">
        <v>0</v>
      </c>
      <c r="J85">
        <v>1</v>
      </c>
      <c r="K85">
        <v>116</v>
      </c>
      <c r="L85">
        <v>61</v>
      </c>
      <c r="M85">
        <v>66</v>
      </c>
      <c r="N85">
        <v>84</v>
      </c>
    </row>
    <row r="86" spans="1:14" ht="4.5" customHeight="1" x14ac:dyDescent="0.2">
      <c r="A86" s="140" t="s">
        <v>651</v>
      </c>
      <c r="B86" s="140" t="s">
        <v>629</v>
      </c>
      <c r="C86" s="140">
        <v>502</v>
      </c>
      <c r="D86" s="140">
        <v>167</v>
      </c>
      <c r="E86" s="140">
        <v>74</v>
      </c>
      <c r="F86" s="140">
        <v>110</v>
      </c>
      <c r="G86" s="140">
        <v>20</v>
      </c>
      <c r="H86" s="140">
        <v>83</v>
      </c>
      <c r="I86" s="140">
        <v>30</v>
      </c>
      <c r="J86" s="140">
        <v>18</v>
      </c>
      <c r="K86" s="140">
        <v>16</v>
      </c>
      <c r="L86" s="140">
        <v>92</v>
      </c>
      <c r="M86" s="140">
        <v>5</v>
      </c>
      <c r="N86" s="140">
        <v>224</v>
      </c>
    </row>
    <row r="87" spans="1:14" ht="15.75" customHeight="1" x14ac:dyDescent="0.2">
      <c r="A87" s="140" t="s">
        <v>651</v>
      </c>
      <c r="B87" s="140" t="s">
        <v>630</v>
      </c>
      <c r="C87" s="140">
        <v>608</v>
      </c>
      <c r="D87" s="140">
        <v>433</v>
      </c>
      <c r="E87" s="140">
        <v>107</v>
      </c>
      <c r="F87" s="140">
        <v>49</v>
      </c>
      <c r="G87" s="140">
        <v>6</v>
      </c>
      <c r="H87" s="140">
        <v>10</v>
      </c>
      <c r="I87" s="140">
        <v>3</v>
      </c>
      <c r="J87" s="140">
        <v>0</v>
      </c>
      <c r="K87" s="140">
        <v>132</v>
      </c>
      <c r="L87" s="140">
        <v>76</v>
      </c>
      <c r="M87" s="140">
        <v>86</v>
      </c>
      <c r="N87" s="140">
        <v>80</v>
      </c>
    </row>
    <row r="88" spans="1:14" ht="15.75" customHeight="1" x14ac:dyDescent="0.2">
      <c r="A88" s="140" t="s">
        <v>651</v>
      </c>
      <c r="B88" s="140" t="s">
        <v>631</v>
      </c>
      <c r="C88" s="140">
        <v>325</v>
      </c>
      <c r="D88" s="140">
        <v>283</v>
      </c>
      <c r="E88" s="140">
        <v>35</v>
      </c>
      <c r="F88" s="140">
        <v>5</v>
      </c>
      <c r="G88" s="140">
        <v>2</v>
      </c>
      <c r="H88" s="140">
        <v>0</v>
      </c>
      <c r="I88" s="140">
        <v>0</v>
      </c>
      <c r="J88" s="140">
        <v>0</v>
      </c>
      <c r="K88" s="140">
        <v>79</v>
      </c>
      <c r="L88" s="140">
        <v>40</v>
      </c>
      <c r="M88" s="140">
        <v>50</v>
      </c>
      <c r="N88" s="140">
        <v>51</v>
      </c>
    </row>
    <row r="89" spans="1:14" ht="15.75" customHeight="1" x14ac:dyDescent="0.2">
      <c r="A89" s="91" t="s">
        <v>628</v>
      </c>
      <c r="B89" s="97" t="s">
        <v>630</v>
      </c>
      <c r="C89" s="93">
        <v>898</v>
      </c>
      <c r="D89" s="94">
        <v>751</v>
      </c>
      <c r="E89" s="94">
        <v>109</v>
      </c>
      <c r="F89" s="94">
        <v>28</v>
      </c>
      <c r="G89" s="94">
        <v>2</v>
      </c>
      <c r="H89" s="94">
        <v>7</v>
      </c>
      <c r="I89" s="94">
        <v>1</v>
      </c>
      <c r="J89" s="95">
        <v>0</v>
      </c>
      <c r="K89" s="96">
        <v>506</v>
      </c>
      <c r="L89" s="96">
        <v>6</v>
      </c>
      <c r="M89" s="96">
        <v>9</v>
      </c>
      <c r="N89" s="96">
        <v>153</v>
      </c>
    </row>
    <row r="90" spans="1:14" ht="4.5" customHeight="1" x14ac:dyDescent="0.2">
      <c r="A90" s="91" t="s">
        <v>628</v>
      </c>
      <c r="B90" s="98" t="s">
        <v>631</v>
      </c>
      <c r="C90" s="93">
        <v>920</v>
      </c>
      <c r="D90" s="94">
        <v>871</v>
      </c>
      <c r="E90" s="94">
        <v>44</v>
      </c>
      <c r="F90" s="94">
        <v>3</v>
      </c>
      <c r="G90" s="94">
        <v>2</v>
      </c>
      <c r="H90" s="95">
        <v>0</v>
      </c>
      <c r="I90" s="95">
        <v>0</v>
      </c>
      <c r="J90" s="95">
        <v>0</v>
      </c>
      <c r="K90" s="96">
        <v>469</v>
      </c>
      <c r="L90" s="96">
        <v>4</v>
      </c>
      <c r="M90" s="96">
        <v>3</v>
      </c>
      <c r="N90" s="96">
        <v>79</v>
      </c>
    </row>
    <row r="91" spans="1:14" ht="15.75" customHeight="1" x14ac:dyDescent="0.2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</row>
    <row r="92" spans="1:14" ht="15.75" customHeight="1" x14ac:dyDescent="0.2">
      <c r="A92" s="91" t="s">
        <v>632</v>
      </c>
      <c r="B92" s="92" t="s">
        <v>629</v>
      </c>
      <c r="C92" s="93">
        <v>563</v>
      </c>
      <c r="D92" s="94">
        <v>273</v>
      </c>
      <c r="E92" s="94">
        <v>123</v>
      </c>
      <c r="F92" s="94">
        <v>67</v>
      </c>
      <c r="G92" s="94">
        <v>10</v>
      </c>
      <c r="H92" s="94">
        <v>69</v>
      </c>
      <c r="I92" s="94">
        <v>16</v>
      </c>
      <c r="J92" s="94">
        <v>5</v>
      </c>
      <c r="K92" s="96">
        <v>26</v>
      </c>
      <c r="L92" s="96">
        <v>180</v>
      </c>
      <c r="M92" s="96">
        <v>3</v>
      </c>
      <c r="N92" s="96">
        <v>218</v>
      </c>
    </row>
    <row r="93" spans="1:14" ht="15.75" customHeight="1" x14ac:dyDescent="0.2">
      <c r="A93" s="91" t="s">
        <v>632</v>
      </c>
      <c r="B93" s="97" t="s">
        <v>630</v>
      </c>
      <c r="C93" s="93">
        <v>324</v>
      </c>
      <c r="D93" s="94">
        <v>271</v>
      </c>
      <c r="E93" s="94">
        <v>42</v>
      </c>
      <c r="F93" s="94">
        <v>10</v>
      </c>
      <c r="G93" s="94">
        <v>1</v>
      </c>
      <c r="H93" s="95">
        <v>0</v>
      </c>
      <c r="I93" s="95">
        <v>0</v>
      </c>
      <c r="J93" s="95">
        <v>0</v>
      </c>
      <c r="K93" s="96">
        <v>172</v>
      </c>
      <c r="L93" s="96">
        <v>5</v>
      </c>
      <c r="M93" s="96">
        <v>2</v>
      </c>
      <c r="N93" s="96">
        <v>43</v>
      </c>
    </row>
    <row r="94" spans="1:14" ht="4.5" customHeight="1" x14ac:dyDescent="0.2">
      <c r="A94" s="91" t="s">
        <v>632</v>
      </c>
      <c r="B94" s="98" t="s">
        <v>631</v>
      </c>
      <c r="C94" s="93">
        <v>394</v>
      </c>
      <c r="D94" s="94">
        <v>359</v>
      </c>
      <c r="E94" s="94">
        <v>25</v>
      </c>
      <c r="F94" s="94">
        <v>3</v>
      </c>
      <c r="G94" s="94">
        <v>4</v>
      </c>
      <c r="H94" s="94">
        <v>3</v>
      </c>
      <c r="I94" s="95">
        <v>0</v>
      </c>
      <c r="J94" s="95">
        <v>0</v>
      </c>
      <c r="K94" s="96">
        <v>182</v>
      </c>
      <c r="L94" s="95">
        <v>0</v>
      </c>
      <c r="M94" s="96">
        <v>1</v>
      </c>
      <c r="N94" s="96">
        <v>44</v>
      </c>
    </row>
    <row r="95" spans="1:14" ht="15.75" customHeight="1" x14ac:dyDescent="0.2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</row>
    <row r="96" spans="1:14" ht="15.75" customHeight="1" x14ac:dyDescent="0.2">
      <c r="A96" s="91" t="s">
        <v>633</v>
      </c>
      <c r="B96" s="92" t="s">
        <v>629</v>
      </c>
      <c r="C96" s="93">
        <v>803</v>
      </c>
      <c r="D96" s="94">
        <v>408</v>
      </c>
      <c r="E96" s="94">
        <v>202</v>
      </c>
      <c r="F96" s="94">
        <v>92</v>
      </c>
      <c r="G96" s="94">
        <v>13</v>
      </c>
      <c r="H96" s="94">
        <v>68</v>
      </c>
      <c r="I96" s="94">
        <v>17</v>
      </c>
      <c r="J96" s="94">
        <v>3</v>
      </c>
      <c r="K96" s="96">
        <v>37</v>
      </c>
      <c r="L96" s="96">
        <v>280</v>
      </c>
      <c r="M96" s="96">
        <v>2</v>
      </c>
      <c r="N96" s="96">
        <v>305</v>
      </c>
    </row>
    <row r="97" spans="1:14" ht="15.75" customHeight="1" x14ac:dyDescent="0.2">
      <c r="A97" s="91" t="s">
        <v>633</v>
      </c>
      <c r="B97" s="97" t="s">
        <v>630</v>
      </c>
      <c r="C97" s="93">
        <v>351</v>
      </c>
      <c r="D97" s="94">
        <v>307</v>
      </c>
      <c r="E97" s="94">
        <v>31</v>
      </c>
      <c r="F97" s="94">
        <v>10</v>
      </c>
      <c r="G97" s="94">
        <v>1</v>
      </c>
      <c r="H97" s="94">
        <v>2</v>
      </c>
      <c r="I97" s="95">
        <v>0</v>
      </c>
      <c r="J97" s="95">
        <v>0</v>
      </c>
      <c r="K97" s="96">
        <v>202</v>
      </c>
      <c r="L97" s="96">
        <v>2</v>
      </c>
      <c r="M97" s="96">
        <v>2</v>
      </c>
      <c r="N97" s="96">
        <v>46</v>
      </c>
    </row>
    <row r="98" spans="1:14" ht="4.5" customHeight="1" x14ac:dyDescent="0.2">
      <c r="A98" s="91" t="s">
        <v>633</v>
      </c>
      <c r="B98" s="98" t="s">
        <v>631</v>
      </c>
      <c r="C98" s="93">
        <v>439</v>
      </c>
      <c r="D98" s="94">
        <v>396</v>
      </c>
      <c r="E98" s="94">
        <v>38</v>
      </c>
      <c r="F98" s="94">
        <v>2</v>
      </c>
      <c r="G98" s="94">
        <v>2</v>
      </c>
      <c r="H98" s="94">
        <v>1</v>
      </c>
      <c r="I98" s="95">
        <v>0</v>
      </c>
      <c r="J98" s="95">
        <v>0</v>
      </c>
      <c r="K98" s="96">
        <v>210</v>
      </c>
      <c r="L98" s="96">
        <v>1</v>
      </c>
      <c r="M98" s="96">
        <v>5</v>
      </c>
      <c r="N98" s="96">
        <v>58</v>
      </c>
    </row>
    <row r="99" spans="1:14" ht="15.75" customHeight="1" x14ac:dyDescent="0.2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</row>
    <row r="100" spans="1:14" ht="15.75" customHeight="1" x14ac:dyDescent="0.2">
      <c r="A100" s="91" t="s">
        <v>634</v>
      </c>
      <c r="B100" s="92" t="s">
        <v>629</v>
      </c>
      <c r="C100" s="93">
        <v>847</v>
      </c>
      <c r="D100" s="94">
        <v>413</v>
      </c>
      <c r="E100" s="94">
        <v>228</v>
      </c>
      <c r="F100" s="94">
        <v>96</v>
      </c>
      <c r="G100" s="94">
        <v>20</v>
      </c>
      <c r="H100" s="94">
        <v>78</v>
      </c>
      <c r="I100" s="94">
        <v>9</v>
      </c>
      <c r="J100" s="94">
        <v>3</v>
      </c>
      <c r="K100" s="96">
        <v>33</v>
      </c>
      <c r="L100" s="96">
        <v>267</v>
      </c>
      <c r="M100" s="96">
        <v>4</v>
      </c>
      <c r="N100" s="96">
        <v>355</v>
      </c>
    </row>
    <row r="101" spans="1:14" ht="15.75" customHeight="1" x14ac:dyDescent="0.2">
      <c r="A101" s="91" t="s">
        <v>634</v>
      </c>
      <c r="B101" s="97" t="s">
        <v>630</v>
      </c>
      <c r="C101" s="93">
        <v>299</v>
      </c>
      <c r="D101" s="94">
        <v>253</v>
      </c>
      <c r="E101" s="94">
        <v>32</v>
      </c>
      <c r="F101" s="94">
        <v>11</v>
      </c>
      <c r="G101" s="94">
        <v>2</v>
      </c>
      <c r="H101" s="95">
        <v>0</v>
      </c>
      <c r="I101" s="94">
        <v>1</v>
      </c>
      <c r="J101" s="95">
        <v>0</v>
      </c>
      <c r="K101" s="96">
        <v>141</v>
      </c>
      <c r="L101" s="96">
        <v>7</v>
      </c>
      <c r="M101" s="96">
        <v>2</v>
      </c>
      <c r="N101" s="96">
        <v>54</v>
      </c>
    </row>
    <row r="102" spans="1:14" ht="4.5" customHeight="1" x14ac:dyDescent="0.2">
      <c r="A102" s="91" t="s">
        <v>634</v>
      </c>
      <c r="B102" s="98" t="s">
        <v>631</v>
      </c>
      <c r="C102" s="93">
        <v>460</v>
      </c>
      <c r="D102" s="94">
        <v>429</v>
      </c>
      <c r="E102" s="94">
        <v>29</v>
      </c>
      <c r="F102" s="94">
        <v>2</v>
      </c>
      <c r="G102" s="95">
        <v>0</v>
      </c>
      <c r="H102" s="95">
        <v>0</v>
      </c>
      <c r="I102" s="95">
        <v>0</v>
      </c>
      <c r="J102" s="95">
        <v>0</v>
      </c>
      <c r="K102" s="96">
        <v>223</v>
      </c>
      <c r="L102" s="96">
        <v>6</v>
      </c>
      <c r="M102" s="96">
        <v>3</v>
      </c>
      <c r="N102" s="96">
        <v>48</v>
      </c>
    </row>
    <row r="103" spans="1:14" ht="15.75" customHeight="1" x14ac:dyDescent="0.2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</row>
    <row r="104" spans="1:14" ht="15.75" customHeight="1" x14ac:dyDescent="0.2">
      <c r="A104" s="91" t="s">
        <v>635</v>
      </c>
      <c r="B104" s="92" t="s">
        <v>629</v>
      </c>
      <c r="C104" s="93">
        <v>920</v>
      </c>
      <c r="D104" s="94">
        <v>508</v>
      </c>
      <c r="E104" s="94">
        <v>232</v>
      </c>
      <c r="F104" s="94">
        <v>95</v>
      </c>
      <c r="G104" s="94">
        <v>8</v>
      </c>
      <c r="H104" s="94">
        <v>66</v>
      </c>
      <c r="I104" s="94">
        <v>9</v>
      </c>
      <c r="J104" s="94">
        <v>2</v>
      </c>
      <c r="K104" s="96">
        <v>34</v>
      </c>
      <c r="L104" s="96">
        <v>316</v>
      </c>
      <c r="M104" s="96">
        <v>6</v>
      </c>
      <c r="N104" s="96">
        <v>306</v>
      </c>
    </row>
    <row r="105" spans="1:14" ht="15.75" customHeight="1" x14ac:dyDescent="0.2">
      <c r="A105" s="91" t="s">
        <v>635</v>
      </c>
      <c r="B105" s="97" t="s">
        <v>630</v>
      </c>
      <c r="C105" s="93">
        <v>368</v>
      </c>
      <c r="D105" s="94">
        <v>309</v>
      </c>
      <c r="E105" s="94">
        <v>37</v>
      </c>
      <c r="F105" s="94">
        <v>14</v>
      </c>
      <c r="G105" s="94">
        <v>6</v>
      </c>
      <c r="H105" s="94">
        <v>2</v>
      </c>
      <c r="I105" s="95">
        <v>0</v>
      </c>
      <c r="J105" s="95">
        <v>0</v>
      </c>
      <c r="K105" s="96">
        <v>194</v>
      </c>
      <c r="L105" s="96">
        <v>4</v>
      </c>
      <c r="M105" s="96">
        <v>3</v>
      </c>
      <c r="N105" s="96">
        <v>63</v>
      </c>
    </row>
    <row r="106" spans="1:14" ht="4.5" customHeight="1" x14ac:dyDescent="0.2">
      <c r="A106" s="91" t="s">
        <v>635</v>
      </c>
      <c r="B106" s="98" t="s">
        <v>631</v>
      </c>
      <c r="C106" s="93">
        <v>380</v>
      </c>
      <c r="D106" s="94">
        <v>358</v>
      </c>
      <c r="E106" s="94">
        <v>14</v>
      </c>
      <c r="F106" s="94">
        <v>5</v>
      </c>
      <c r="G106" s="94">
        <v>2</v>
      </c>
      <c r="H106" s="94">
        <v>1</v>
      </c>
      <c r="I106" s="95">
        <v>0</v>
      </c>
      <c r="J106" s="95">
        <v>0</v>
      </c>
      <c r="K106" s="96">
        <v>186</v>
      </c>
      <c r="L106" s="96">
        <v>1</v>
      </c>
      <c r="M106" s="96">
        <v>3</v>
      </c>
      <c r="N106" s="96">
        <v>30</v>
      </c>
    </row>
    <row r="107" spans="1:14" ht="15.75" customHeight="1" x14ac:dyDescent="0.2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</row>
    <row r="108" spans="1:14" ht="15.75" customHeight="1" x14ac:dyDescent="0.2">
      <c r="A108" s="91" t="s">
        <v>636</v>
      </c>
      <c r="B108" s="92" t="s">
        <v>629</v>
      </c>
      <c r="C108" s="93">
        <v>854</v>
      </c>
      <c r="D108" s="94">
        <v>425</v>
      </c>
      <c r="E108" s="94">
        <v>217</v>
      </c>
      <c r="F108" s="94">
        <v>113</v>
      </c>
      <c r="G108" s="94">
        <v>10</v>
      </c>
      <c r="H108" s="94">
        <v>71</v>
      </c>
      <c r="I108" s="94">
        <v>15</v>
      </c>
      <c r="J108" s="94">
        <v>3</v>
      </c>
      <c r="K108" s="96">
        <v>27</v>
      </c>
      <c r="L108" s="96">
        <v>298</v>
      </c>
      <c r="M108" s="96">
        <v>4</v>
      </c>
      <c r="N108" s="96">
        <v>325</v>
      </c>
    </row>
    <row r="109" spans="1:14" ht="15.75" customHeight="1" x14ac:dyDescent="0.2">
      <c r="A109" s="91" t="s">
        <v>636</v>
      </c>
      <c r="B109" s="97" t="s">
        <v>630</v>
      </c>
      <c r="C109" s="93">
        <v>426</v>
      </c>
      <c r="D109" s="94">
        <v>364</v>
      </c>
      <c r="E109" s="94">
        <v>43</v>
      </c>
      <c r="F109" s="94">
        <v>13</v>
      </c>
      <c r="G109" s="94">
        <v>2</v>
      </c>
      <c r="H109" s="94">
        <v>3</v>
      </c>
      <c r="I109" s="94">
        <v>1</v>
      </c>
      <c r="J109" s="95">
        <v>0</v>
      </c>
      <c r="K109" s="96">
        <v>217</v>
      </c>
      <c r="L109" s="96">
        <v>7</v>
      </c>
      <c r="M109" s="96">
        <v>15</v>
      </c>
      <c r="N109" s="96">
        <v>68</v>
      </c>
    </row>
    <row r="110" spans="1:14" ht="4.5" customHeight="1" x14ac:dyDescent="0.2">
      <c r="A110" s="91" t="s">
        <v>636</v>
      </c>
      <c r="B110" s="98" t="s">
        <v>631</v>
      </c>
      <c r="C110" s="93">
        <v>372</v>
      </c>
      <c r="D110" s="94">
        <v>339</v>
      </c>
      <c r="E110" s="94">
        <v>27</v>
      </c>
      <c r="F110" s="94">
        <v>4</v>
      </c>
      <c r="G110" s="94">
        <v>1</v>
      </c>
      <c r="H110" s="94">
        <v>1</v>
      </c>
      <c r="I110" s="95">
        <v>0</v>
      </c>
      <c r="J110" s="95">
        <v>0</v>
      </c>
      <c r="K110" s="96">
        <v>169</v>
      </c>
      <c r="L110" s="96">
        <v>6</v>
      </c>
      <c r="M110" s="96">
        <v>7</v>
      </c>
      <c r="N110" s="96">
        <v>46</v>
      </c>
    </row>
    <row r="111" spans="1:14" ht="15.75" customHeight="1" x14ac:dyDescent="0.2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</row>
    <row r="112" spans="1:14" ht="15.75" customHeight="1" x14ac:dyDescent="0.2">
      <c r="A112" s="91" t="s">
        <v>637</v>
      </c>
      <c r="B112" s="92" t="s">
        <v>629</v>
      </c>
      <c r="C112" s="93">
        <v>915</v>
      </c>
      <c r="D112" s="94">
        <v>457</v>
      </c>
      <c r="E112" s="94">
        <v>256</v>
      </c>
      <c r="F112" s="94">
        <v>99</v>
      </c>
      <c r="G112" s="94">
        <v>13</v>
      </c>
      <c r="H112" s="94">
        <v>78</v>
      </c>
      <c r="I112" s="94">
        <v>9</v>
      </c>
      <c r="J112" s="94">
        <v>3</v>
      </c>
      <c r="K112" s="96">
        <v>26</v>
      </c>
      <c r="L112" s="96">
        <v>286</v>
      </c>
      <c r="M112" s="96">
        <v>3</v>
      </c>
      <c r="N112" s="96">
        <v>369</v>
      </c>
    </row>
    <row r="113" spans="1:14" ht="15.75" customHeight="1" x14ac:dyDescent="0.2">
      <c r="A113" s="91" t="s">
        <v>637</v>
      </c>
      <c r="B113" s="97" t="s">
        <v>630</v>
      </c>
      <c r="C113" s="93">
        <v>544</v>
      </c>
      <c r="D113" s="94">
        <v>454</v>
      </c>
      <c r="E113" s="94">
        <v>65</v>
      </c>
      <c r="F113" s="94">
        <v>16</v>
      </c>
      <c r="G113" s="94">
        <v>5</v>
      </c>
      <c r="H113" s="94">
        <v>3</v>
      </c>
      <c r="I113" s="95">
        <v>0</v>
      </c>
      <c r="J113" s="94">
        <v>1</v>
      </c>
      <c r="K113" s="96">
        <v>268</v>
      </c>
      <c r="L113" s="96">
        <v>7</v>
      </c>
      <c r="M113" s="96">
        <v>15</v>
      </c>
      <c r="N113" s="96">
        <v>109</v>
      </c>
    </row>
    <row r="114" spans="1:14" ht="4.5" customHeight="1" x14ac:dyDescent="0.2">
      <c r="A114" s="91" t="s">
        <v>637</v>
      </c>
      <c r="B114" s="98" t="s">
        <v>631</v>
      </c>
      <c r="C114" s="93">
        <v>404</v>
      </c>
      <c r="D114" s="94">
        <v>363</v>
      </c>
      <c r="E114" s="94">
        <v>35</v>
      </c>
      <c r="F114" s="94">
        <v>3</v>
      </c>
      <c r="G114" s="94">
        <v>1</v>
      </c>
      <c r="H114" s="94">
        <v>2</v>
      </c>
      <c r="I114" s="95">
        <v>0</v>
      </c>
      <c r="J114" s="95">
        <v>0</v>
      </c>
      <c r="K114" s="96">
        <v>207</v>
      </c>
      <c r="L114" s="96">
        <v>2</v>
      </c>
      <c r="M114" s="96">
        <v>6</v>
      </c>
      <c r="N114" s="96">
        <v>60</v>
      </c>
    </row>
    <row r="115" spans="1:14" ht="15.75" customHeight="1" x14ac:dyDescent="0.2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</row>
    <row r="116" spans="1:14" ht="15.75" customHeight="1" x14ac:dyDescent="0.2">
      <c r="A116" s="91" t="s">
        <v>638</v>
      </c>
      <c r="B116" s="92" t="s">
        <v>629</v>
      </c>
      <c r="C116" s="93">
        <v>865</v>
      </c>
      <c r="D116" s="94">
        <v>448</v>
      </c>
      <c r="E116" s="94">
        <v>239</v>
      </c>
      <c r="F116" s="94">
        <v>98</v>
      </c>
      <c r="G116" s="94">
        <v>12</v>
      </c>
      <c r="H116" s="94">
        <v>54</v>
      </c>
      <c r="I116" s="94">
        <v>12</v>
      </c>
      <c r="J116" s="94">
        <v>2</v>
      </c>
      <c r="K116" s="96">
        <v>36</v>
      </c>
      <c r="L116" s="96">
        <v>277</v>
      </c>
      <c r="M116" s="96">
        <v>5</v>
      </c>
      <c r="N116" s="96">
        <v>331</v>
      </c>
    </row>
    <row r="117" spans="1:14" ht="15.75" customHeight="1" x14ac:dyDescent="0.2">
      <c r="A117" s="91" t="s">
        <v>638</v>
      </c>
      <c r="B117" s="97" t="s">
        <v>630</v>
      </c>
      <c r="C117" s="93">
        <v>586</v>
      </c>
      <c r="D117" s="94">
        <v>510</v>
      </c>
      <c r="E117" s="94">
        <v>49</v>
      </c>
      <c r="F117" s="94">
        <v>19</v>
      </c>
      <c r="G117" s="94">
        <v>5</v>
      </c>
      <c r="H117" s="94">
        <v>2</v>
      </c>
      <c r="I117" s="94">
        <v>1</v>
      </c>
      <c r="J117" s="95">
        <v>0</v>
      </c>
      <c r="K117" s="96">
        <v>270</v>
      </c>
      <c r="L117" s="96">
        <v>7</v>
      </c>
      <c r="M117" s="96">
        <v>14</v>
      </c>
      <c r="N117" s="96">
        <v>113</v>
      </c>
    </row>
    <row r="118" spans="1:14" ht="4.5" customHeight="1" x14ac:dyDescent="0.2">
      <c r="A118" s="91" t="s">
        <v>638</v>
      </c>
      <c r="B118" s="98" t="s">
        <v>631</v>
      </c>
      <c r="C118" s="93">
        <v>351</v>
      </c>
      <c r="D118" s="94">
        <v>307</v>
      </c>
      <c r="E118" s="94">
        <v>33</v>
      </c>
      <c r="F118" s="94">
        <v>3</v>
      </c>
      <c r="G118" s="94">
        <v>5</v>
      </c>
      <c r="H118" s="94">
        <v>2</v>
      </c>
      <c r="I118" s="94">
        <v>1</v>
      </c>
      <c r="J118" s="95">
        <v>0</v>
      </c>
      <c r="K118" s="96">
        <v>167</v>
      </c>
      <c r="L118" s="96">
        <v>5</v>
      </c>
      <c r="M118" s="96">
        <v>11</v>
      </c>
      <c r="N118" s="96">
        <v>50</v>
      </c>
    </row>
    <row r="119" spans="1:14" ht="15.75" customHeight="1" x14ac:dyDescent="0.2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</row>
    <row r="120" spans="1:14" ht="15.75" customHeight="1" x14ac:dyDescent="0.2">
      <c r="A120" s="91" t="s">
        <v>639</v>
      </c>
      <c r="B120" s="92" t="s">
        <v>629</v>
      </c>
      <c r="C120" s="93">
        <v>882</v>
      </c>
      <c r="D120" s="94">
        <v>441</v>
      </c>
      <c r="E120" s="94">
        <v>215</v>
      </c>
      <c r="F120" s="94">
        <v>119</v>
      </c>
      <c r="G120" s="94">
        <v>25</v>
      </c>
      <c r="H120" s="94">
        <v>67</v>
      </c>
      <c r="I120" s="94">
        <v>13</v>
      </c>
      <c r="J120" s="94">
        <v>2</v>
      </c>
      <c r="K120" s="96">
        <v>39</v>
      </c>
      <c r="L120" s="96">
        <v>170</v>
      </c>
      <c r="M120" s="96">
        <v>3</v>
      </c>
      <c r="N120" s="96">
        <v>318</v>
      </c>
    </row>
    <row r="121" spans="1:14" ht="15.75" customHeight="1" x14ac:dyDescent="0.2">
      <c r="A121" s="91" t="s">
        <v>639</v>
      </c>
      <c r="B121" s="97" t="s">
        <v>630</v>
      </c>
      <c r="C121" s="93">
        <v>504</v>
      </c>
      <c r="D121" s="94">
        <v>426</v>
      </c>
      <c r="E121" s="94">
        <v>57</v>
      </c>
      <c r="F121" s="94">
        <v>15</v>
      </c>
      <c r="G121" s="95">
        <v>0</v>
      </c>
      <c r="H121" s="94">
        <v>6</v>
      </c>
      <c r="I121" s="95">
        <v>0</v>
      </c>
      <c r="J121" s="95">
        <v>0</v>
      </c>
      <c r="K121" s="96">
        <v>256</v>
      </c>
      <c r="L121" s="96">
        <v>3</v>
      </c>
      <c r="M121" s="96">
        <v>8</v>
      </c>
      <c r="N121" s="96">
        <v>97</v>
      </c>
    </row>
    <row r="122" spans="1:14" ht="4.5" customHeight="1" x14ac:dyDescent="0.2">
      <c r="A122" s="91" t="s">
        <v>639</v>
      </c>
      <c r="B122" s="98" t="s">
        <v>631</v>
      </c>
      <c r="C122" s="93">
        <v>292</v>
      </c>
      <c r="D122" s="94">
        <v>269</v>
      </c>
      <c r="E122" s="94">
        <v>15</v>
      </c>
      <c r="F122" s="94">
        <v>4</v>
      </c>
      <c r="G122" s="94">
        <v>2</v>
      </c>
      <c r="H122" s="94">
        <v>2</v>
      </c>
      <c r="I122" s="95">
        <v>0</v>
      </c>
      <c r="J122" s="95">
        <v>0</v>
      </c>
      <c r="K122" s="96">
        <v>139</v>
      </c>
      <c r="L122" s="96">
        <v>1</v>
      </c>
      <c r="M122" s="96">
        <v>1</v>
      </c>
      <c r="N122" s="96">
        <v>39</v>
      </c>
    </row>
    <row r="123" spans="1:14" ht="15.75" customHeight="1" x14ac:dyDescent="0.2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</row>
    <row r="124" spans="1:14" ht="15.75" customHeight="1" x14ac:dyDescent="0.2">
      <c r="A124" s="91" t="s">
        <v>640</v>
      </c>
      <c r="B124" s="92" t="s">
        <v>629</v>
      </c>
      <c r="C124" s="93">
        <v>1360</v>
      </c>
      <c r="D124" s="94">
        <v>710</v>
      </c>
      <c r="E124" s="94">
        <v>319</v>
      </c>
      <c r="F124" s="94">
        <v>174</v>
      </c>
      <c r="G124" s="94">
        <v>41</v>
      </c>
      <c r="H124" s="94">
        <v>109</v>
      </c>
      <c r="I124" s="94">
        <v>7</v>
      </c>
      <c r="J124" s="95">
        <v>0</v>
      </c>
      <c r="K124" s="96">
        <v>124</v>
      </c>
      <c r="L124" s="96">
        <v>104</v>
      </c>
      <c r="M124" s="96">
        <v>3</v>
      </c>
      <c r="N124" s="96">
        <v>576</v>
      </c>
    </row>
    <row r="125" spans="1:14" ht="15.75" customHeight="1" x14ac:dyDescent="0.2">
      <c r="A125" s="91" t="s">
        <v>640</v>
      </c>
      <c r="B125" s="97" t="s">
        <v>630</v>
      </c>
      <c r="C125" s="93">
        <v>764</v>
      </c>
      <c r="D125" s="94">
        <v>621</v>
      </c>
      <c r="E125" s="94">
        <v>106</v>
      </c>
      <c r="F125" s="94">
        <v>28</v>
      </c>
      <c r="G125" s="94">
        <v>5</v>
      </c>
      <c r="H125" s="94">
        <v>2</v>
      </c>
      <c r="I125" s="94">
        <v>1</v>
      </c>
      <c r="J125" s="94">
        <v>1</v>
      </c>
      <c r="K125" s="96">
        <v>407</v>
      </c>
      <c r="L125" s="96">
        <v>5</v>
      </c>
      <c r="M125" s="96">
        <v>7</v>
      </c>
      <c r="N125" s="96">
        <v>217</v>
      </c>
    </row>
    <row r="126" spans="1:14" ht="4.5" customHeight="1" x14ac:dyDescent="0.2">
      <c r="A126" s="91" t="s">
        <v>640</v>
      </c>
      <c r="B126" s="98" t="s">
        <v>631</v>
      </c>
      <c r="C126" s="93">
        <v>294</v>
      </c>
      <c r="D126" s="94">
        <v>271</v>
      </c>
      <c r="E126" s="94">
        <v>18</v>
      </c>
      <c r="F126" s="94">
        <v>4</v>
      </c>
      <c r="G126" s="94">
        <v>1</v>
      </c>
      <c r="H126" s="95">
        <v>0</v>
      </c>
      <c r="I126" s="95">
        <v>0</v>
      </c>
      <c r="J126" s="95">
        <v>0</v>
      </c>
      <c r="K126" s="96">
        <v>148</v>
      </c>
      <c r="L126" s="95">
        <v>0</v>
      </c>
      <c r="M126" s="96">
        <v>1</v>
      </c>
      <c r="N126" s="96">
        <v>87</v>
      </c>
    </row>
    <row r="127" spans="1:14" ht="15.75" customHeight="1" x14ac:dyDescent="0.2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</row>
    <row r="128" spans="1:14" ht="15.75" customHeight="1" x14ac:dyDescent="0.2">
      <c r="A128" s="91" t="s">
        <v>641</v>
      </c>
      <c r="B128" s="92" t="s">
        <v>629</v>
      </c>
      <c r="C128" s="93">
        <v>1379</v>
      </c>
      <c r="D128" s="94">
        <v>681</v>
      </c>
      <c r="E128" s="94">
        <v>368</v>
      </c>
      <c r="F128" s="94">
        <v>166</v>
      </c>
      <c r="G128" s="94">
        <v>54</v>
      </c>
      <c r="H128" s="94">
        <v>91</v>
      </c>
      <c r="I128" s="94">
        <v>17</v>
      </c>
      <c r="J128" s="94">
        <v>2</v>
      </c>
      <c r="K128" s="96">
        <v>67</v>
      </c>
      <c r="L128" s="96">
        <v>370</v>
      </c>
      <c r="M128" s="96">
        <v>12</v>
      </c>
      <c r="N128" s="96">
        <v>539</v>
      </c>
    </row>
    <row r="129" spans="1:14" ht="15.75" customHeight="1" x14ac:dyDescent="0.2">
      <c r="A129" s="91" t="s">
        <v>641</v>
      </c>
      <c r="B129" s="97" t="s">
        <v>630</v>
      </c>
      <c r="C129" s="93">
        <v>689</v>
      </c>
      <c r="D129" s="94">
        <v>575</v>
      </c>
      <c r="E129" s="94">
        <v>83</v>
      </c>
      <c r="F129" s="94">
        <v>25</v>
      </c>
      <c r="G129" s="94">
        <v>2</v>
      </c>
      <c r="H129" s="94">
        <v>1</v>
      </c>
      <c r="I129" s="94">
        <v>2</v>
      </c>
      <c r="J129" s="94">
        <v>1</v>
      </c>
      <c r="K129" s="96">
        <v>332</v>
      </c>
      <c r="L129" s="96">
        <v>8</v>
      </c>
      <c r="M129" s="96">
        <v>20</v>
      </c>
      <c r="N129" s="96">
        <v>165</v>
      </c>
    </row>
    <row r="130" spans="1:14" ht="4.5" customHeight="1" x14ac:dyDescent="0.2">
      <c r="A130" s="91" t="s">
        <v>641</v>
      </c>
      <c r="B130" s="98" t="s">
        <v>631</v>
      </c>
      <c r="C130" s="93">
        <v>333</v>
      </c>
      <c r="D130" s="94">
        <v>301</v>
      </c>
      <c r="E130" s="94">
        <v>23</v>
      </c>
      <c r="F130" s="94">
        <v>7</v>
      </c>
      <c r="G130" s="94">
        <v>1</v>
      </c>
      <c r="H130" s="94">
        <v>1</v>
      </c>
      <c r="I130" s="95">
        <v>0</v>
      </c>
      <c r="J130" s="95">
        <v>0</v>
      </c>
      <c r="K130" s="96">
        <v>192</v>
      </c>
      <c r="L130" s="96">
        <v>4</v>
      </c>
      <c r="M130" s="96">
        <v>7</v>
      </c>
      <c r="N130" s="96">
        <v>62</v>
      </c>
    </row>
    <row r="131" spans="1:14" ht="15.75" customHeight="1" x14ac:dyDescent="0.2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</row>
    <row r="132" spans="1:14" ht="15.75" customHeight="1" x14ac:dyDescent="0.2">
      <c r="A132" s="91" t="s">
        <v>642</v>
      </c>
      <c r="B132" s="92" t="s">
        <v>629</v>
      </c>
      <c r="C132" s="93">
        <v>1320</v>
      </c>
      <c r="D132" s="94">
        <v>682</v>
      </c>
      <c r="E132" s="94">
        <v>288</v>
      </c>
      <c r="F132" s="94">
        <v>207</v>
      </c>
      <c r="G132" s="94">
        <v>38</v>
      </c>
      <c r="H132" s="94">
        <v>86</v>
      </c>
      <c r="I132" s="94">
        <v>16</v>
      </c>
      <c r="J132" s="94">
        <v>3</v>
      </c>
      <c r="K132" s="96">
        <v>46</v>
      </c>
      <c r="L132" s="96">
        <v>400</v>
      </c>
      <c r="M132" s="96">
        <v>11</v>
      </c>
      <c r="N132" s="96">
        <v>467</v>
      </c>
    </row>
    <row r="133" spans="1:14" ht="15.75" customHeight="1" x14ac:dyDescent="0.2">
      <c r="A133" s="91" t="s">
        <v>642</v>
      </c>
      <c r="B133" s="97" t="s">
        <v>630</v>
      </c>
      <c r="C133" s="93">
        <v>737</v>
      </c>
      <c r="D133" s="94">
        <v>636</v>
      </c>
      <c r="E133" s="94">
        <v>78</v>
      </c>
      <c r="F133" s="94">
        <v>18</v>
      </c>
      <c r="G133" s="94">
        <v>3</v>
      </c>
      <c r="H133" s="94">
        <v>2</v>
      </c>
      <c r="I133" s="95">
        <v>0</v>
      </c>
      <c r="J133" s="95">
        <v>0</v>
      </c>
      <c r="K133" s="96">
        <v>376</v>
      </c>
      <c r="L133" s="96">
        <v>14</v>
      </c>
      <c r="M133" s="96">
        <v>27</v>
      </c>
      <c r="N133" s="96">
        <v>157</v>
      </c>
    </row>
    <row r="134" spans="1:14" ht="4.5" customHeight="1" x14ac:dyDescent="0.2">
      <c r="A134" s="91" t="s">
        <v>642</v>
      </c>
      <c r="B134" s="98" t="s">
        <v>631</v>
      </c>
      <c r="C134" s="93">
        <v>557</v>
      </c>
      <c r="D134" s="94">
        <v>508</v>
      </c>
      <c r="E134" s="94">
        <v>38</v>
      </c>
      <c r="F134" s="94">
        <v>5</v>
      </c>
      <c r="G134" s="94">
        <v>2</v>
      </c>
      <c r="H134" s="94">
        <v>4</v>
      </c>
      <c r="I134" s="95">
        <v>0</v>
      </c>
      <c r="J134" s="95">
        <v>0</v>
      </c>
      <c r="K134" s="96">
        <v>287</v>
      </c>
      <c r="L134" s="96">
        <v>9</v>
      </c>
      <c r="M134" s="96">
        <v>22</v>
      </c>
      <c r="N134" s="96">
        <v>73</v>
      </c>
    </row>
    <row r="135" spans="1:14" ht="15.75" customHeight="1" x14ac:dyDescent="0.2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</row>
    <row r="136" spans="1:14" ht="15.75" customHeight="1" x14ac:dyDescent="0.2">
      <c r="A136" s="91" t="s">
        <v>643</v>
      </c>
      <c r="B136" s="92" t="s">
        <v>629</v>
      </c>
      <c r="C136" s="93">
        <v>1587</v>
      </c>
      <c r="D136" s="94">
        <v>879</v>
      </c>
      <c r="E136" s="94">
        <v>254</v>
      </c>
      <c r="F136" s="94">
        <v>315</v>
      </c>
      <c r="G136" s="94">
        <v>23</v>
      </c>
      <c r="H136" s="94">
        <v>90</v>
      </c>
      <c r="I136" s="94">
        <v>18</v>
      </c>
      <c r="J136" s="94">
        <v>8</v>
      </c>
      <c r="K136" s="96">
        <v>85</v>
      </c>
      <c r="L136" s="96">
        <v>487</v>
      </c>
      <c r="M136" s="96">
        <v>14</v>
      </c>
      <c r="N136" s="96">
        <v>605</v>
      </c>
    </row>
    <row r="137" spans="1:14" ht="15.75" customHeight="1" x14ac:dyDescent="0.2">
      <c r="A137" s="91" t="s">
        <v>643</v>
      </c>
      <c r="B137" s="97" t="s">
        <v>630</v>
      </c>
      <c r="C137" s="93">
        <v>819</v>
      </c>
      <c r="D137" s="94">
        <v>685</v>
      </c>
      <c r="E137" s="94">
        <v>95</v>
      </c>
      <c r="F137" s="94">
        <v>29</v>
      </c>
      <c r="G137" s="94">
        <v>6</v>
      </c>
      <c r="H137" s="94">
        <v>3</v>
      </c>
      <c r="I137" s="94">
        <v>1</v>
      </c>
      <c r="J137" s="95">
        <v>0</v>
      </c>
      <c r="K137" s="96">
        <v>427</v>
      </c>
      <c r="L137" s="96">
        <v>3</v>
      </c>
      <c r="M137" s="96">
        <v>32</v>
      </c>
      <c r="N137" s="96">
        <v>195</v>
      </c>
    </row>
    <row r="138" spans="1:14" ht="4.5" customHeight="1" x14ac:dyDescent="0.2">
      <c r="A138" s="91" t="s">
        <v>643</v>
      </c>
      <c r="B138" s="98" t="s">
        <v>631</v>
      </c>
      <c r="C138" s="93">
        <v>600</v>
      </c>
      <c r="D138" s="94">
        <v>534</v>
      </c>
      <c r="E138" s="94">
        <v>53</v>
      </c>
      <c r="F138" s="94">
        <v>9</v>
      </c>
      <c r="G138" s="94">
        <v>3</v>
      </c>
      <c r="H138" s="94">
        <v>1</v>
      </c>
      <c r="I138" s="95">
        <v>0</v>
      </c>
      <c r="J138" s="95">
        <v>0</v>
      </c>
      <c r="K138" s="96">
        <v>301</v>
      </c>
      <c r="L138" s="96">
        <v>8</v>
      </c>
      <c r="M138" s="96">
        <v>18</v>
      </c>
      <c r="N138" s="96">
        <v>133</v>
      </c>
    </row>
    <row r="139" spans="1:14" ht="15.75" customHeight="1" x14ac:dyDescent="0.2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</row>
    <row r="140" spans="1:14" ht="15.75" customHeight="1" x14ac:dyDescent="0.2">
      <c r="A140" s="91" t="s">
        <v>644</v>
      </c>
      <c r="B140" s="92" t="s">
        <v>629</v>
      </c>
      <c r="C140" s="93">
        <v>1183</v>
      </c>
      <c r="D140" s="94">
        <v>561</v>
      </c>
      <c r="E140" s="94">
        <v>209</v>
      </c>
      <c r="F140" s="94">
        <v>255</v>
      </c>
      <c r="G140" s="94">
        <v>27</v>
      </c>
      <c r="H140" s="94">
        <v>111</v>
      </c>
      <c r="I140" s="94">
        <v>16</v>
      </c>
      <c r="J140" s="94">
        <v>4</v>
      </c>
      <c r="K140" s="96">
        <v>86</v>
      </c>
      <c r="L140" s="96">
        <v>379</v>
      </c>
      <c r="M140" s="96">
        <v>16</v>
      </c>
      <c r="N140" s="96">
        <v>545</v>
      </c>
    </row>
    <row r="141" spans="1:14" ht="15.75" customHeight="1" x14ac:dyDescent="0.2">
      <c r="A141" s="91" t="s">
        <v>644</v>
      </c>
      <c r="B141" s="97" t="s">
        <v>630</v>
      </c>
      <c r="C141" s="93">
        <v>1105</v>
      </c>
      <c r="D141" s="94">
        <v>947</v>
      </c>
      <c r="E141" s="94">
        <v>129</v>
      </c>
      <c r="F141" s="94">
        <v>19</v>
      </c>
      <c r="G141" s="94">
        <v>6</v>
      </c>
      <c r="H141" s="94">
        <v>2</v>
      </c>
      <c r="I141" s="94">
        <v>2</v>
      </c>
      <c r="J141" s="95">
        <v>0</v>
      </c>
      <c r="K141" s="96">
        <v>520</v>
      </c>
      <c r="L141" s="96">
        <v>21</v>
      </c>
      <c r="M141" s="96">
        <v>22</v>
      </c>
      <c r="N141" s="96">
        <v>257</v>
      </c>
    </row>
    <row r="142" spans="1:14" ht="4.5" customHeight="1" x14ac:dyDescent="0.2">
      <c r="A142" s="91" t="s">
        <v>644</v>
      </c>
      <c r="B142" s="98" t="s">
        <v>631</v>
      </c>
      <c r="C142" s="93">
        <v>688</v>
      </c>
      <c r="D142" s="94">
        <v>607</v>
      </c>
      <c r="E142" s="94">
        <v>64</v>
      </c>
      <c r="F142" s="94">
        <v>8</v>
      </c>
      <c r="G142" s="94">
        <v>5</v>
      </c>
      <c r="H142" s="94">
        <v>4</v>
      </c>
      <c r="I142" s="95">
        <v>0</v>
      </c>
      <c r="J142" s="95">
        <v>0</v>
      </c>
      <c r="K142" s="96">
        <v>319</v>
      </c>
      <c r="L142" s="96">
        <v>11</v>
      </c>
      <c r="M142" s="96">
        <v>24</v>
      </c>
      <c r="N142" s="96">
        <v>157</v>
      </c>
    </row>
    <row r="143" spans="1:14" ht="15.75" customHeight="1" x14ac:dyDescent="0.2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</row>
    <row r="144" spans="1:14" ht="15.75" customHeight="1" x14ac:dyDescent="0.2">
      <c r="A144" s="91" t="s">
        <v>645</v>
      </c>
      <c r="B144" s="92" t="s">
        <v>629</v>
      </c>
      <c r="C144" s="93">
        <v>852</v>
      </c>
      <c r="D144" s="94">
        <v>495</v>
      </c>
      <c r="E144" s="94">
        <v>147</v>
      </c>
      <c r="F144" s="94">
        <v>140</v>
      </c>
      <c r="G144" s="94">
        <v>12</v>
      </c>
      <c r="H144" s="94">
        <v>43</v>
      </c>
      <c r="I144" s="94">
        <v>14</v>
      </c>
      <c r="J144" s="94">
        <v>1</v>
      </c>
      <c r="K144" s="96">
        <v>30</v>
      </c>
      <c r="L144" s="96">
        <v>232</v>
      </c>
      <c r="M144" s="96">
        <v>10</v>
      </c>
      <c r="N144" s="96">
        <v>287</v>
      </c>
    </row>
    <row r="145" spans="1:14" ht="15.75" customHeight="1" x14ac:dyDescent="0.2">
      <c r="A145" s="91" t="s">
        <v>645</v>
      </c>
      <c r="B145" s="97" t="s">
        <v>630</v>
      </c>
      <c r="C145" s="93">
        <v>545</v>
      </c>
      <c r="D145" s="94">
        <v>480</v>
      </c>
      <c r="E145" s="94">
        <v>45</v>
      </c>
      <c r="F145" s="94">
        <v>14</v>
      </c>
      <c r="G145" s="94">
        <v>2</v>
      </c>
      <c r="H145" s="94">
        <v>2</v>
      </c>
      <c r="I145" s="94">
        <v>2</v>
      </c>
      <c r="J145" s="95">
        <v>0</v>
      </c>
      <c r="K145" s="96">
        <v>205</v>
      </c>
      <c r="L145" s="96">
        <v>24</v>
      </c>
      <c r="M145" s="96">
        <v>59</v>
      </c>
      <c r="N145" s="96">
        <v>103</v>
      </c>
    </row>
    <row r="146" spans="1:14" ht="4.5" customHeight="1" x14ac:dyDescent="0.2">
      <c r="A146" s="91" t="s">
        <v>645</v>
      </c>
      <c r="B146" s="98" t="s">
        <v>631</v>
      </c>
      <c r="C146" s="93">
        <v>400</v>
      </c>
      <c r="D146" s="94">
        <v>366</v>
      </c>
      <c r="E146" s="94">
        <v>26</v>
      </c>
      <c r="F146" s="94">
        <v>4</v>
      </c>
      <c r="G146" s="94">
        <v>1</v>
      </c>
      <c r="H146" s="94">
        <v>3</v>
      </c>
      <c r="I146" s="95">
        <v>0</v>
      </c>
      <c r="J146" s="95">
        <v>0</v>
      </c>
      <c r="K146" s="96">
        <v>143</v>
      </c>
      <c r="L146" s="96">
        <v>22</v>
      </c>
      <c r="M146" s="96">
        <v>37</v>
      </c>
      <c r="N146" s="96">
        <v>61</v>
      </c>
    </row>
    <row r="147" spans="1:14" ht="15.75" customHeight="1" x14ac:dyDescent="0.2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</row>
    <row r="148" spans="1:14" ht="15.75" customHeight="1" x14ac:dyDescent="0.2">
      <c r="A148" s="91" t="s">
        <v>646</v>
      </c>
      <c r="B148" s="92" t="s">
        <v>629</v>
      </c>
      <c r="C148" s="93">
        <v>893</v>
      </c>
      <c r="D148" s="94">
        <v>484</v>
      </c>
      <c r="E148" s="94">
        <v>133</v>
      </c>
      <c r="F148" s="94">
        <v>168</v>
      </c>
      <c r="G148" s="94">
        <v>23</v>
      </c>
      <c r="H148" s="94">
        <v>66</v>
      </c>
      <c r="I148" s="94">
        <v>16</v>
      </c>
      <c r="J148" s="94">
        <v>3</v>
      </c>
      <c r="K148" s="96">
        <v>22</v>
      </c>
      <c r="L148" s="96">
        <v>320</v>
      </c>
      <c r="M148" s="96">
        <v>12</v>
      </c>
      <c r="N148" s="96">
        <v>322</v>
      </c>
    </row>
    <row r="149" spans="1:14" ht="15.75" customHeight="1" x14ac:dyDescent="0.2">
      <c r="A149" s="91" t="s">
        <v>646</v>
      </c>
      <c r="B149" s="97" t="s">
        <v>630</v>
      </c>
      <c r="C149" s="93">
        <v>545</v>
      </c>
      <c r="D149" s="94">
        <v>478</v>
      </c>
      <c r="E149" s="94">
        <v>46</v>
      </c>
      <c r="F149" s="94">
        <v>15</v>
      </c>
      <c r="G149" s="94">
        <v>1</v>
      </c>
      <c r="H149" s="94">
        <v>3</v>
      </c>
      <c r="I149" s="95">
        <v>0</v>
      </c>
      <c r="J149" s="94">
        <v>2</v>
      </c>
      <c r="K149" s="96">
        <v>128</v>
      </c>
      <c r="L149" s="96">
        <v>42</v>
      </c>
      <c r="M149" s="96">
        <v>105</v>
      </c>
      <c r="N149" s="96">
        <v>101</v>
      </c>
    </row>
    <row r="150" spans="1:14" ht="4.5" customHeight="1" x14ac:dyDescent="0.2">
      <c r="A150" s="91" t="s">
        <v>646</v>
      </c>
      <c r="B150" s="98" t="s">
        <v>631</v>
      </c>
      <c r="C150" s="93">
        <v>357</v>
      </c>
      <c r="D150" s="94">
        <v>323</v>
      </c>
      <c r="E150" s="94">
        <v>23</v>
      </c>
      <c r="F150" s="94">
        <v>7</v>
      </c>
      <c r="G150" s="94">
        <v>2</v>
      </c>
      <c r="H150" s="94">
        <v>1</v>
      </c>
      <c r="I150" s="95">
        <v>0</v>
      </c>
      <c r="J150" s="94">
        <v>1</v>
      </c>
      <c r="K150" s="96">
        <v>95</v>
      </c>
      <c r="L150" s="96">
        <v>23</v>
      </c>
      <c r="M150" s="96">
        <v>71</v>
      </c>
      <c r="N150" s="96">
        <v>59</v>
      </c>
    </row>
    <row r="151" spans="1:14" ht="13.5" customHeight="1" x14ac:dyDescent="0.2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</row>
    <row r="152" spans="1:14" ht="13.5" customHeight="1" x14ac:dyDescent="0.2">
      <c r="A152" s="91" t="s">
        <v>647</v>
      </c>
      <c r="B152" s="92" t="s">
        <v>629</v>
      </c>
      <c r="C152" s="93">
        <v>810</v>
      </c>
      <c r="D152" s="94">
        <v>472</v>
      </c>
      <c r="E152" s="94">
        <v>117</v>
      </c>
      <c r="F152" s="94">
        <v>146</v>
      </c>
      <c r="G152" s="94">
        <v>15</v>
      </c>
      <c r="H152" s="94">
        <v>47</v>
      </c>
      <c r="I152" s="94">
        <v>9</v>
      </c>
      <c r="J152" s="94">
        <v>4</v>
      </c>
      <c r="K152" s="96">
        <v>19</v>
      </c>
      <c r="L152" s="96">
        <v>284</v>
      </c>
      <c r="M152" s="96">
        <v>20</v>
      </c>
      <c r="N152" s="96">
        <v>289</v>
      </c>
    </row>
    <row r="153" spans="1:14" ht="13.5" customHeight="1" x14ac:dyDescent="0.2">
      <c r="A153" s="91" t="s">
        <v>647</v>
      </c>
      <c r="B153" s="97" t="s">
        <v>630</v>
      </c>
      <c r="C153" s="93">
        <v>559</v>
      </c>
      <c r="D153" s="94">
        <v>487</v>
      </c>
      <c r="E153" s="94">
        <v>53</v>
      </c>
      <c r="F153" s="94">
        <v>13</v>
      </c>
      <c r="G153" s="94">
        <v>2</v>
      </c>
      <c r="H153" s="94">
        <v>3</v>
      </c>
      <c r="I153" s="94">
        <v>1</v>
      </c>
      <c r="J153" s="95">
        <v>0</v>
      </c>
      <c r="K153" s="96">
        <v>111</v>
      </c>
      <c r="L153" s="96">
        <v>57</v>
      </c>
      <c r="M153" s="96">
        <v>122</v>
      </c>
      <c r="N153" s="96">
        <v>100</v>
      </c>
    </row>
    <row r="154" spans="1:14" ht="13.5" customHeight="1" x14ac:dyDescent="0.2">
      <c r="A154" s="91" t="s">
        <v>647</v>
      </c>
      <c r="B154" s="98" t="s">
        <v>631</v>
      </c>
      <c r="C154" s="93">
        <v>287</v>
      </c>
      <c r="D154" s="94">
        <v>258</v>
      </c>
      <c r="E154" s="94">
        <v>24</v>
      </c>
      <c r="F154" s="94">
        <v>2</v>
      </c>
      <c r="G154" s="94">
        <v>1</v>
      </c>
      <c r="H154" s="94">
        <v>2</v>
      </c>
      <c r="I154" s="95">
        <v>0</v>
      </c>
      <c r="J154" s="95">
        <v>0</v>
      </c>
      <c r="K154" s="96">
        <v>81</v>
      </c>
      <c r="L154" s="96">
        <v>16</v>
      </c>
      <c r="M154" s="96">
        <v>49</v>
      </c>
      <c r="N154" s="96">
        <v>44</v>
      </c>
    </row>
    <row r="155" spans="1:14" ht="13.5" customHeight="1" x14ac:dyDescent="0.2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</row>
    <row r="156" spans="1:14" ht="13.5" customHeight="1" x14ac:dyDescent="0.2">
      <c r="A156" s="91" t="s">
        <v>573</v>
      </c>
      <c r="B156" s="92" t="s">
        <v>629</v>
      </c>
      <c r="C156" s="93">
        <v>731</v>
      </c>
      <c r="D156" s="94">
        <v>420</v>
      </c>
      <c r="E156" s="94">
        <v>91</v>
      </c>
      <c r="F156" s="94">
        <v>141</v>
      </c>
      <c r="G156" s="94">
        <v>10</v>
      </c>
      <c r="H156" s="94">
        <v>51</v>
      </c>
      <c r="I156" s="94">
        <v>15</v>
      </c>
      <c r="J156" s="94">
        <v>3</v>
      </c>
      <c r="K156" s="96">
        <v>20</v>
      </c>
      <c r="L156" s="96">
        <v>244</v>
      </c>
      <c r="M156" s="96">
        <v>23</v>
      </c>
      <c r="N156" s="96">
        <v>285</v>
      </c>
    </row>
    <row r="157" spans="1:14" x14ac:dyDescent="0.2">
      <c r="A157" s="91" t="s">
        <v>573</v>
      </c>
      <c r="B157" s="97" t="s">
        <v>630</v>
      </c>
      <c r="C157" s="93">
        <v>568</v>
      </c>
      <c r="D157" s="94">
        <v>497</v>
      </c>
      <c r="E157" s="94">
        <v>54</v>
      </c>
      <c r="F157" s="94">
        <v>13</v>
      </c>
      <c r="G157" s="94">
        <v>2</v>
      </c>
      <c r="H157" s="94">
        <v>2</v>
      </c>
      <c r="I157" s="95">
        <v>0</v>
      </c>
      <c r="J157" s="95">
        <v>0</v>
      </c>
      <c r="K157" s="96">
        <v>115</v>
      </c>
      <c r="L157" s="96">
        <v>57</v>
      </c>
      <c r="M157" s="96">
        <v>134</v>
      </c>
      <c r="N157" s="96">
        <v>115</v>
      </c>
    </row>
    <row r="158" spans="1:14" x14ac:dyDescent="0.2">
      <c r="A158" s="91" t="s">
        <v>573</v>
      </c>
      <c r="B158" s="98" t="s">
        <v>631</v>
      </c>
      <c r="C158" s="93">
        <v>293</v>
      </c>
      <c r="D158" s="94">
        <v>255</v>
      </c>
      <c r="E158" s="94">
        <v>30</v>
      </c>
      <c r="F158" s="94">
        <v>4</v>
      </c>
      <c r="G158" s="95">
        <v>3</v>
      </c>
      <c r="H158" s="94">
        <v>1</v>
      </c>
      <c r="I158" s="95">
        <v>0</v>
      </c>
      <c r="J158" s="95">
        <v>0</v>
      </c>
      <c r="K158" s="96">
        <v>74</v>
      </c>
      <c r="L158" s="96">
        <v>27</v>
      </c>
      <c r="M158" s="96">
        <v>62</v>
      </c>
      <c r="N158" s="96">
        <v>68</v>
      </c>
    </row>
    <row r="159" spans="1:14" x14ac:dyDescent="0.2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</row>
    <row r="160" spans="1:14" x14ac:dyDescent="0.2">
      <c r="A160" s="91" t="s">
        <v>648</v>
      </c>
      <c r="B160" s="92" t="s">
        <v>629</v>
      </c>
      <c r="C160" s="93">
        <v>740</v>
      </c>
      <c r="D160" s="94">
        <v>415</v>
      </c>
      <c r="E160" s="94">
        <v>86</v>
      </c>
      <c r="F160" s="94">
        <v>160</v>
      </c>
      <c r="G160" s="94">
        <v>9</v>
      </c>
      <c r="H160" s="94">
        <v>54</v>
      </c>
      <c r="I160" s="94">
        <v>13</v>
      </c>
      <c r="J160" s="94">
        <v>3</v>
      </c>
      <c r="K160" s="96">
        <v>13</v>
      </c>
      <c r="L160" s="96">
        <v>263</v>
      </c>
      <c r="M160" s="96">
        <v>16</v>
      </c>
      <c r="N160" s="96">
        <v>278</v>
      </c>
    </row>
    <row r="161" spans="1:14" x14ac:dyDescent="0.2">
      <c r="A161" s="91" t="s">
        <v>648</v>
      </c>
      <c r="B161" s="97" t="s">
        <v>630</v>
      </c>
      <c r="C161" s="93">
        <v>581</v>
      </c>
      <c r="D161" s="94">
        <v>505</v>
      </c>
      <c r="E161" s="94">
        <v>54</v>
      </c>
      <c r="F161" s="94">
        <v>16</v>
      </c>
      <c r="G161" s="94">
        <v>3</v>
      </c>
      <c r="H161" s="94">
        <v>3</v>
      </c>
      <c r="I161" s="95">
        <v>0</v>
      </c>
      <c r="J161" s="95">
        <v>0</v>
      </c>
      <c r="K161" s="96">
        <v>120</v>
      </c>
      <c r="L161" s="96">
        <v>69</v>
      </c>
      <c r="M161" s="96">
        <v>125</v>
      </c>
      <c r="N161" s="96">
        <v>109</v>
      </c>
    </row>
    <row r="162" spans="1:14" x14ac:dyDescent="0.2">
      <c r="A162" s="91" t="s">
        <v>648</v>
      </c>
      <c r="B162" s="98" t="s">
        <v>631</v>
      </c>
      <c r="C162" s="93">
        <v>281</v>
      </c>
      <c r="D162" s="94">
        <v>244</v>
      </c>
      <c r="E162" s="94">
        <v>23</v>
      </c>
      <c r="F162" s="94">
        <v>8</v>
      </c>
      <c r="G162" s="95">
        <v>2</v>
      </c>
      <c r="H162" s="94">
        <v>4</v>
      </c>
      <c r="I162" s="95">
        <v>0</v>
      </c>
      <c r="J162" s="95">
        <v>0</v>
      </c>
      <c r="K162" s="96">
        <v>61</v>
      </c>
      <c r="L162" s="96">
        <v>30</v>
      </c>
      <c r="M162" s="96">
        <v>58</v>
      </c>
      <c r="N162" s="96">
        <v>55</v>
      </c>
    </row>
    <row r="163" spans="1:14" x14ac:dyDescent="0.2">
      <c r="A163" t="s">
        <v>649</v>
      </c>
      <c r="B163" t="s">
        <v>629</v>
      </c>
      <c r="C163">
        <v>689</v>
      </c>
      <c r="D163">
        <v>368</v>
      </c>
      <c r="E163">
        <v>91</v>
      </c>
      <c r="F163">
        <v>132</v>
      </c>
      <c r="G163">
        <v>21</v>
      </c>
      <c r="H163">
        <v>61</v>
      </c>
      <c r="I163">
        <v>15</v>
      </c>
      <c r="J163">
        <v>1</v>
      </c>
      <c r="K163">
        <v>23</v>
      </c>
      <c r="L163">
        <v>161</v>
      </c>
      <c r="M163">
        <v>22</v>
      </c>
      <c r="N163">
        <v>283</v>
      </c>
    </row>
    <row r="164" spans="1:14" x14ac:dyDescent="0.2">
      <c r="A164" t="s">
        <v>649</v>
      </c>
      <c r="B164" t="s">
        <v>630</v>
      </c>
      <c r="C164">
        <v>553</v>
      </c>
      <c r="D164">
        <v>480</v>
      </c>
      <c r="E164">
        <v>41</v>
      </c>
      <c r="F164">
        <v>24</v>
      </c>
      <c r="G164">
        <v>5</v>
      </c>
      <c r="H164">
        <v>3</v>
      </c>
      <c r="I164">
        <v>0</v>
      </c>
      <c r="J164">
        <v>0</v>
      </c>
      <c r="K164">
        <v>106</v>
      </c>
      <c r="L164">
        <v>68</v>
      </c>
      <c r="M164">
        <v>114</v>
      </c>
      <c r="N164">
        <v>107</v>
      </c>
    </row>
    <row r="165" spans="1:14" x14ac:dyDescent="0.2">
      <c r="A165" t="s">
        <v>649</v>
      </c>
      <c r="B165" t="s">
        <v>631</v>
      </c>
      <c r="C165">
        <v>272</v>
      </c>
      <c r="D165">
        <v>251</v>
      </c>
      <c r="E165">
        <v>18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75</v>
      </c>
      <c r="L165">
        <v>21</v>
      </c>
      <c r="M165">
        <v>42</v>
      </c>
      <c r="N165">
        <v>47</v>
      </c>
    </row>
    <row r="166" spans="1:14" x14ac:dyDescent="0.2">
      <c r="A166" t="s">
        <v>650</v>
      </c>
      <c r="B166" t="s">
        <v>629</v>
      </c>
      <c r="C166">
        <v>661</v>
      </c>
      <c r="D166">
        <v>361</v>
      </c>
      <c r="E166">
        <v>107</v>
      </c>
      <c r="F166">
        <v>127</v>
      </c>
      <c r="G166">
        <v>6</v>
      </c>
      <c r="H166">
        <v>45</v>
      </c>
      <c r="I166">
        <v>12</v>
      </c>
      <c r="J166">
        <v>3</v>
      </c>
      <c r="K166">
        <v>8</v>
      </c>
      <c r="L166">
        <v>136</v>
      </c>
      <c r="M166">
        <v>20</v>
      </c>
      <c r="N166">
        <v>247</v>
      </c>
    </row>
    <row r="167" spans="1:14" x14ac:dyDescent="0.2">
      <c r="A167" s="135" t="s">
        <v>650</v>
      </c>
      <c r="B167" t="s">
        <v>630</v>
      </c>
      <c r="C167">
        <v>413</v>
      </c>
      <c r="D167">
        <v>355</v>
      </c>
      <c r="E167">
        <v>37</v>
      </c>
      <c r="F167">
        <v>12</v>
      </c>
      <c r="G167">
        <v>1</v>
      </c>
      <c r="H167">
        <v>4</v>
      </c>
      <c r="I167">
        <v>4</v>
      </c>
      <c r="J167">
        <v>0</v>
      </c>
      <c r="K167">
        <v>89</v>
      </c>
      <c r="L167">
        <v>55</v>
      </c>
      <c r="M167">
        <v>92</v>
      </c>
      <c r="N167">
        <v>87</v>
      </c>
    </row>
    <row r="168" spans="1:14" x14ac:dyDescent="0.2">
      <c r="A168" s="136" t="s">
        <v>650</v>
      </c>
      <c r="B168" s="136" t="s">
        <v>631</v>
      </c>
      <c r="C168" s="136">
        <v>201</v>
      </c>
      <c r="D168" s="136">
        <v>178</v>
      </c>
      <c r="E168" s="136">
        <v>13</v>
      </c>
      <c r="F168" s="136">
        <v>7</v>
      </c>
      <c r="G168" s="136">
        <v>2</v>
      </c>
      <c r="H168" s="136">
        <v>1</v>
      </c>
      <c r="I168" s="136">
        <v>0</v>
      </c>
      <c r="J168" s="136">
        <v>0</v>
      </c>
      <c r="K168" s="136">
        <v>46</v>
      </c>
      <c r="L168" s="136">
        <v>20</v>
      </c>
      <c r="M168" s="136">
        <v>53</v>
      </c>
      <c r="N168" s="136">
        <v>47</v>
      </c>
    </row>
    <row r="169" spans="1:14" x14ac:dyDescent="0.2">
      <c r="A169" s="136" t="s">
        <v>651</v>
      </c>
      <c r="B169" s="136" t="s">
        <v>629</v>
      </c>
      <c r="C169" s="136">
        <v>566</v>
      </c>
      <c r="D169" s="136">
        <v>304</v>
      </c>
      <c r="E169" s="136">
        <v>97</v>
      </c>
      <c r="F169" s="136">
        <v>99</v>
      </c>
      <c r="G169" s="136">
        <v>10</v>
      </c>
      <c r="H169" s="136">
        <v>38</v>
      </c>
      <c r="I169" s="136">
        <v>13</v>
      </c>
      <c r="J169" s="136">
        <v>5</v>
      </c>
      <c r="K169" s="136">
        <v>11</v>
      </c>
      <c r="L169" s="136">
        <v>115</v>
      </c>
      <c r="M169" s="136">
        <v>14</v>
      </c>
      <c r="N169" s="136">
        <v>213</v>
      </c>
    </row>
    <row r="170" spans="1:14" x14ac:dyDescent="0.2">
      <c r="A170" s="136" t="s">
        <v>651</v>
      </c>
      <c r="B170" s="136" t="s">
        <v>630</v>
      </c>
      <c r="C170" s="136">
        <v>338</v>
      </c>
      <c r="D170" s="136">
        <v>306</v>
      </c>
      <c r="E170" s="136">
        <v>24</v>
      </c>
      <c r="F170" s="136">
        <v>3</v>
      </c>
      <c r="G170" s="136">
        <v>4</v>
      </c>
      <c r="H170" s="136">
        <v>1</v>
      </c>
      <c r="I170" s="136">
        <v>0</v>
      </c>
      <c r="J170" s="136">
        <v>0</v>
      </c>
      <c r="K170" s="136">
        <v>88</v>
      </c>
      <c r="L170" s="136">
        <v>26</v>
      </c>
      <c r="M170" s="136">
        <v>69</v>
      </c>
      <c r="N170" s="136">
        <v>61</v>
      </c>
    </row>
    <row r="171" spans="1:14" x14ac:dyDescent="0.2">
      <c r="A171" s="136" t="s">
        <v>651</v>
      </c>
      <c r="B171" s="136" t="s">
        <v>631</v>
      </c>
      <c r="C171" s="136">
        <v>149</v>
      </c>
      <c r="D171" s="136">
        <v>136</v>
      </c>
      <c r="E171" s="136">
        <v>8</v>
      </c>
      <c r="F171" s="136">
        <v>2</v>
      </c>
      <c r="G171" s="136">
        <v>3</v>
      </c>
      <c r="H171" s="136">
        <v>0</v>
      </c>
      <c r="I171" s="136">
        <v>0</v>
      </c>
      <c r="J171" s="136">
        <v>0</v>
      </c>
      <c r="K171" s="136">
        <v>46</v>
      </c>
      <c r="L171" s="136">
        <v>13</v>
      </c>
      <c r="M171" s="136">
        <v>35</v>
      </c>
      <c r="N171" s="136">
        <v>32</v>
      </c>
    </row>
  </sheetData>
  <mergeCells count="3">
    <mergeCell ref="A4:N4"/>
    <mergeCell ref="A2:N2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📖 ĐỊNH NGHĨA CHỈ SỐ</vt:lpstr>
      <vt:lpstr>📊 MASTER</vt:lpstr>
      <vt:lpstr>📅 DAILY T9-25</vt:lpstr>
      <vt:lpstr>📅 DAILY T10-25</vt:lpstr>
      <vt:lpstr>📅 DAILY T11-25</vt:lpstr>
      <vt:lpstr>📅 DAILY T12-25</vt:lpstr>
      <vt:lpstr>📅 DAILY T1-26</vt:lpstr>
      <vt:lpstr>📅 DAILY T2-26</vt:lpstr>
      <vt:lpstr>📅 DAILY T3-26</vt:lpstr>
      <vt:lpstr>📅 DAILY T4-26</vt:lpstr>
      <vt:lpstr>📅 DAILY T5-26</vt:lpstr>
      <vt:lpstr>📅 DAILY T6</vt:lpstr>
      <vt:lpstr>📊 TUẦN T6</vt:lpstr>
      <vt:lpstr>📅 DAILY T7</vt:lpstr>
      <vt:lpstr>📊 TUẦN T7</vt:lpstr>
      <vt:lpstr>📅 DAILY T8</vt:lpstr>
      <vt:lpstr>📊 TUẦN T8</vt:lpstr>
      <vt:lpstr>📅 DAILY T9</vt:lpstr>
      <vt:lpstr>📊 TUẦN T9</vt:lpstr>
      <vt:lpstr>📅 DAILY T10</vt:lpstr>
      <vt:lpstr>📊 TUẦN T10</vt:lpstr>
      <vt:lpstr>📅 DAILY T11</vt:lpstr>
      <vt:lpstr>📊 TUẦN T11</vt:lpstr>
      <vt:lpstr>📅 DAILY T12</vt:lpstr>
      <vt:lpstr>📊 TUẦN T12</vt:lpstr>
      <vt:lpstr>📖 HƯỚNG DẪN</vt:lpstr>
      <vt:lpstr>HÀNH VI 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Macos</cp:lastModifiedBy>
  <cp:revision>0</cp:revision>
  <dcterms:created xsi:type="dcterms:W3CDTF">2026-06-12T08:03:41Z</dcterms:created>
  <dcterms:modified xsi:type="dcterms:W3CDTF">2026-10-19T03:00:11Z</dcterms:modified>
  <dc:language>en-US</dc:language>
</cp:coreProperties>
</file>