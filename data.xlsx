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MASTER" sheetId="1" r:id="rId5"/>
    <sheet state="visible" name="📅 DAILY T6" sheetId="2" r:id="rId6"/>
    <sheet state="visible" name="📊 TUẦN T6" sheetId="3" r:id="rId7"/>
    <sheet state="visible" name="📅 DAILY T7" sheetId="4" r:id="rId8"/>
    <sheet state="visible" name="📊 TUẦN T7" sheetId="5" r:id="rId9"/>
    <sheet state="visible" name="📅 DAILY T8" sheetId="6" r:id="rId10"/>
    <sheet state="visible" name="📊 TUẦN T8" sheetId="7" r:id="rId11"/>
    <sheet state="visible" name="📅 DAILY T9" sheetId="8" r:id="rId12"/>
    <sheet state="visible" name="📊 TUẦN T9" sheetId="9" r:id="rId13"/>
    <sheet state="visible" name="📖 HƯỚNG DẪN" sheetId="10" r:id="rId14"/>
  </sheets>
  <definedNames/>
  <calcPr/>
</workbook>
</file>

<file path=xl/sharedStrings.xml><?xml version="1.0" encoding="utf-8"?>
<sst xmlns="http://schemas.openxmlformats.org/spreadsheetml/2006/main" count="570" uniqueCount="239">
  <si>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</si>
  <si>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</si>
  <si>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</si>
  <si>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</si>
  <si>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</si>
  <si>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</si>
  <si>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</si>
  <si>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</si>
  <si>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</si>
  <si>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</si>
  <si>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</si>
  <si>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</si>
  <si>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</si>
  <si>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</si>
  <si>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</si>
  <si>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</si>
  <si>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</si>
  <si>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</si>
  <si>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</si>
  <si>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</si>
  <si>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</si>
  <si>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</si>
  <si>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</si>
  <si>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</si>
  <si>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</si>
  <si>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</si>
  <si>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</si>
  <si>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</si>
  <si>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</si>
  <si>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</si>
  <si>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</si>
  <si>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</si>
  <si>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</si>
  <si>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</si>
  <si>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</si>
  <si>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</si>
  <si>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Chi phí Ads (Agency)</t>
  </si>
  <si>
    <t>CR% (Đơn FB / CMT+IB)</t>
  </si>
  <si>
    <t>%</t>
  </si>
  <si>
    <t>ROAS (DT FB Total / CP Ads)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</si>
  <si>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</si>
  <si>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</si>
  <si>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</si>
  <si>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</si>
  <si>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</si>
  <si>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</si>
  <si>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</si>
  <si>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</si>
  <si>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</si>
  <si>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</si>
  <si>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</si>
  <si>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</si>
  <si>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</si>
  <si>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</si>
  <si>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</si>
  <si>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</si>
  <si>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</si>
  <si>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</si>
  <si>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</si>
  <si>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</si>
  <si>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</si>
  <si>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</si>
  <si>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</si>
  <si>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</si>
  <si>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</si>
  <si>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</si>
  <si>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</si>
  <si>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</si>
  <si>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</si>
  <si>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</si>
  <si>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</si>
  <si>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</si>
  <si>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</si>
  <si>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</si>
  <si>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</si>
  <si>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</si>
  <si>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</si>
  <si>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</si>
  <si>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</si>
  <si>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</si>
  <si>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</si>
  <si>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</si>
  <si>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</si>
  <si>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</si>
  <si>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</si>
  <si>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</si>
  <si>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</si>
  <si>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</si>
  <si>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</si>
  <si>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</si>
  <si>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</si>
  <si>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</si>
  <si>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</si>
  <si>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</si>
  <si>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>KH VIP được phân NVBH (KR4.1)</t>
  </si>
  <si>
    <t>Loyalty: % CP / DT (KR4.2)</t>
  </si>
  <si>
    <t>Hồ sơ sức khoẻ mắt cộng dồn (KR4.4)</t>
  </si>
  <si>
    <t>hồ sơ</t>
  </si>
  <si>
    <t>KH sàn convert Zalo/Web (KR5.1)</t>
  </si>
  <si>
    <t>Zalo OA Followers (KR5.2)</t>
  </si>
  <si>
    <t>người</t>
  </si>
  <si>
    <t xml:space="preserve">  📌 Ô vàng: Upload Nhanh.vn cuối tháng → Claude tính  |  🟢 Ô xanh: Tự kéo từ DAILY sheet  |  CLV Realized đo theo Quý (3 tháng/lần)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</si>
  <si>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</si>
  <si>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</si>
  <si>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</si>
  <si>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</si>
  <si>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</si>
  <si>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</si>
  <si>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</si>
  <si>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</si>
  <si>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</si>
  <si>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</si>
  <si>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</si>
  <si>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</si>
  <si>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</si>
  <si>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</si>
  <si>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</si>
  <si>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</si>
  <si>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</si>
  <si>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</si>
  <si>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</si>
  <si>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</si>
  <si>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</si>
  <si>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</si>
  <si>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</si>
  <si>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</si>
  <si>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</si>
  <si>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</si>
  <si>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</si>
  <si>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</si>
  <si>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</si>
  <si>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</si>
  <si>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</si>
  <si>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</si>
  <si>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</si>
  <si>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</si>
  <si>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</si>
  <si>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</si>
  <si>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</si>
  <si>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</si>
  <si>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</si>
  <si>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</si>
  <si>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</si>
  <si>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</si>
  <si>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</si>
  <si>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</si>
  <si>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</si>
  <si>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</si>
  <si>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</si>
  <si>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</si>
  <si>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</si>
  <si>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</si>
  <si>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</si>
  <si>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</si>
  <si>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</si>
  <si>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</si>
  <si>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</si>
  <si>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</si>
  <si>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</si>
  <si>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</si>
  <si>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DAILY INPUT  •  THÁNG 7/2026  •  CARASE FB &amp; STORE</t>
  </si>
  <si>
    <t>TỔNG HỢP TUẦN  •  THÁNG 7/2026  •  CARASE FB &amp; STORE</t>
  </si>
  <si>
    <t>1/7–7/7</t>
  </si>
  <si>
    <t>8/7–14/7</t>
  </si>
  <si>
    <t>15/7–21/7</t>
  </si>
  <si>
    <t>22/7–28/7</t>
  </si>
  <si>
    <t>29/7–31/7</t>
  </si>
  <si>
    <t>1/7–31/7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</si>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</sst>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%"/>
    <numFmt numFmtId="165" formatCode="0.0"/>
    <numFmt numFmtId="166" formatCode="dd/mm"/>
    <numFmt numFmtId="167" formatCode="0.0\x"/>
  </numFmts>
  <fonts count="35">
    <font>
      <sz val="10.0"/>
      <color theme="1"/>
      <name val="Calibri"/>
      <scheme val="minor"/>
    </font>
    <font>
      <b/>
      <sz val="14.0"/>
      <color rgb="FFFFFFFF"/>
      <name val="Arial"/>
    </font>
    <font/>
    <font>
      <sz val="9.0"/>
      <color rgb="FFD6E4F0"/>
      <name val="Arial"/>
    </font>
    <font>
      <b/>
      <sz val="9.0"/>
      <color rgb="FFFFFFFF"/>
      <name val="Arial"/>
    </font>
    <font>
      <sz val="9.0"/>
      <color rgb="FF1A1A1A"/>
      <name val="Arial"/>
    </font>
    <font>
      <b/>
      <sz val="9.0"/>
      <color rgb="FF006400"/>
      <name val="Arial"/>
    </font>
    <font>
      <b/>
      <sz val="10.0"/>
      <color rgb="FFFFFFFF"/>
      <name val="Arial"/>
    </font>
    <font>
      <sz val="11.0"/>
      <color rgb="FF000000"/>
      <name val="Calibri"/>
    </font>
    <font>
      <b/>
      <sz val="9.0"/>
      <color rgb="FF1A1A1A"/>
      <name val="Arial"/>
    </font>
    <font>
      <sz val="8.0"/>
      <color rgb="FF595959"/>
      <name val="Arial"/>
    </font>
    <font>
      <sz val="9.0"/>
      <color rgb="FF333333"/>
      <name val="Arial"/>
    </font>
    <font>
      <sz val="9.0"/>
      <color rgb="FF006400"/>
      <name val="Arial"/>
    </font>
    <font>
      <sz val="9.0"/>
      <color rgb="FF888888"/>
      <name val="Arial"/>
    </font>
    <font>
      <sz val="10.0"/>
      <color theme="1"/>
      <name val="Calibri"/>
    </font>
    <font>
      <sz val="8.0"/>
      <color rgb="FFD6E4F0"/>
      <name val="Arial"/>
    </font>
    <font>
      <b/>
      <sz val="13.0"/>
      <color rgb="FFFFFFFF"/>
      <name val="Arial"/>
    </font>
    <font>
      <b/>
      <sz val="8.0"/>
      <color rgb="FF1A1A1A"/>
      <name val="Arial"/>
    </font>
    <font>
      <b/>
      <sz val="9.0"/>
      <color rgb="FFFFEEDD"/>
      <name val="Arial"/>
    </font>
    <font>
      <b/>
      <sz val="8.0"/>
      <color rgb="FFFFFFFF"/>
      <name val="Arial"/>
    </font>
    <font>
      <b/>
      <sz val="8.0"/>
      <color rgb="FF0000CC"/>
      <name val="Arial"/>
    </font>
    <font>
      <sz val="10.0"/>
      <color rgb="FF1A1A1A"/>
      <name val="Arial"/>
    </font>
    <font>
      <sz val="8.0"/>
      <color rgb="FF0000CC"/>
      <name val="Arial"/>
    </font>
    <font>
      <b/>
      <sz val="8.0"/>
      <color rgb="FF006400"/>
      <name val="Arial"/>
    </font>
    <font>
      <sz val="8.0"/>
      <color rgb="FF1A1A1A"/>
      <name val="Arial"/>
    </font>
    <font>
      <b/>
      <sz val="9.0"/>
      <color rgb="FFDE5E00"/>
      <name val="Arial"/>
    </font>
    <font>
      <b/>
      <sz val="8.0"/>
      <color rgb="FFDE5E00"/>
      <name val="Arial"/>
    </font>
    <font>
      <sz val="9.0"/>
      <color rgb="FF7B3200"/>
      <name val="Arial"/>
    </font>
    <font>
      <sz val="9.0"/>
      <color rgb="FF1D6A7C"/>
      <name val="Arial"/>
    </font>
    <font>
      <sz val="9.0"/>
      <color rgb="FFFFFFFF"/>
      <name val="Arial"/>
    </font>
    <font>
      <b/>
      <sz val="9.0"/>
      <color rgb="FF90EE90"/>
      <name val="Arial"/>
    </font>
    <font>
      <b/>
      <sz val="9.0"/>
      <color rgb="FF0000CC"/>
      <name val="Arial"/>
    </font>
    <font>
      <b/>
      <sz val="9.0"/>
      <color rgb="FF1D6A7C"/>
      <name val="Arial"/>
    </font>
    <font>
      <b/>
      <sz val="11.0"/>
      <color rgb="FFFFFFFF"/>
      <name val="Arial"/>
    </font>
    <font>
      <sz val="9.0"/>
      <color rgb="FF595959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4B8F"/>
        <bgColor rgb="FF2E4B8F"/>
      </patternFill>
    </fill>
    <fill>
      <patternFill patternType="solid">
        <fgColor rgb="FFF5F5F5"/>
        <bgColor rgb="FFF5F5F5"/>
      </patternFill>
    </fill>
    <fill>
      <patternFill patternType="solid">
        <fgColor rgb="FFD9EAD3"/>
        <bgColor rgb="FFD9EAD3"/>
      </patternFill>
    </fill>
    <fill>
      <patternFill patternType="solid">
        <fgColor rgb="FFE8F5E9"/>
        <bgColor rgb="FFE8F5E9"/>
      </patternFill>
    </fill>
    <fill>
      <patternFill patternType="solid">
        <fgColor rgb="FFFFF2CC"/>
        <bgColor rgb="FFFFF2CC"/>
      </patternFill>
    </fill>
    <fill>
      <patternFill patternType="solid">
        <fgColor rgb="FF1D6A7C"/>
        <bgColor rgb="FF1D6A7C"/>
      </patternFill>
    </fill>
    <fill>
      <patternFill patternType="solid">
        <fgColor rgb="FF1E5631"/>
        <bgColor rgb="FF1E5631"/>
      </patternFill>
    </fill>
    <fill>
      <patternFill patternType="solid">
        <fgColor rgb="FF4C1A6E"/>
        <bgColor rgb="FF4C1A6E"/>
      </patternFill>
    </fill>
    <fill>
      <patternFill patternType="solid">
        <fgColor rgb="FFD6E4F0"/>
        <bgColor rgb="FFD6E4F0"/>
      </patternFill>
    </fill>
    <fill>
      <patternFill patternType="solid">
        <fgColor rgb="FFFFF0CC"/>
        <bgColor rgb="FFFFF0CC"/>
      </patternFill>
    </fill>
    <fill>
      <patternFill patternType="solid">
        <fgColor rgb="FFD0E8EE"/>
        <bgColor rgb="FFD0E8EE"/>
      </patternFill>
    </fill>
    <fill>
      <patternFill patternType="solid">
        <fgColor rgb="FFFCE4D6"/>
        <bgColor rgb="FFFCE4D6"/>
      </patternFill>
    </fill>
    <fill>
      <patternFill patternType="solid">
        <fgColor rgb="FF7B3200"/>
        <bgColor rgb="FF7B3200"/>
      </patternFill>
    </fill>
    <fill>
      <patternFill patternType="solid">
        <fgColor rgb="FF595959"/>
        <bgColor rgb="FF595959"/>
      </patternFill>
    </fill>
    <fill>
      <patternFill patternType="solid">
        <fgColor rgb="FFFFE0B2"/>
        <bgColor rgb="FFFFE0B2"/>
      </patternFill>
    </fill>
    <fill>
      <patternFill patternType="solid">
        <fgColor rgb="FFFFF8DC"/>
        <bgColor rgb="FFFFF8DC"/>
      </patternFill>
    </fill>
    <fill>
      <patternFill patternType="solid">
        <fgColor rgb="FFEAD1DC"/>
        <bgColor rgb="FFEAD1DC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1" fillId="3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vertical="center"/>
    </xf>
    <xf borderId="4" fillId="4" fontId="5" numFmtId="0" xfId="0" applyAlignment="1" applyBorder="1" applyFill="1" applyFont="1">
      <alignment horizontal="center" vertical="center"/>
    </xf>
    <xf borderId="4" fillId="5" fontId="6" numFmtId="0" xfId="0" applyAlignment="1" applyBorder="1" applyFill="1" applyFont="1">
      <alignment horizontal="center" vertical="center"/>
    </xf>
    <xf borderId="1" fillId="2" fontId="7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left" vertical="center"/>
    </xf>
    <xf borderId="4" fillId="2" fontId="8" numFmtId="0" xfId="0" applyAlignment="1" applyBorder="1" applyFont="1">
      <alignment vertical="bottom"/>
    </xf>
    <xf borderId="4" fillId="4" fontId="9" numFmtId="0" xfId="0" applyAlignment="1" applyBorder="1" applyFont="1">
      <alignment horizontal="left" shrinkToFit="0" vertical="center" wrapText="1"/>
    </xf>
    <xf borderId="4" fillId="4" fontId="10" numFmtId="0" xfId="0" applyAlignment="1" applyBorder="1" applyFont="1">
      <alignment horizontal="center" shrinkToFit="0" vertical="center" wrapText="1"/>
    </xf>
    <xf borderId="4" fillId="4" fontId="11" numFmtId="3" xfId="0" applyAlignment="1" applyBorder="1" applyFont="1" applyNumberFormat="1">
      <alignment horizontal="right" vertical="center"/>
    </xf>
    <xf borderId="4" fillId="6" fontId="12" numFmtId="3" xfId="0" applyAlignment="1" applyBorder="1" applyFill="1" applyFont="1" applyNumberFormat="1">
      <alignment horizontal="right" vertical="center"/>
    </xf>
    <xf borderId="4" fillId="0" fontId="9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4" fillId="7" fontId="5" numFmtId="3" xfId="0" applyAlignment="1" applyBorder="1" applyFill="1" applyFont="1" applyNumberFormat="1">
      <alignment horizontal="right" vertical="center"/>
    </xf>
    <xf borderId="4" fillId="7" fontId="5" numFmtId="164" xfId="0" applyAlignment="1" applyBorder="1" applyFont="1" applyNumberFormat="1">
      <alignment horizontal="right" vertical="center"/>
    </xf>
    <xf borderId="4" fillId="7" fontId="5" numFmtId="2" xfId="0" applyAlignment="1" applyBorder="1" applyFont="1" applyNumberFormat="1">
      <alignment horizontal="right" vertical="center"/>
    </xf>
    <xf borderId="1" fillId="4" fontId="10" numFmtId="0" xfId="0" applyAlignment="1" applyBorder="1" applyFont="1">
      <alignment horizontal="left" vertical="center"/>
    </xf>
    <xf borderId="4" fillId="4" fontId="13" numFmtId="0" xfId="0" applyAlignment="1" applyBorder="1" applyFont="1">
      <alignment horizontal="left" shrinkToFit="0" vertical="center" wrapText="1"/>
    </xf>
    <xf borderId="4" fillId="4" fontId="11" numFmtId="164" xfId="0" applyAlignment="1" applyBorder="1" applyFont="1" applyNumberFormat="1">
      <alignment horizontal="right" vertical="center"/>
    </xf>
    <xf borderId="4" fillId="0" fontId="13" numFmtId="0" xfId="0" applyAlignment="1" applyBorder="1" applyFont="1">
      <alignment horizontal="left" shrinkToFit="0" vertical="center" wrapText="1"/>
    </xf>
    <xf borderId="1" fillId="8" fontId="7" numFmtId="0" xfId="0" applyAlignment="1" applyBorder="1" applyFill="1" applyFont="1">
      <alignment horizontal="left" shrinkToFit="0" vertical="center" wrapText="1"/>
    </xf>
    <xf borderId="1" fillId="8" fontId="4" numFmtId="0" xfId="0" applyAlignment="1" applyBorder="1" applyFont="1">
      <alignment horizontal="left" vertical="center"/>
    </xf>
    <xf borderId="4" fillId="8" fontId="8" numFmtId="0" xfId="0" applyAlignment="1" applyBorder="1" applyFont="1">
      <alignment vertical="bottom"/>
    </xf>
    <xf borderId="1" fillId="8" fontId="8" numFmtId="0" xfId="0" applyAlignment="1" applyBorder="1" applyFont="1">
      <alignment vertical="bottom"/>
    </xf>
    <xf borderId="5" fillId="0" fontId="2" numFmtId="0" xfId="0" applyAlignment="1" applyBorder="1" applyFont="1">
      <alignment vertical="center"/>
    </xf>
    <xf borderId="6" fillId="8" fontId="7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vertical="bottom"/>
    </xf>
    <xf borderId="6" fillId="8" fontId="4" numFmtId="0" xfId="0" applyAlignment="1" applyBorder="1" applyFont="1">
      <alignment horizontal="left" vertical="center"/>
    </xf>
    <xf borderId="4" fillId="6" fontId="12" numFmtId="164" xfId="0" applyAlignment="1" applyBorder="1" applyFont="1" applyNumberFormat="1">
      <alignment horizontal="right" vertical="center"/>
    </xf>
    <xf borderId="6" fillId="9" fontId="7" numFmtId="0" xfId="0" applyAlignment="1" applyBorder="1" applyFill="1" applyFont="1">
      <alignment horizontal="left" shrinkToFit="0" vertical="center" wrapText="1"/>
    </xf>
    <xf borderId="2" fillId="0" fontId="8" numFmtId="0" xfId="0" applyAlignment="1" applyBorder="1" applyFont="1">
      <alignment vertical="bottom"/>
    </xf>
    <xf borderId="6" fillId="9" fontId="4" numFmtId="0" xfId="0" applyAlignment="1" applyBorder="1" applyFont="1">
      <alignment horizontal="left" vertical="center"/>
    </xf>
    <xf borderId="4" fillId="9" fontId="8" numFmtId="0" xfId="0" applyAlignment="1" applyBorder="1" applyFont="1">
      <alignment vertical="bottom"/>
    </xf>
    <xf borderId="1" fillId="9" fontId="8" numFmtId="0" xfId="0" applyAlignment="1" applyBorder="1" applyFont="1">
      <alignment vertical="bottom"/>
    </xf>
    <xf borderId="4" fillId="4" fontId="11" numFmtId="2" xfId="0" applyAlignment="1" applyBorder="1" applyFont="1" applyNumberFormat="1">
      <alignment horizontal="right" vertical="center"/>
    </xf>
    <xf borderId="4" fillId="4" fontId="11" numFmtId="165" xfId="0" applyAlignment="1" applyBorder="1" applyFont="1" applyNumberFormat="1">
      <alignment horizontal="right" vertical="center"/>
    </xf>
    <xf borderId="4" fillId="7" fontId="5" numFmtId="165" xfId="0" applyAlignment="1" applyBorder="1" applyFont="1" applyNumberFormat="1">
      <alignment horizontal="right" vertical="center"/>
    </xf>
    <xf borderId="1" fillId="9" fontId="4" numFmtId="0" xfId="0" applyAlignment="1" applyBorder="1" applyFont="1">
      <alignment horizontal="left" vertical="center"/>
    </xf>
    <xf borderId="6" fillId="10" fontId="7" numFmtId="0" xfId="0" applyAlignment="1" applyBorder="1" applyFill="1" applyFont="1">
      <alignment horizontal="left" shrinkToFit="0" vertical="center" wrapText="1"/>
    </xf>
    <xf borderId="4" fillId="10" fontId="8" numFmtId="0" xfId="0" applyAlignment="1" applyBorder="1" applyFont="1">
      <alignment vertical="bottom"/>
    </xf>
    <xf borderId="1" fillId="10" fontId="8" numFmtId="0" xfId="0" applyAlignment="1" applyBorder="1" applyFont="1">
      <alignment vertical="bottom"/>
    </xf>
    <xf borderId="6" fillId="3" fontId="15" numFmtId="0" xfId="0" applyAlignment="1" applyBorder="1" applyFont="1">
      <alignment horizontal="left" shrinkToFit="0" vertical="center" wrapText="1"/>
    </xf>
    <xf borderId="1" fillId="2" fontId="16" numFmtId="0" xfId="0" applyAlignment="1" applyBorder="1" applyFont="1">
      <alignment horizontal="center" shrinkToFit="0" vertical="center" wrapText="1"/>
    </xf>
    <xf borderId="1" fillId="4" fontId="17" numFmtId="0" xfId="0" applyAlignment="1" applyBorder="1" applyFont="1">
      <alignment horizontal="center" vertical="center"/>
    </xf>
    <xf borderId="1" fillId="11" fontId="17" numFmtId="0" xfId="0" applyAlignment="1" applyBorder="1" applyFill="1" applyFont="1">
      <alignment horizontal="center" vertical="center"/>
    </xf>
    <xf borderId="1" fillId="12" fontId="17" numFmtId="0" xfId="0" applyAlignment="1" applyBorder="1" applyFill="1" applyFont="1">
      <alignment horizontal="center" vertical="center"/>
    </xf>
    <xf borderId="1" fillId="13" fontId="17" numFmtId="0" xfId="0" applyAlignment="1" applyBorder="1" applyFill="1" applyFont="1">
      <alignment horizontal="center" vertical="center"/>
    </xf>
    <xf borderId="4" fillId="14" fontId="17" numFmtId="0" xfId="0" applyAlignment="1" applyBorder="1" applyFill="1" applyFont="1">
      <alignment horizontal="center" vertical="center"/>
    </xf>
    <xf borderId="4" fillId="4" fontId="17" numFmtId="0" xfId="0" applyAlignment="1" applyBorder="1" applyFont="1">
      <alignment horizontal="center" vertical="center"/>
    </xf>
    <xf borderId="1" fillId="6" fontId="17" numFmtId="0" xfId="0" applyAlignment="1" applyBorder="1" applyFont="1">
      <alignment horizontal="center" vertical="center"/>
    </xf>
    <xf borderId="4" fillId="6" fontId="17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shrinkToFit="0" vertical="center" wrapText="1"/>
    </xf>
    <xf borderId="4" fillId="2" fontId="4" numFmtId="0" xfId="0" applyAlignment="1" applyBorder="1" applyFont="1">
      <alignment horizontal="center" shrinkToFit="0" vertical="center" wrapText="1"/>
    </xf>
    <xf borderId="4" fillId="15" fontId="18" numFmtId="0" xfId="0" applyAlignment="1" applyBorder="1" applyFill="1" applyFont="1">
      <alignment horizontal="center" shrinkToFit="0" vertical="center" wrapText="1"/>
    </xf>
    <xf borderId="4" fillId="8" fontId="4" numFmtId="0" xfId="0" applyAlignment="1" applyBorder="1" applyFont="1">
      <alignment horizontal="center" shrinkToFit="0" vertical="center" wrapText="1"/>
    </xf>
    <xf borderId="4" fillId="15" fontId="4" numFmtId="0" xfId="0" applyAlignment="1" applyBorder="1" applyFont="1">
      <alignment horizontal="center" shrinkToFit="0" vertical="center" wrapText="1"/>
    </xf>
    <xf borderId="4" fillId="16" fontId="4" numFmtId="0" xfId="0" applyAlignment="1" applyBorder="1" applyFill="1" applyFont="1">
      <alignment horizontal="center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" fillId="3" fontId="19" numFmtId="0" xfId="0" applyAlignment="1" applyBorder="1" applyFont="1">
      <alignment horizontal="center" shrinkToFit="0" vertical="center" wrapText="1"/>
    </xf>
    <xf borderId="4" fillId="11" fontId="20" numFmtId="3" xfId="0" applyAlignment="1" applyBorder="1" applyFont="1" applyNumberFormat="1">
      <alignment horizontal="right" shrinkToFit="0" vertical="center" wrapText="1"/>
    </xf>
    <xf borderId="4" fillId="4" fontId="21" numFmtId="0" xfId="0" applyAlignment="1" applyBorder="1" applyFont="1">
      <alignment horizontal="left" shrinkToFit="0" vertical="center" wrapText="1"/>
    </xf>
    <xf borderId="4" fillId="13" fontId="22" numFmtId="3" xfId="0" applyAlignment="1" applyBorder="1" applyFont="1" applyNumberFormat="1">
      <alignment horizontal="right" shrinkToFit="0" vertical="center" wrapText="1"/>
    </xf>
    <xf borderId="4" fillId="6" fontId="23" numFmtId="3" xfId="0" applyAlignment="1" applyBorder="1" applyFont="1" applyNumberFormat="1">
      <alignment horizontal="right" shrinkToFit="0" vertical="center" wrapText="1"/>
    </xf>
    <xf borderId="4" fillId="6" fontId="20" numFmtId="3" xfId="0" applyAlignment="1" applyBorder="1" applyFont="1" applyNumberFormat="1">
      <alignment horizontal="right" shrinkToFit="0" vertical="center" wrapText="1"/>
    </xf>
    <xf borderId="4" fillId="6" fontId="21" numFmtId="0" xfId="0" applyAlignment="1" applyBorder="1" applyFont="1">
      <alignment horizontal="left" shrinkToFit="0" vertical="center" wrapText="1"/>
    </xf>
    <xf borderId="4" fillId="4" fontId="5" numFmtId="166" xfId="0" applyAlignment="1" applyBorder="1" applyFont="1" applyNumberFormat="1">
      <alignment horizontal="center" vertical="center"/>
    </xf>
    <xf borderId="4" fillId="4" fontId="24" numFmtId="0" xfId="0" applyAlignment="1" applyBorder="1" applyFont="1">
      <alignment horizontal="center" vertical="center"/>
    </xf>
    <xf borderId="4" fillId="7" fontId="5" numFmtId="0" xfId="0" applyAlignment="1" applyBorder="1" applyFont="1">
      <alignment horizontal="right" vertical="center"/>
    </xf>
    <xf borderId="4" fillId="0" fontId="10" numFmtId="0" xfId="0" applyAlignment="1" applyBorder="1" applyFont="1">
      <alignment horizontal="left" vertical="center"/>
    </xf>
    <xf borderId="4" fillId="17" fontId="25" numFmtId="166" xfId="0" applyAlignment="1" applyBorder="1" applyFill="1" applyFont="1" applyNumberFormat="1">
      <alignment horizontal="center" vertical="center"/>
    </xf>
    <xf borderId="4" fillId="17" fontId="26" numFmtId="0" xfId="0" applyAlignment="1" applyBorder="1" applyFont="1">
      <alignment horizontal="center" vertical="center"/>
    </xf>
    <xf borderId="4" fillId="11" fontId="9" numFmtId="0" xfId="0" applyAlignment="1" applyBorder="1" applyFont="1">
      <alignment horizontal="center" shrinkToFit="0" vertical="center" wrapText="1"/>
    </xf>
    <xf borderId="4" fillId="11" fontId="10" numFmtId="0" xfId="0" applyAlignment="1" applyBorder="1" applyFont="1">
      <alignment horizontal="center" shrinkToFit="0" vertical="center" wrapText="1"/>
    </xf>
    <xf borderId="4" fillId="6" fontId="12" numFmtId="3" xfId="0" applyAlignment="1" applyBorder="1" applyFont="1" applyNumberFormat="1">
      <alignment horizontal="right" shrinkToFit="0" vertical="center" wrapText="1"/>
    </xf>
    <xf borderId="4" fillId="18" fontId="27" numFmtId="3" xfId="0" applyAlignment="1" applyBorder="1" applyFill="1" applyFont="1" applyNumberFormat="1">
      <alignment horizontal="right" shrinkToFit="0" vertical="center" wrapText="1"/>
    </xf>
    <xf borderId="4" fillId="18" fontId="27" numFmtId="167" xfId="0" applyAlignment="1" applyBorder="1" applyFont="1" applyNumberFormat="1">
      <alignment horizontal="right" shrinkToFit="0" vertical="center" wrapText="1"/>
    </xf>
    <xf borderId="4" fillId="13" fontId="28" numFmtId="3" xfId="0" applyAlignment="1" applyBorder="1" applyFont="1" applyNumberFormat="1">
      <alignment horizontal="right" shrinkToFit="0" vertical="center" wrapText="1"/>
    </xf>
    <xf borderId="4" fillId="5" fontId="12" numFmtId="3" xfId="0" applyAlignment="1" applyBorder="1" applyFont="1" applyNumberFormat="1">
      <alignment horizontal="right" shrinkToFit="0" vertical="center" wrapText="1"/>
    </xf>
    <xf borderId="4" fillId="5" fontId="12" numFmtId="164" xfId="0" applyAlignment="1" applyBorder="1" applyFont="1" applyNumberFormat="1">
      <alignment horizontal="right" shrinkToFit="0" vertical="center" wrapText="1"/>
    </xf>
    <xf borderId="4" fillId="0" fontId="21" numFmtId="0" xfId="0" applyAlignment="1" applyBorder="1" applyFont="1">
      <alignment horizontal="left" shrinkToFit="0" vertical="center" wrapText="1"/>
    </xf>
    <xf borderId="4" fillId="13" fontId="9" numFmtId="0" xfId="0" applyAlignment="1" applyBorder="1" applyFont="1">
      <alignment horizontal="center" shrinkToFit="0" vertical="center" wrapText="1"/>
    </xf>
    <xf borderId="4" fillId="13" fontId="10" numFmtId="0" xfId="0" applyAlignment="1" applyBorder="1" applyFont="1">
      <alignment horizontal="center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4" fillId="5" fontId="10" numFmtId="0" xfId="0" applyAlignment="1" applyBorder="1" applyFont="1">
      <alignment horizontal="center" shrinkToFit="0" vertical="center" wrapText="1"/>
    </xf>
    <xf borderId="4" fillId="19" fontId="9" numFmtId="0" xfId="0" applyAlignment="1" applyBorder="1" applyFill="1" applyFont="1">
      <alignment horizontal="center" shrinkToFit="0" vertical="center" wrapText="1"/>
    </xf>
    <xf borderId="4" fillId="19" fontId="10" numFmtId="0" xfId="0" applyAlignment="1" applyBorder="1" applyFont="1">
      <alignment horizontal="center" shrinkToFit="0" vertical="center" wrapText="1"/>
    </xf>
    <xf borderId="4" fillId="14" fontId="9" numFmtId="0" xfId="0" applyAlignment="1" applyBorder="1" applyFont="1">
      <alignment horizontal="center" shrinkToFit="0" vertical="center" wrapText="1"/>
    </xf>
    <xf borderId="4" fillId="14" fontId="10" numFmtId="0" xfId="0" applyAlignment="1" applyBorder="1" applyFont="1">
      <alignment horizontal="center" shrinkToFit="0" vertical="center" wrapText="1"/>
    </xf>
    <xf borderId="4" fillId="2" fontId="21" numFmtId="0" xfId="0" applyAlignment="1" applyBorder="1" applyFont="1">
      <alignment horizontal="left" shrinkToFit="0" vertical="center" wrapText="1"/>
    </xf>
    <xf borderId="4" fillId="2" fontId="7" numFmtId="0" xfId="0" applyAlignment="1" applyBorder="1" applyFont="1">
      <alignment horizontal="center" shrinkToFit="0" vertical="center" wrapText="1"/>
    </xf>
    <xf borderId="4" fillId="2" fontId="29" numFmtId="0" xfId="0" applyAlignment="1" applyBorder="1" applyFont="1">
      <alignment horizontal="center" shrinkToFit="0" vertical="center" wrapText="1"/>
    </xf>
    <xf borderId="4" fillId="2" fontId="4" numFmtId="3" xfId="0" applyAlignment="1" applyBorder="1" applyFont="1" applyNumberFormat="1">
      <alignment horizontal="right" shrinkToFit="0" vertical="center" wrapText="1"/>
    </xf>
    <xf borderId="4" fillId="2" fontId="4" numFmtId="167" xfId="0" applyAlignment="1" applyBorder="1" applyFont="1" applyNumberFormat="1">
      <alignment horizontal="right" shrinkToFit="0" vertical="center" wrapText="1"/>
    </xf>
    <xf borderId="4" fillId="2" fontId="30" numFmtId="164" xfId="0" applyAlignment="1" applyBorder="1" applyFont="1" applyNumberFormat="1">
      <alignment horizontal="righ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4" fillId="11" fontId="31" numFmtId="3" xfId="0" applyAlignment="1" applyBorder="1" applyFont="1" applyNumberFormat="1">
      <alignment horizontal="right" shrinkToFit="0" vertical="center" wrapText="1"/>
    </xf>
    <xf borderId="4" fillId="13" fontId="32" numFmtId="3" xfId="0" applyAlignment="1" applyBorder="1" applyFont="1" applyNumberFormat="1">
      <alignment horizontal="right" shrinkToFit="0" vertical="center" wrapText="1"/>
    </xf>
    <xf borderId="4" fillId="5" fontId="6" numFmtId="3" xfId="0" applyAlignment="1" applyBorder="1" applyFont="1" applyNumberFormat="1">
      <alignment horizontal="right" shrinkToFit="0" vertical="center" wrapText="1"/>
    </xf>
    <xf borderId="1" fillId="4" fontId="10" numFmtId="0" xfId="0" applyAlignment="1" applyBorder="1" applyFont="1">
      <alignment horizontal="left" shrinkToFit="0" vertical="center" wrapText="1"/>
    </xf>
    <xf borderId="1" fillId="2" fontId="33" numFmtId="0" xfId="0" applyAlignment="1" applyBorder="1" applyFont="1">
      <alignment horizontal="left" shrinkToFit="0" vertical="center" wrapText="1"/>
    </xf>
    <xf borderId="4" fillId="11" fontId="21" numFmtId="0" xfId="0" applyAlignment="1" applyBorder="1" applyFont="1">
      <alignment horizontal="left" shrinkToFit="0" vertical="center" wrapText="1"/>
    </xf>
    <xf borderId="4" fillId="11" fontId="9" numFmtId="0" xfId="0" applyAlignment="1" applyBorder="1" applyFont="1">
      <alignment horizontal="left" shrinkToFit="0" vertical="center" wrapText="1"/>
    </xf>
    <xf borderId="4" fillId="11" fontId="34" numFmtId="0" xfId="0" applyAlignment="1" applyBorder="1" applyFont="1">
      <alignment horizontal="left" shrinkToFit="0" vertical="center" wrapText="1"/>
    </xf>
    <xf borderId="4" fillId="0" fontId="34" numFmtId="0" xfId="0" applyAlignment="1" applyBorder="1" applyFont="1">
      <alignment horizontal="left" shrinkToFit="0" vertical="center" wrapText="1"/>
    </xf>
    <xf borderId="1" fillId="8" fontId="33" numFmtId="0" xfId="0" applyAlignment="1" applyBorder="1" applyFont="1">
      <alignment horizontal="left" shrinkToFit="0" vertical="center" wrapText="1"/>
    </xf>
    <xf borderId="4" fillId="13" fontId="21" numFmtId="0" xfId="0" applyAlignment="1" applyBorder="1" applyFont="1">
      <alignment horizontal="left" shrinkToFit="0" vertical="center" wrapText="1"/>
    </xf>
    <xf borderId="4" fillId="13" fontId="9" numFmtId="0" xfId="0" applyAlignment="1" applyBorder="1" applyFont="1">
      <alignment horizontal="left" shrinkToFit="0" vertical="center" wrapText="1"/>
    </xf>
    <xf borderId="4" fillId="13" fontId="34" numFmtId="0" xfId="0" applyAlignment="1" applyBorder="1" applyFont="1">
      <alignment horizontal="left" shrinkToFit="0" vertical="center" wrapText="1"/>
    </xf>
    <xf borderId="1" fillId="10" fontId="33" numFmtId="0" xfId="0" applyAlignment="1" applyBorder="1" applyFont="1">
      <alignment horizontal="left" shrinkToFit="0" vertical="center" wrapText="1"/>
    </xf>
    <xf borderId="4" fillId="19" fontId="21" numFmtId="0" xfId="0" applyAlignment="1" applyBorder="1" applyFont="1">
      <alignment horizontal="left" shrinkToFit="0" vertical="center" wrapText="1"/>
    </xf>
    <xf borderId="4" fillId="19" fontId="9" numFmtId="0" xfId="0" applyAlignment="1" applyBorder="1" applyFont="1">
      <alignment horizontal="left" shrinkToFit="0" vertical="center" wrapText="1"/>
    </xf>
    <xf borderId="4" fillId="19" fontId="34" numFmtId="0" xfId="0" applyAlignment="1" applyBorder="1" applyFont="1">
      <alignment horizontal="left" shrinkToFit="0" vertical="center" wrapText="1"/>
    </xf>
    <xf borderId="1" fillId="15" fontId="33" numFmtId="0" xfId="0" applyAlignment="1" applyBorder="1" applyFont="1">
      <alignment horizontal="left" shrinkToFit="0" vertical="center" wrapText="1"/>
    </xf>
    <xf borderId="4" fillId="14" fontId="21" numFmtId="0" xfId="0" applyAlignment="1" applyBorder="1" applyFont="1">
      <alignment horizontal="left" shrinkToFit="0" vertical="center" wrapText="1"/>
    </xf>
    <xf borderId="4" fillId="14" fontId="9" numFmtId="0" xfId="0" applyAlignment="1" applyBorder="1" applyFont="1">
      <alignment horizontal="left" shrinkToFit="0" vertical="center" wrapText="1"/>
    </xf>
    <xf borderId="4" fillId="14" fontId="34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5.0"/>
    <col customWidth="1" min="2" max="2" width="43.0"/>
    <col customWidth="1" min="3" max="3" width="10.0"/>
    <col customWidth="1" min="4" max="8" width="16.0"/>
    <col customWidth="1" min="9" max="9" width="14.0"/>
    <col customWidth="1" min="10" max="24" width="16.0"/>
    <col customWidth="1" min="25" max="26" width="14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21.7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</row>
    <row r="3" ht="28.5" customHeight="1">
      <c r="A3" s="5" t="s">
        <v>2</v>
      </c>
      <c r="B3" s="5" t="s">
        <v>3</v>
      </c>
      <c r="C3" s="5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7" t="s">
        <v>22</v>
      </c>
      <c r="V3" s="7" t="s">
        <v>23</v>
      </c>
      <c r="W3" s="7" t="s">
        <v>24</v>
      </c>
      <c r="X3" s="7" t="s">
        <v>25</v>
      </c>
    </row>
    <row r="4" ht="25.5" customHeight="1">
      <c r="A4" s="8" t="s">
        <v>26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3"/>
    </row>
    <row r="5" ht="18.75" customHeight="1">
      <c r="A5" s="9" t="s">
        <v>27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3"/>
    </row>
    <row r="6" ht="21.75" customHeight="1">
      <c r="A6" s="10"/>
      <c r="B6" s="11" t="s">
        <v>28</v>
      </c>
      <c r="C6" s="12" t="s">
        <v>29</v>
      </c>
      <c r="D6" s="13">
        <v>2.0661211E9</v>
      </c>
      <c r="E6" s="13">
        <v>1.1889894E9</v>
      </c>
      <c r="F6" s="13">
        <v>1.3128599E9</v>
      </c>
      <c r="G6" s="13">
        <v>1.143461E9</v>
      </c>
      <c r="H6" s="13">
        <v>1.12077711E9</v>
      </c>
      <c r="I6" s="13">
        <v>1.013822914E9</v>
      </c>
      <c r="J6" s="13">
        <v>1.065005481E9</v>
      </c>
      <c r="K6" s="13">
        <v>1.150227039E9</v>
      </c>
      <c r="L6" s="13">
        <v>9.19076055E8</v>
      </c>
      <c r="M6" s="13">
        <v>1.107796009E9</v>
      </c>
      <c r="N6" s="13">
        <v>1.428219997E9</v>
      </c>
      <c r="O6" s="13">
        <v>1.515344239E9</v>
      </c>
      <c r="P6" s="13">
        <v>1.709354641E9</v>
      </c>
      <c r="Q6" s="13">
        <v>1.379397616E9</v>
      </c>
      <c r="R6" s="13">
        <v>1.232733006E9</v>
      </c>
      <c r="S6" s="13">
        <v>1.142329984E9</v>
      </c>
      <c r="T6" s="13">
        <v>1.08802442E9</v>
      </c>
      <c r="U6" s="14">
        <f>IFERROR(SUM('📅 DAILY T6'!C$6:C$35),0)</f>
        <v>774525576</v>
      </c>
      <c r="V6" s="14">
        <f>IFERROR(SUM('📅 DAILY T7'!C$6:C$36),0)</f>
        <v>0</v>
      </c>
      <c r="W6" s="14">
        <f>IFERROR(SUM('📅 DAILY T8'!C$6:C$36),0)</f>
        <v>0</v>
      </c>
      <c r="X6" s="14">
        <f>IFERROR(SUM('📅 DAILY T9'!C$6:C$35),0)</f>
        <v>0</v>
      </c>
    </row>
    <row r="7" ht="21.75" customHeight="1">
      <c r="A7" s="10"/>
      <c r="B7" s="15" t="s">
        <v>30</v>
      </c>
      <c r="C7" s="16" t="s">
        <v>31</v>
      </c>
      <c r="D7" s="13">
        <v>3886.0</v>
      </c>
      <c r="E7" s="13">
        <v>2167.0</v>
      </c>
      <c r="F7" s="13">
        <v>2462.0</v>
      </c>
      <c r="G7" s="13">
        <v>2234.0</v>
      </c>
      <c r="H7" s="13">
        <v>2267.0</v>
      </c>
      <c r="I7" s="13">
        <v>2033.0</v>
      </c>
      <c r="J7" s="13">
        <v>2189.0</v>
      </c>
      <c r="K7" s="13">
        <v>2433.0</v>
      </c>
      <c r="L7" s="13">
        <v>2025.0</v>
      </c>
      <c r="M7" s="13">
        <v>2627.0</v>
      </c>
      <c r="N7" s="13">
        <v>3365.0</v>
      </c>
      <c r="O7" s="13">
        <v>3425.0</v>
      </c>
      <c r="P7" s="13">
        <v>3755.0</v>
      </c>
      <c r="Q7" s="13">
        <v>2953.0</v>
      </c>
      <c r="R7" s="13">
        <v>2701.0</v>
      </c>
      <c r="S7" s="13">
        <v>2499.0</v>
      </c>
      <c r="T7" s="13">
        <v>2401.0</v>
      </c>
      <c r="U7" s="14">
        <f>IFERROR(SUM('📅 DAILY T6'!D$6:D$35),0)</f>
        <v>1768</v>
      </c>
      <c r="V7" s="14">
        <f>IFERROR(SUM('📅 DAILY T7'!D$6:D$36),0)</f>
        <v>0</v>
      </c>
      <c r="W7" s="14">
        <f>IFERROR(SUM('📅 DAILY T8'!D$6:D$36),0)</f>
        <v>0</v>
      </c>
      <c r="X7" s="14">
        <f>IFERROR(SUM('📅 DAILY T9'!D$6:D$35),0)</f>
        <v>0</v>
      </c>
    </row>
    <row r="8" ht="21.75" customHeight="1">
      <c r="A8" s="10"/>
      <c r="B8" s="11" t="s">
        <v>32</v>
      </c>
      <c r="C8" s="12" t="s">
        <v>33</v>
      </c>
      <c r="D8" s="13">
        <v>531683.0</v>
      </c>
      <c r="E8" s="13">
        <v>548680.0</v>
      </c>
      <c r="F8" s="13">
        <v>533249.0</v>
      </c>
      <c r="G8" s="13">
        <v>511845.0</v>
      </c>
      <c r="H8" s="13">
        <v>494388.0</v>
      </c>
      <c r="I8" s="13">
        <v>498683.0</v>
      </c>
      <c r="J8" s="13">
        <v>486526.0</v>
      </c>
      <c r="K8" s="13">
        <v>472761.0</v>
      </c>
      <c r="L8" s="13">
        <v>453865.0</v>
      </c>
      <c r="M8" s="13">
        <v>421696.0</v>
      </c>
      <c r="N8" s="13">
        <v>424434.0</v>
      </c>
      <c r="O8" s="13">
        <v>442436.0</v>
      </c>
      <c r="P8" s="13">
        <v>455221.0</v>
      </c>
      <c r="Q8" s="13">
        <v>467117.0</v>
      </c>
      <c r="R8" s="13">
        <v>456399.0</v>
      </c>
      <c r="S8" s="13">
        <v>457115.0</v>
      </c>
      <c r="T8" s="13">
        <v>453155.0</v>
      </c>
      <c r="U8" s="14">
        <f>IFERROR(SUM('📅 DAILY T6'!C$6:C$35)/SUM('📅 DAILY T6'!D$6:D$35),"")</f>
        <v>438080.0769</v>
      </c>
      <c r="V8" s="14" t="str">
        <f>IFERROR(SUM('📅 DAILY T7'!C$6:C$36)/SUM('📅 DAILY T7'!D$6:D$36),"")</f>
        <v/>
      </c>
      <c r="W8" s="14" t="str">
        <f>IFERROR(SUM('📅 DAILY T8'!C$6:C$36)/SUM('📅 DAILY T8'!D$6:D$36),"")</f>
        <v/>
      </c>
      <c r="X8" s="14" t="str">
        <f>IFERROR(SUM('📅 DAILY T9'!C$6:C$35)/SUM('📅 DAILY T9'!D$6:D$35),"")</f>
        <v/>
      </c>
    </row>
    <row r="9" ht="21.75" customHeight="1">
      <c r="A9" s="10"/>
      <c r="B9" s="15" t="s">
        <v>34</v>
      </c>
      <c r="C9" s="16" t="s">
        <v>35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7"/>
      <c r="V9" s="17"/>
      <c r="W9" s="17"/>
      <c r="X9" s="17"/>
    </row>
    <row r="10" ht="21.75" customHeight="1">
      <c r="A10" s="10"/>
      <c r="B10" s="11" t="s">
        <v>36</v>
      </c>
      <c r="C10" s="12" t="s">
        <v>29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7"/>
      <c r="V10" s="17"/>
      <c r="W10" s="17"/>
      <c r="X10" s="17"/>
    </row>
    <row r="11" ht="21.75" customHeight="1">
      <c r="A11" s="10"/>
      <c r="B11" s="15" t="s">
        <v>37</v>
      </c>
      <c r="C11" s="16" t="s">
        <v>38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8"/>
      <c r="V11" s="18"/>
      <c r="W11" s="18"/>
      <c r="X11" s="18"/>
    </row>
    <row r="12" ht="21.75" customHeight="1">
      <c r="A12" s="10"/>
      <c r="B12" s="11" t="s">
        <v>39</v>
      </c>
      <c r="C12" s="12" t="s">
        <v>40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9"/>
      <c r="V12" s="19"/>
      <c r="W12" s="19"/>
      <c r="X12" s="19"/>
    </row>
    <row r="13" ht="18.75" customHeight="1">
      <c r="A13" s="9" t="s">
        <v>41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3"/>
    </row>
    <row r="14" ht="18.75" customHeight="1">
      <c r="A14" s="20" t="s">
        <v>42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3"/>
    </row>
    <row r="15" ht="21.75" customHeight="1">
      <c r="A15" s="10"/>
      <c r="B15" s="15" t="s">
        <v>43</v>
      </c>
      <c r="C15" s="16" t="s">
        <v>44</v>
      </c>
      <c r="D15" s="13">
        <v>2099.0</v>
      </c>
      <c r="E15" s="13">
        <v>1056.0</v>
      </c>
      <c r="F15" s="13">
        <v>1066.0</v>
      </c>
      <c r="G15" s="13">
        <v>1003.0</v>
      </c>
      <c r="H15" s="13">
        <v>982.0</v>
      </c>
      <c r="I15" s="13">
        <v>918.0</v>
      </c>
      <c r="J15" s="13">
        <v>940.0</v>
      </c>
      <c r="K15" s="13">
        <v>992.0</v>
      </c>
      <c r="L15" s="13">
        <v>834.0</v>
      </c>
      <c r="M15" s="13">
        <v>1075.0</v>
      </c>
      <c r="N15" s="13">
        <v>1330.0</v>
      </c>
      <c r="O15" s="13">
        <v>1269.0</v>
      </c>
      <c r="P15" s="13">
        <v>1445.0</v>
      </c>
      <c r="Q15" s="13">
        <v>1028.0</v>
      </c>
      <c r="R15" s="13">
        <v>910.0</v>
      </c>
      <c r="S15" s="13">
        <v>727.0</v>
      </c>
      <c r="T15" s="13">
        <v>642.0</v>
      </c>
      <c r="U15" s="17">
        <v>486.0</v>
      </c>
      <c r="V15" s="17"/>
      <c r="W15" s="17"/>
      <c r="X15" s="17"/>
    </row>
    <row r="16" ht="21.75" customHeight="1">
      <c r="A16" s="10"/>
      <c r="B16" s="21" t="s">
        <v>45</v>
      </c>
      <c r="C16" s="12" t="s">
        <v>33</v>
      </c>
      <c r="D16" s="13">
        <v>529357.0</v>
      </c>
      <c r="E16" s="13">
        <v>562632.0</v>
      </c>
      <c r="F16" s="13">
        <v>548814.0</v>
      </c>
      <c r="G16" s="13">
        <v>517837.0</v>
      </c>
      <c r="H16" s="13">
        <v>496341.0</v>
      </c>
      <c r="I16" s="13">
        <v>510097.0</v>
      </c>
      <c r="J16" s="13">
        <v>474672.0</v>
      </c>
      <c r="K16" s="13">
        <v>493429.0</v>
      </c>
      <c r="L16" s="13">
        <v>452535.0</v>
      </c>
      <c r="M16" s="13">
        <v>407414.0</v>
      </c>
      <c r="N16" s="13">
        <v>420104.0</v>
      </c>
      <c r="O16" s="13">
        <v>445144.0</v>
      </c>
      <c r="P16" s="13">
        <v>444231.0</v>
      </c>
      <c r="Q16" s="13">
        <v>456560.0</v>
      </c>
      <c r="R16" s="13">
        <v>468214.0</v>
      </c>
      <c r="S16" s="13">
        <v>447734.0</v>
      </c>
      <c r="T16" s="13">
        <v>439787.0</v>
      </c>
      <c r="U16" s="17">
        <v>437957.0</v>
      </c>
      <c r="V16" s="17"/>
      <c r="W16" s="17"/>
      <c r="X16" s="17"/>
    </row>
    <row r="17" ht="21.75" customHeight="1">
      <c r="A17" s="10"/>
      <c r="B17" s="15" t="s">
        <v>46</v>
      </c>
      <c r="C17" s="16" t="s">
        <v>38</v>
      </c>
      <c r="D17" s="22">
        <v>0.191</v>
      </c>
      <c r="E17" s="22">
        <v>0.171</v>
      </c>
      <c r="F17" s="22">
        <v>0.142</v>
      </c>
      <c r="G17" s="22">
        <v>0.108</v>
      </c>
      <c r="H17" s="22">
        <v>0.128</v>
      </c>
      <c r="I17" s="22">
        <v>0.149</v>
      </c>
      <c r="J17" s="22">
        <v>0.129</v>
      </c>
      <c r="K17" s="22">
        <v>0.138</v>
      </c>
      <c r="L17" s="22">
        <v>0.118</v>
      </c>
      <c r="M17" s="22">
        <v>0.14</v>
      </c>
      <c r="N17" s="22">
        <v>0.157</v>
      </c>
      <c r="O17" s="22">
        <v>0.17</v>
      </c>
      <c r="P17" s="22">
        <v>0.207</v>
      </c>
      <c r="Q17" s="22">
        <v>0.195</v>
      </c>
      <c r="R17" s="22">
        <v>0.18</v>
      </c>
      <c r="S17" s="22">
        <v>0.162</v>
      </c>
      <c r="T17" s="22">
        <v>0.128</v>
      </c>
      <c r="U17" s="18">
        <v>0.1287</v>
      </c>
      <c r="V17" s="18"/>
      <c r="W17" s="18"/>
      <c r="X17" s="18"/>
    </row>
    <row r="18" ht="21.75" customHeight="1">
      <c r="A18" s="10"/>
      <c r="B18" s="11" t="s">
        <v>47</v>
      </c>
      <c r="C18" s="12" t="s">
        <v>38</v>
      </c>
      <c r="D18" s="22">
        <v>0.054</v>
      </c>
      <c r="E18" s="22">
        <v>0.038</v>
      </c>
      <c r="F18" s="22">
        <v>0.052</v>
      </c>
      <c r="G18" s="22">
        <v>0.055</v>
      </c>
      <c r="H18" s="22">
        <v>0.059</v>
      </c>
      <c r="I18" s="22">
        <v>0.05</v>
      </c>
      <c r="J18" s="22">
        <v>0.04</v>
      </c>
      <c r="K18" s="22">
        <v>0.051</v>
      </c>
      <c r="L18" s="22">
        <v>0.051</v>
      </c>
      <c r="M18" s="22">
        <v>0.065</v>
      </c>
      <c r="N18" s="22">
        <v>0.069</v>
      </c>
      <c r="O18" s="22">
        <v>0.08</v>
      </c>
      <c r="P18" s="22">
        <v>0.072</v>
      </c>
      <c r="Q18" s="22">
        <v>0.057</v>
      </c>
      <c r="R18" s="22">
        <v>0.051</v>
      </c>
      <c r="S18" s="22">
        <v>0.064</v>
      </c>
      <c r="T18" s="22">
        <v>0.067</v>
      </c>
      <c r="U18" s="18">
        <v>0.0498</v>
      </c>
      <c r="V18" s="18"/>
      <c r="W18" s="18"/>
      <c r="X18" s="18"/>
    </row>
    <row r="19" ht="18.75" customHeight="1">
      <c r="A19" s="20" t="s">
        <v>48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3"/>
    </row>
    <row r="20" ht="21.75" customHeight="1">
      <c r="A20" s="10"/>
      <c r="B20" s="11" t="s">
        <v>49</v>
      </c>
      <c r="C20" s="12" t="s">
        <v>44</v>
      </c>
      <c r="D20" s="13">
        <v>1609.0</v>
      </c>
      <c r="E20" s="13">
        <v>993.0</v>
      </c>
      <c r="F20" s="13">
        <v>1252.0</v>
      </c>
      <c r="G20" s="13">
        <v>1112.0</v>
      </c>
      <c r="H20" s="13">
        <v>1145.0</v>
      </c>
      <c r="I20" s="13">
        <v>1029.0</v>
      </c>
      <c r="J20" s="13">
        <v>1124.0</v>
      </c>
      <c r="K20" s="13">
        <v>1285.0</v>
      </c>
      <c r="L20" s="13">
        <v>1084.0</v>
      </c>
      <c r="M20" s="13">
        <v>1370.0</v>
      </c>
      <c r="N20" s="13">
        <v>1802.0</v>
      </c>
      <c r="O20" s="13">
        <v>1880.0</v>
      </c>
      <c r="P20" s="13">
        <v>2038.0</v>
      </c>
      <c r="Q20" s="13">
        <v>1758.0</v>
      </c>
      <c r="R20" s="13">
        <v>1578.0</v>
      </c>
      <c r="S20" s="13">
        <v>1553.0</v>
      </c>
      <c r="T20" s="13">
        <v>1561.0</v>
      </c>
      <c r="U20" s="17">
        <v>1134.0</v>
      </c>
      <c r="V20" s="17"/>
      <c r="W20" s="17"/>
      <c r="X20" s="17"/>
    </row>
    <row r="21" ht="21.75" customHeight="1">
      <c r="A21" s="10"/>
      <c r="B21" s="23" t="s">
        <v>50</v>
      </c>
      <c r="C21" s="16" t="s">
        <v>33</v>
      </c>
      <c r="D21" s="13">
        <v>593536.0</v>
      </c>
      <c r="E21" s="13">
        <v>599022.0</v>
      </c>
      <c r="F21" s="13">
        <v>581327.0</v>
      </c>
      <c r="G21" s="13">
        <v>561213.0</v>
      </c>
      <c r="H21" s="13">
        <v>553161.0</v>
      </c>
      <c r="I21" s="13">
        <v>530178.0</v>
      </c>
      <c r="J21" s="13">
        <v>550545.0</v>
      </c>
      <c r="K21" s="13">
        <v>514198.0</v>
      </c>
      <c r="L21" s="13">
        <v>499687.0</v>
      </c>
      <c r="M21" s="13">
        <v>488923.0</v>
      </c>
      <c r="N21" s="13">
        <v>482509.0</v>
      </c>
      <c r="O21" s="13">
        <v>505561.0</v>
      </c>
      <c r="P21" s="13">
        <v>523748.0</v>
      </c>
      <c r="Q21" s="13">
        <v>517664.0</v>
      </c>
      <c r="R21" s="13">
        <v>511189.0</v>
      </c>
      <c r="S21" s="13">
        <v>525722.0</v>
      </c>
      <c r="T21" s="13">
        <v>516131.0</v>
      </c>
      <c r="U21" s="17">
        <v>490852.0</v>
      </c>
      <c r="V21" s="17"/>
      <c r="W21" s="17"/>
      <c r="X21" s="17"/>
    </row>
    <row r="22" ht="21.75" customHeight="1">
      <c r="A22" s="10"/>
      <c r="B22" s="11" t="s">
        <v>51</v>
      </c>
      <c r="C22" s="12" t="s">
        <v>38</v>
      </c>
      <c r="D22" s="22">
        <v>0.434</v>
      </c>
      <c r="E22" s="22">
        <v>0.485</v>
      </c>
      <c r="F22" s="22">
        <v>0.54</v>
      </c>
      <c r="G22" s="22">
        <v>0.526</v>
      </c>
      <c r="H22" s="22">
        <v>0.538</v>
      </c>
      <c r="I22" s="22">
        <v>0.529</v>
      </c>
      <c r="J22" s="22">
        <v>0.545</v>
      </c>
      <c r="K22" s="22">
        <v>0.564</v>
      </c>
      <c r="L22" s="22">
        <v>0.565</v>
      </c>
      <c r="M22" s="22">
        <v>0.56</v>
      </c>
      <c r="N22" s="22">
        <v>0.575</v>
      </c>
      <c r="O22" s="22">
        <v>0.597</v>
      </c>
      <c r="P22" s="22">
        <v>0.585</v>
      </c>
      <c r="Q22" s="22">
        <v>0.631</v>
      </c>
      <c r="R22" s="22">
        <v>0.634</v>
      </c>
      <c r="S22" s="22">
        <v>0.681</v>
      </c>
      <c r="T22" s="22">
        <v>0.709</v>
      </c>
      <c r="U22" s="18">
        <v>0.7</v>
      </c>
      <c r="V22" s="18"/>
      <c r="W22" s="18"/>
      <c r="X22" s="18"/>
    </row>
    <row r="23" ht="21.75" customHeight="1">
      <c r="A23" s="10"/>
      <c r="B23" s="23" t="s">
        <v>52</v>
      </c>
      <c r="C23" s="16" t="s">
        <v>44</v>
      </c>
      <c r="D23" s="13">
        <v>208.0</v>
      </c>
      <c r="E23" s="13">
        <v>120.0</v>
      </c>
      <c r="F23" s="13">
        <v>136.0</v>
      </c>
      <c r="G23" s="13">
        <v>123.0</v>
      </c>
      <c r="H23" s="13">
        <v>116.0</v>
      </c>
      <c r="I23" s="13">
        <v>91.0</v>
      </c>
      <c r="J23" s="13">
        <v>95.0</v>
      </c>
      <c r="K23" s="13">
        <v>108.0</v>
      </c>
      <c r="L23" s="13">
        <v>127.0</v>
      </c>
      <c r="M23" s="13">
        <v>126.0</v>
      </c>
      <c r="N23" s="13">
        <v>204.0</v>
      </c>
      <c r="O23" s="13">
        <v>264.0</v>
      </c>
      <c r="P23" s="13">
        <v>227.0</v>
      </c>
      <c r="Q23" s="13">
        <v>256.0</v>
      </c>
      <c r="R23" s="13">
        <v>185.0</v>
      </c>
      <c r="S23" s="13">
        <v>203.0</v>
      </c>
      <c r="T23" s="13">
        <v>191.0</v>
      </c>
      <c r="U23" s="17">
        <v>254.0</v>
      </c>
      <c r="V23" s="17"/>
      <c r="W23" s="17"/>
      <c r="X23" s="17"/>
    </row>
    <row r="24" ht="21.75" customHeight="1">
      <c r="A24" s="10"/>
      <c r="B24" s="21" t="s">
        <v>53</v>
      </c>
      <c r="C24" s="12" t="s">
        <v>33</v>
      </c>
      <c r="D24" s="13">
        <v>580443.0</v>
      </c>
      <c r="E24" s="13">
        <v>516482.0</v>
      </c>
      <c r="F24" s="13">
        <v>520544.0</v>
      </c>
      <c r="G24" s="13">
        <v>506154.0</v>
      </c>
      <c r="H24" s="13">
        <v>444870.0</v>
      </c>
      <c r="I24" s="13">
        <v>544447.0</v>
      </c>
      <c r="J24" s="13">
        <v>553412.0</v>
      </c>
      <c r="K24" s="13">
        <v>551739.0</v>
      </c>
      <c r="L24" s="13">
        <v>502434.0</v>
      </c>
      <c r="M24" s="13">
        <v>487008.0</v>
      </c>
      <c r="N24" s="13">
        <v>515800.0</v>
      </c>
      <c r="O24" s="13">
        <v>515035.0</v>
      </c>
      <c r="P24" s="13">
        <v>565363.0</v>
      </c>
      <c r="Q24" s="13">
        <v>487576.0</v>
      </c>
      <c r="R24" s="13">
        <v>506915.0</v>
      </c>
      <c r="S24" s="13">
        <v>579616.0</v>
      </c>
      <c r="T24" s="13">
        <v>498816.0</v>
      </c>
      <c r="U24" s="17">
        <v>518682.0</v>
      </c>
      <c r="V24" s="17"/>
      <c r="W24" s="17"/>
      <c r="X24" s="17"/>
    </row>
    <row r="25" ht="21.75" customHeight="1">
      <c r="A25" s="10"/>
      <c r="B25" s="23" t="s">
        <v>54</v>
      </c>
      <c r="C25" s="16" t="s">
        <v>44</v>
      </c>
      <c r="D25" s="13">
        <v>704.0</v>
      </c>
      <c r="E25" s="13">
        <v>459.0</v>
      </c>
      <c r="F25" s="13">
        <v>550.0</v>
      </c>
      <c r="G25" s="13">
        <v>374.0</v>
      </c>
      <c r="H25" s="13">
        <v>412.0</v>
      </c>
      <c r="I25" s="13">
        <v>338.0</v>
      </c>
      <c r="J25" s="13">
        <v>394.0</v>
      </c>
      <c r="K25" s="13">
        <v>393.0</v>
      </c>
      <c r="L25" s="13">
        <v>355.0</v>
      </c>
      <c r="M25" s="13">
        <v>478.0</v>
      </c>
      <c r="N25" s="13">
        <v>593.0</v>
      </c>
      <c r="O25" s="13">
        <v>654.0</v>
      </c>
      <c r="P25" s="13">
        <v>777.0</v>
      </c>
      <c r="Q25" s="13">
        <v>682.0</v>
      </c>
      <c r="R25" s="13">
        <v>681.0</v>
      </c>
      <c r="S25" s="13">
        <v>650.0</v>
      </c>
      <c r="T25" s="13">
        <v>584.0</v>
      </c>
      <c r="U25" s="17">
        <v>363.0</v>
      </c>
      <c r="V25" s="17"/>
      <c r="W25" s="17"/>
      <c r="X25" s="17"/>
    </row>
    <row r="26" ht="21.75" customHeight="1">
      <c r="A26" s="10"/>
      <c r="B26" s="21" t="s">
        <v>53</v>
      </c>
      <c r="C26" s="12" t="s">
        <v>33</v>
      </c>
      <c r="D26" s="13">
        <v>584820.0</v>
      </c>
      <c r="E26" s="13">
        <v>571884.0</v>
      </c>
      <c r="F26" s="13">
        <v>580070.0</v>
      </c>
      <c r="G26" s="13">
        <v>536181.0</v>
      </c>
      <c r="H26" s="13">
        <v>562449.0</v>
      </c>
      <c r="I26" s="13">
        <v>499206.0</v>
      </c>
      <c r="J26" s="13">
        <v>537405.0</v>
      </c>
      <c r="K26" s="13">
        <v>489004.0</v>
      </c>
      <c r="L26" s="13">
        <v>479740.0</v>
      </c>
      <c r="M26" s="13">
        <v>498779.0</v>
      </c>
      <c r="N26" s="13">
        <v>473184.0</v>
      </c>
      <c r="O26" s="13">
        <v>496771.0</v>
      </c>
      <c r="P26" s="13">
        <v>507713.0</v>
      </c>
      <c r="Q26" s="13">
        <v>521206.0</v>
      </c>
      <c r="R26" s="13">
        <v>507917.0</v>
      </c>
      <c r="S26" s="13">
        <v>512198.0</v>
      </c>
      <c r="T26" s="13">
        <v>532485.0</v>
      </c>
      <c r="U26" s="17">
        <v>496033.0</v>
      </c>
      <c r="V26" s="17"/>
      <c r="W26" s="17"/>
      <c r="X26" s="17"/>
    </row>
    <row r="27" ht="21.75" customHeight="1">
      <c r="A27" s="10"/>
      <c r="B27" s="23" t="s">
        <v>55</v>
      </c>
      <c r="C27" s="16" t="s">
        <v>44</v>
      </c>
      <c r="D27" s="13">
        <v>697.0</v>
      </c>
      <c r="E27" s="13">
        <v>414.0</v>
      </c>
      <c r="F27" s="13">
        <v>566.0</v>
      </c>
      <c r="G27" s="13">
        <v>615.0</v>
      </c>
      <c r="H27" s="13">
        <v>617.0</v>
      </c>
      <c r="I27" s="13">
        <v>600.0</v>
      </c>
      <c r="J27" s="13">
        <v>635.0</v>
      </c>
      <c r="K27" s="13">
        <v>784.0</v>
      </c>
      <c r="L27" s="13">
        <v>602.0</v>
      </c>
      <c r="M27" s="13">
        <v>766.0</v>
      </c>
      <c r="N27" s="13">
        <v>1005.0</v>
      </c>
      <c r="O27" s="13">
        <v>962.0</v>
      </c>
      <c r="P27" s="13">
        <v>1034.0</v>
      </c>
      <c r="Q27" s="13">
        <v>820.0</v>
      </c>
      <c r="R27" s="13">
        <v>712.0</v>
      </c>
      <c r="S27" s="13">
        <v>700.0</v>
      </c>
      <c r="T27" s="13">
        <v>786.0</v>
      </c>
      <c r="U27" s="17">
        <v>517.0</v>
      </c>
      <c r="V27" s="17"/>
      <c r="W27" s="17"/>
      <c r="X27" s="17"/>
    </row>
    <row r="28" ht="21.75" customHeight="1">
      <c r="A28" s="10"/>
      <c r="B28" s="21" t="s">
        <v>53</v>
      </c>
      <c r="C28" s="12" t="s">
        <v>33</v>
      </c>
      <c r="D28" s="13">
        <v>606306.0</v>
      </c>
      <c r="E28" s="13">
        <v>636101.0</v>
      </c>
      <c r="F28" s="13">
        <v>593665.0</v>
      </c>
      <c r="G28" s="13">
        <v>587223.0</v>
      </c>
      <c r="H28" s="13">
        <v>566389.0</v>
      </c>
      <c r="I28" s="13">
        <v>543742.0</v>
      </c>
      <c r="J28" s="13">
        <v>554666.0</v>
      </c>
      <c r="K28" s="13">
        <v>521419.0</v>
      </c>
      <c r="L28" s="13">
        <v>510631.0</v>
      </c>
      <c r="M28" s="13">
        <v>481273.0</v>
      </c>
      <c r="N28" s="13">
        <v>480211.0</v>
      </c>
      <c r="O28" s="13">
        <v>506887.0</v>
      </c>
      <c r="P28" s="13">
        <v>525092.0</v>
      </c>
      <c r="Q28" s="13">
        <v>523625.0</v>
      </c>
      <c r="R28" s="13">
        <v>513235.0</v>
      </c>
      <c r="S28" s="13">
        <v>514169.0</v>
      </c>
      <c r="T28" s="13">
        <v>504044.0</v>
      </c>
      <c r="U28" s="17">
        <v>473541.0</v>
      </c>
      <c r="V28" s="17"/>
      <c r="W28" s="17"/>
      <c r="X28" s="17"/>
    </row>
    <row r="29" ht="18.75" customHeight="1">
      <c r="A29" s="20" t="s">
        <v>56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3"/>
    </row>
    <row r="30" ht="21.75" customHeight="1">
      <c r="A30" s="10"/>
      <c r="B30" s="11" t="s">
        <v>57</v>
      </c>
      <c r="C30" s="12" t="s">
        <v>44</v>
      </c>
      <c r="D30" s="13">
        <v>893.0</v>
      </c>
      <c r="E30" s="13">
        <v>635.0</v>
      </c>
      <c r="F30" s="13">
        <v>807.0</v>
      </c>
      <c r="G30" s="13">
        <v>744.0</v>
      </c>
      <c r="H30" s="13">
        <v>754.0</v>
      </c>
      <c r="I30" s="13">
        <v>670.0</v>
      </c>
      <c r="J30" s="13">
        <v>758.0</v>
      </c>
      <c r="K30" s="13">
        <v>917.0</v>
      </c>
      <c r="L30" s="13">
        <v>769.0</v>
      </c>
      <c r="M30" s="13">
        <v>970.0</v>
      </c>
      <c r="N30" s="13">
        <v>1295.0</v>
      </c>
      <c r="O30" s="13">
        <v>1335.0</v>
      </c>
      <c r="P30" s="13">
        <v>1434.0</v>
      </c>
      <c r="Q30" s="13">
        <v>1297.0</v>
      </c>
      <c r="R30" s="13">
        <v>1196.0</v>
      </c>
      <c r="S30" s="13">
        <v>1215.0</v>
      </c>
      <c r="T30" s="13">
        <v>1252.0</v>
      </c>
      <c r="U30" s="17">
        <v>880.0</v>
      </c>
      <c r="V30" s="17"/>
      <c r="W30" s="17"/>
      <c r="X30" s="17"/>
    </row>
    <row r="31" ht="21.75" customHeight="1">
      <c r="A31" s="10"/>
      <c r="B31" s="23" t="s">
        <v>58</v>
      </c>
      <c r="C31" s="16" t="s">
        <v>33</v>
      </c>
      <c r="D31" s="13">
        <v>626962.0</v>
      </c>
      <c r="E31" s="13">
        <v>629182.0</v>
      </c>
      <c r="F31" s="13">
        <v>598611.0</v>
      </c>
      <c r="G31" s="13">
        <v>590223.0</v>
      </c>
      <c r="H31" s="13">
        <v>585425.0</v>
      </c>
      <c r="I31" s="13">
        <v>555392.0</v>
      </c>
      <c r="J31" s="13">
        <v>578566.0</v>
      </c>
      <c r="K31" s="13">
        <v>559770.0</v>
      </c>
      <c r="L31" s="13">
        <v>515849.0</v>
      </c>
      <c r="M31" s="13">
        <v>518969.0</v>
      </c>
      <c r="N31" s="13">
        <v>505307.0</v>
      </c>
      <c r="O31" s="13">
        <v>538580.0</v>
      </c>
      <c r="P31" s="13">
        <v>559364.0</v>
      </c>
      <c r="Q31" s="13">
        <v>544671.0</v>
      </c>
      <c r="R31" s="13">
        <v>541038.0</v>
      </c>
      <c r="S31" s="13">
        <v>553226.0</v>
      </c>
      <c r="T31" s="13">
        <v>534522.0</v>
      </c>
      <c r="U31" s="17">
        <v>503009.0</v>
      </c>
      <c r="V31" s="17"/>
      <c r="W31" s="17"/>
      <c r="X31" s="17"/>
    </row>
    <row r="32" ht="21.75" customHeight="1">
      <c r="A32" s="10"/>
      <c r="B32" s="11" t="s">
        <v>59</v>
      </c>
      <c r="C32" s="12" t="s">
        <v>60</v>
      </c>
      <c r="D32" s="13">
        <v>720380.0</v>
      </c>
      <c r="E32" s="13">
        <v>736036.0</v>
      </c>
      <c r="F32" s="13">
        <v>755899.0</v>
      </c>
      <c r="G32" s="13">
        <v>767863.0</v>
      </c>
      <c r="H32" s="13">
        <v>780860.0</v>
      </c>
      <c r="I32" s="13">
        <v>773057.0</v>
      </c>
      <c r="J32" s="13">
        <v>767234.0</v>
      </c>
      <c r="K32" s="13">
        <v>758348.0</v>
      </c>
      <c r="L32" s="13">
        <v>751369.0</v>
      </c>
      <c r="M32" s="13">
        <v>745530.0</v>
      </c>
      <c r="N32" s="13">
        <v>746054.0</v>
      </c>
      <c r="O32" s="13">
        <v>751135.0</v>
      </c>
      <c r="P32" s="13">
        <v>748857.0</v>
      </c>
      <c r="Q32" s="13">
        <v>748498.0</v>
      </c>
      <c r="R32" s="13">
        <v>745025.0</v>
      </c>
      <c r="S32" s="13">
        <v>751102.0</v>
      </c>
      <c r="T32" s="13">
        <v>756186.0</v>
      </c>
      <c r="U32" s="17">
        <v>794371.0</v>
      </c>
      <c r="V32" s="17"/>
      <c r="W32" s="17"/>
      <c r="X32" s="17"/>
    </row>
    <row r="33" ht="25.5" customHeight="1">
      <c r="A33" s="24" t="s">
        <v>61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3"/>
    </row>
    <row r="34" ht="18.75" customHeight="1">
      <c r="A34" s="25" t="s">
        <v>62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3"/>
    </row>
    <row r="35" ht="21.75" customHeight="1">
      <c r="A35" s="26"/>
      <c r="B35" s="15" t="s">
        <v>63</v>
      </c>
      <c r="C35" s="16" t="s">
        <v>29</v>
      </c>
      <c r="D35" s="13">
        <v>1.089475316E9</v>
      </c>
      <c r="E35" s="13">
        <v>4.9960737E8</v>
      </c>
      <c r="F35" s="13">
        <v>5.67134028E8</v>
      </c>
      <c r="G35" s="13">
        <v>5.28594128E8</v>
      </c>
      <c r="H35" s="13">
        <v>4.98208343E8</v>
      </c>
      <c r="I35" s="13">
        <v>5.43406694E8</v>
      </c>
      <c r="J35" s="13">
        <v>5.82713951E8</v>
      </c>
      <c r="K35" s="13">
        <v>5.11104206E8</v>
      </c>
      <c r="L35" s="13">
        <v>4.50806016E8</v>
      </c>
      <c r="M35" s="13">
        <v>5.63065588E8</v>
      </c>
      <c r="N35" s="13">
        <v>6.17168731E8</v>
      </c>
      <c r="O35" s="13">
        <v>7.9799401E8</v>
      </c>
      <c r="P35" s="13">
        <v>9.25450315E8</v>
      </c>
      <c r="Q35" s="13">
        <v>9.71109989E8</v>
      </c>
      <c r="R35" s="13">
        <v>5.49533678E8</v>
      </c>
      <c r="S35" s="13">
        <v>5.82438107E8</v>
      </c>
      <c r="T35" s="13">
        <v>5.04185071E8</v>
      </c>
      <c r="U35" s="14">
        <f>IFERROR(SUM('📅 DAILY T6'!G$6:I$35),0)</f>
        <v>365691426</v>
      </c>
      <c r="V35" s="14">
        <f>IFERROR(SUM('📅 DAILY T7'!G$6:I$36),0)</f>
        <v>0</v>
      </c>
      <c r="W35" s="14">
        <f>IFERROR(SUM('📅 DAILY T8'!G$6:I$36),0)</f>
        <v>0</v>
      </c>
      <c r="X35" s="14">
        <f>IFERROR(SUM('📅 DAILY T9'!G$6:I$35),0)</f>
        <v>0</v>
      </c>
    </row>
    <row r="36" ht="21.75" customHeight="1">
      <c r="A36" s="26"/>
      <c r="B36" s="21" t="s">
        <v>64</v>
      </c>
      <c r="C36" s="12" t="s">
        <v>29</v>
      </c>
      <c r="D36" s="13">
        <v>5.40944566E8</v>
      </c>
      <c r="E36" s="13">
        <v>2.6810387E8</v>
      </c>
      <c r="F36" s="13">
        <v>2.90563128E8</v>
      </c>
      <c r="G36" s="13">
        <v>2.548305E8</v>
      </c>
      <c r="H36" s="13">
        <v>2.56470352E8</v>
      </c>
      <c r="I36" s="13">
        <v>2.6089348E8</v>
      </c>
      <c r="J36" s="13">
        <v>3.01482693E8</v>
      </c>
      <c r="K36" s="13">
        <v>2.6151552E8</v>
      </c>
      <c r="L36" s="13">
        <v>2.34853685E8</v>
      </c>
      <c r="M36" s="13">
        <v>2.92613845E8</v>
      </c>
      <c r="N36" s="13">
        <v>3.15279874E8</v>
      </c>
      <c r="O36" s="13">
        <v>4.25053629E8</v>
      </c>
      <c r="P36" s="13">
        <v>4.98976878E8</v>
      </c>
      <c r="Q36" s="13">
        <v>4.66415524E8</v>
      </c>
      <c r="R36" s="13">
        <v>2.73260815E8</v>
      </c>
      <c r="S36" s="13">
        <v>3.39489341E8</v>
      </c>
      <c r="T36" s="13">
        <v>2.66591829E8</v>
      </c>
      <c r="U36" s="14">
        <f>IFERROR(SUM('📅 DAILY T6'!G$6:G$35),0)</f>
        <v>179068981</v>
      </c>
      <c r="V36" s="14">
        <f>IFERROR(SUM('📅 DAILY T7'!G$6:G$36),0)</f>
        <v>0</v>
      </c>
      <c r="W36" s="14">
        <f>IFERROR(SUM('📅 DAILY T8'!G$6:G$36),0)</f>
        <v>0</v>
      </c>
      <c r="X36" s="14">
        <f>IFERROR(SUM('📅 DAILY T9'!G$6:G$35),0)</f>
        <v>0</v>
      </c>
    </row>
    <row r="37" ht="21.75" customHeight="1">
      <c r="A37" s="26"/>
      <c r="B37" s="23" t="s">
        <v>65</v>
      </c>
      <c r="C37" s="16" t="s">
        <v>29</v>
      </c>
      <c r="D37" s="13">
        <v>3.569458E8</v>
      </c>
      <c r="E37" s="13">
        <v>1.451265E8</v>
      </c>
      <c r="F37" s="13">
        <v>1.726579E8</v>
      </c>
      <c r="G37" s="13">
        <v>1.76377128E8</v>
      </c>
      <c r="H37" s="13">
        <v>1.5241175E8</v>
      </c>
      <c r="I37" s="13">
        <v>1.8162492E8</v>
      </c>
      <c r="J37" s="13">
        <v>1.59269196E8</v>
      </c>
      <c r="K37" s="13">
        <v>1.53183571E8</v>
      </c>
      <c r="L37" s="13">
        <v>1.41817617E8</v>
      </c>
      <c r="M37" s="13">
        <v>1.76059491E8</v>
      </c>
      <c r="N37" s="13">
        <v>1.78778384E8</v>
      </c>
      <c r="O37" s="13">
        <v>2.10046402E8</v>
      </c>
      <c r="P37" s="13">
        <v>2.12730879E8</v>
      </c>
      <c r="Q37" s="13">
        <v>2.99922606E8</v>
      </c>
      <c r="R37" s="13">
        <v>1.50994415E8</v>
      </c>
      <c r="S37" s="13">
        <v>1.19328315E8</v>
      </c>
      <c r="T37" s="13">
        <v>1.25042886E8</v>
      </c>
      <c r="U37" s="14">
        <f>IFERROR(SUM('📅 DAILY T6'!H$6:H$35),0)</f>
        <v>92140293</v>
      </c>
      <c r="V37" s="14">
        <f>IFERROR(SUM('📅 DAILY T7'!H$6:H$36),0)</f>
        <v>0</v>
      </c>
      <c r="W37" s="14">
        <f>IFERROR(SUM('📅 DAILY T8'!H$6:H$36),0)</f>
        <v>0</v>
      </c>
      <c r="X37" s="14">
        <f>IFERROR(SUM('📅 DAILY T9'!H$6:H$35),0)</f>
        <v>0</v>
      </c>
    </row>
    <row r="38" ht="21.75" customHeight="1">
      <c r="A38" s="26"/>
      <c r="B38" s="21" t="s">
        <v>66</v>
      </c>
      <c r="C38" s="12" t="s">
        <v>29</v>
      </c>
      <c r="D38" s="13">
        <v>1.9158495E8</v>
      </c>
      <c r="E38" s="13">
        <v>8.6377E7</v>
      </c>
      <c r="F38" s="13">
        <v>1.03913E8</v>
      </c>
      <c r="G38" s="13">
        <v>9.73865E7</v>
      </c>
      <c r="H38" s="13">
        <v>8.9326241E7</v>
      </c>
      <c r="I38" s="13">
        <v>1.00888294E8</v>
      </c>
      <c r="J38" s="13">
        <v>1.21962062E8</v>
      </c>
      <c r="K38" s="13">
        <v>9.6405115E7</v>
      </c>
      <c r="L38" s="13">
        <v>7.4134714E7</v>
      </c>
      <c r="M38" s="13">
        <v>9.4392252E7</v>
      </c>
      <c r="N38" s="13">
        <v>1.23110473E8</v>
      </c>
      <c r="O38" s="13">
        <v>1.62893979E8</v>
      </c>
      <c r="P38" s="13">
        <v>2.13742558E8</v>
      </c>
      <c r="Q38" s="13">
        <v>2.04771859E8</v>
      </c>
      <c r="R38" s="13">
        <v>1.25278448E8</v>
      </c>
      <c r="S38" s="13">
        <v>1.23620451E8</v>
      </c>
      <c r="T38" s="13">
        <v>1.12550356E8</v>
      </c>
      <c r="U38" s="14">
        <f>IFERROR(SUM('📅 DAILY T6'!I$6:I$35),0)</f>
        <v>94482152</v>
      </c>
      <c r="V38" s="14">
        <f>IFERROR(SUM('📅 DAILY T7'!I$6:I$36),0)</f>
        <v>0</v>
      </c>
      <c r="W38" s="14">
        <f>IFERROR(SUM('📅 DAILY T8'!I$6:I$36),0)</f>
        <v>0</v>
      </c>
      <c r="X38" s="14">
        <f>IFERROR(SUM('📅 DAILY T9'!I$6:I$35),0)</f>
        <v>0</v>
      </c>
    </row>
    <row r="39" ht="21.75" customHeight="1">
      <c r="A39" s="26"/>
      <c r="B39" s="15" t="s">
        <v>67</v>
      </c>
      <c r="C39" s="16" t="s">
        <v>31</v>
      </c>
      <c r="D39" s="13">
        <v>2635.0</v>
      </c>
      <c r="E39" s="13">
        <v>1242.0</v>
      </c>
      <c r="F39" s="13">
        <v>1571.0</v>
      </c>
      <c r="G39" s="13">
        <v>1512.0</v>
      </c>
      <c r="H39" s="13">
        <v>1566.0</v>
      </c>
      <c r="I39" s="13">
        <v>1602.0</v>
      </c>
      <c r="J39" s="13">
        <v>1752.0</v>
      </c>
      <c r="K39" s="13">
        <v>1643.0</v>
      </c>
      <c r="L39" s="13">
        <v>1510.0</v>
      </c>
      <c r="M39" s="13">
        <v>2061.0</v>
      </c>
      <c r="N39" s="13">
        <v>2296.0</v>
      </c>
      <c r="O39" s="13">
        <v>2690.0</v>
      </c>
      <c r="P39" s="13">
        <v>3020.0</v>
      </c>
      <c r="Q39" s="13">
        <v>2950.0</v>
      </c>
      <c r="R39" s="13">
        <v>1851.0</v>
      </c>
      <c r="S39" s="13">
        <v>1843.0</v>
      </c>
      <c r="T39" s="13">
        <v>1718.0</v>
      </c>
      <c r="U39" s="14">
        <f>IFERROR(SUM('📅 DAILY T6'!J$6:J$35),0)</f>
        <v>1182</v>
      </c>
      <c r="V39" s="14">
        <f>IFERROR(SUM('📅 DAILY T7'!J$6:J$36),0)</f>
        <v>0</v>
      </c>
      <c r="W39" s="14">
        <f>IFERROR(SUM('📅 DAILY T8'!J$6:J$36),0)</f>
        <v>0</v>
      </c>
      <c r="X39" s="14">
        <f>IFERROR(SUM('📅 DAILY T9'!J$6:J$35),0)</f>
        <v>0</v>
      </c>
    </row>
    <row r="40" ht="21.75" customHeight="1">
      <c r="A40" s="26"/>
      <c r="B40" s="11" t="s">
        <v>68</v>
      </c>
      <c r="C40" s="12" t="s">
        <v>33</v>
      </c>
      <c r="D40" s="13">
        <v>413463.0</v>
      </c>
      <c r="E40" s="13">
        <v>402260.0</v>
      </c>
      <c r="F40" s="13">
        <v>361002.0</v>
      </c>
      <c r="G40" s="13">
        <v>349599.0</v>
      </c>
      <c r="H40" s="13">
        <v>318141.0</v>
      </c>
      <c r="I40" s="13">
        <v>339205.0</v>
      </c>
      <c r="J40" s="13">
        <v>332599.0</v>
      </c>
      <c r="K40" s="13">
        <v>311080.0</v>
      </c>
      <c r="L40" s="13">
        <v>298547.0</v>
      </c>
      <c r="M40" s="13">
        <v>273200.0</v>
      </c>
      <c r="N40" s="13">
        <v>268802.0</v>
      </c>
      <c r="O40" s="13">
        <v>296652.0</v>
      </c>
      <c r="P40" s="13">
        <v>306441.0</v>
      </c>
      <c r="Q40" s="13">
        <v>329190.0</v>
      </c>
      <c r="R40" s="13">
        <v>296885.0</v>
      </c>
      <c r="S40" s="13">
        <v>316027.0</v>
      </c>
      <c r="T40" s="13">
        <v>293472.0</v>
      </c>
      <c r="U40" s="14">
        <f>IFERROR(SUM('📅 DAILY T6'!M$6:M$35)/SUM('📅 DAILY T6'!J$6:J$35),"")</f>
        <v>309383.6091</v>
      </c>
      <c r="V40" s="14" t="str">
        <f>IFERROR(SUM('📅 DAILY T7'!M$6:M$36)/SUM('📅 DAILY T7'!J$6:J$36),"")</f>
        <v/>
      </c>
      <c r="W40" s="14" t="str">
        <f>IFERROR(SUM('📅 DAILY T8'!M$6:M$36)/SUM('📅 DAILY T8'!J$6:J$36),"")</f>
        <v/>
      </c>
      <c r="X40" s="14" t="str">
        <f>IFERROR(SUM('📅 DAILY T9'!M$6:M$35)/SUM('📅 DAILY T9'!J$6:J$35),"")</f>
        <v/>
      </c>
    </row>
    <row r="41" ht="18.75" customHeight="1">
      <c r="A41" s="27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8"/>
    </row>
    <row r="42" ht="18.75" customHeight="1">
      <c r="A42" s="27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8"/>
    </row>
    <row r="43" ht="21.75" customHeight="1">
      <c r="A43" s="26"/>
      <c r="B43" s="15" t="s">
        <v>69</v>
      </c>
      <c r="C43" s="16" t="s">
        <v>44</v>
      </c>
      <c r="D43" s="13">
        <v>1636.0</v>
      </c>
      <c r="E43" s="13">
        <v>686.0</v>
      </c>
      <c r="F43" s="13">
        <v>795.0</v>
      </c>
      <c r="G43" s="13">
        <v>791.0</v>
      </c>
      <c r="H43" s="13">
        <v>776.0</v>
      </c>
      <c r="I43" s="13">
        <v>779.0</v>
      </c>
      <c r="J43" s="13">
        <v>832.0</v>
      </c>
      <c r="K43" s="13">
        <v>742.0</v>
      </c>
      <c r="L43" s="13">
        <v>743.0</v>
      </c>
      <c r="M43" s="13">
        <v>962.0</v>
      </c>
      <c r="N43" s="13">
        <v>1092.0</v>
      </c>
      <c r="O43" s="13">
        <v>1200.0</v>
      </c>
      <c r="P43" s="13">
        <v>1361.0</v>
      </c>
      <c r="Q43" s="13">
        <v>1339.0</v>
      </c>
      <c r="R43" s="13">
        <v>787.0</v>
      </c>
      <c r="S43" s="13">
        <v>726.0</v>
      </c>
      <c r="T43" s="13">
        <v>621.0</v>
      </c>
      <c r="U43" s="17">
        <v>428.0</v>
      </c>
      <c r="V43" s="17"/>
      <c r="W43" s="17"/>
      <c r="X43" s="17"/>
    </row>
    <row r="44" ht="21.75" customHeight="1">
      <c r="A44" s="26"/>
      <c r="B44" s="21" t="s">
        <v>70</v>
      </c>
      <c r="C44" s="12" t="s">
        <v>33</v>
      </c>
      <c r="D44" s="13">
        <v>449589.0</v>
      </c>
      <c r="E44" s="13">
        <v>441880.0</v>
      </c>
      <c r="F44" s="13">
        <v>382278.0</v>
      </c>
      <c r="G44" s="13">
        <v>371155.0</v>
      </c>
      <c r="H44" s="13">
        <v>330375.0</v>
      </c>
      <c r="I44" s="13">
        <v>370611.0</v>
      </c>
      <c r="J44" s="13">
        <v>369024.0</v>
      </c>
      <c r="K44" s="13">
        <v>342281.0</v>
      </c>
      <c r="L44" s="13">
        <v>315347.0</v>
      </c>
      <c r="M44" s="13">
        <v>315815.0</v>
      </c>
      <c r="N44" s="13">
        <v>298539.0</v>
      </c>
      <c r="O44" s="13">
        <v>334995.0</v>
      </c>
      <c r="P44" s="13">
        <v>328549.0</v>
      </c>
      <c r="Q44" s="13">
        <v>353965.0</v>
      </c>
      <c r="R44" s="13">
        <v>317978.0</v>
      </c>
      <c r="S44" s="13">
        <v>336963.0</v>
      </c>
      <c r="T44" s="13">
        <v>306399.0</v>
      </c>
      <c r="U44" s="17">
        <v>334378.0</v>
      </c>
      <c r="V44" s="17"/>
      <c r="W44" s="17"/>
      <c r="X44" s="17"/>
    </row>
    <row r="45" ht="21.75" customHeight="1">
      <c r="A45" s="26"/>
      <c r="B45" s="15" t="s">
        <v>46</v>
      </c>
      <c r="C45" s="16" t="s">
        <v>38</v>
      </c>
      <c r="D45" s="22">
        <v>0.16</v>
      </c>
      <c r="E45" s="22">
        <v>0.146</v>
      </c>
      <c r="F45" s="22">
        <v>0.147</v>
      </c>
      <c r="G45" s="22">
        <v>0.123</v>
      </c>
      <c r="H45" s="22">
        <v>0.143</v>
      </c>
      <c r="I45" s="22">
        <v>0.172</v>
      </c>
      <c r="J45" s="22">
        <v>0.178</v>
      </c>
      <c r="K45" s="22">
        <v>0.177</v>
      </c>
      <c r="L45" s="22">
        <v>0.195</v>
      </c>
      <c r="M45" s="22">
        <v>0.194</v>
      </c>
      <c r="N45" s="22">
        <v>0.216</v>
      </c>
      <c r="O45" s="22">
        <v>0.258</v>
      </c>
      <c r="P45" s="22">
        <v>0.222</v>
      </c>
      <c r="Q45" s="22">
        <v>0.261</v>
      </c>
      <c r="R45" s="22">
        <v>0.239</v>
      </c>
      <c r="S45" s="22">
        <v>0.171</v>
      </c>
      <c r="T45" s="22">
        <v>0.148</v>
      </c>
      <c r="U45" s="18">
        <v>0.1808</v>
      </c>
      <c r="V45" s="18"/>
      <c r="W45" s="18"/>
      <c r="X45" s="18"/>
    </row>
    <row r="46" ht="21.75" customHeight="1">
      <c r="A46" s="26"/>
      <c r="B46" s="11" t="s">
        <v>47</v>
      </c>
      <c r="C46" s="12" t="s">
        <v>38</v>
      </c>
      <c r="D46" s="22">
        <v>0.062</v>
      </c>
      <c r="E46" s="22">
        <v>0.029</v>
      </c>
      <c r="F46" s="22">
        <v>0.052</v>
      </c>
      <c r="G46" s="22">
        <v>0.055</v>
      </c>
      <c r="H46" s="22">
        <v>0.046</v>
      </c>
      <c r="I46" s="22">
        <v>0.064</v>
      </c>
      <c r="J46" s="22">
        <v>0.072</v>
      </c>
      <c r="K46" s="22">
        <v>0.077</v>
      </c>
      <c r="L46" s="22">
        <v>0.07</v>
      </c>
      <c r="M46" s="22">
        <v>0.093</v>
      </c>
      <c r="N46" s="22">
        <v>0.08</v>
      </c>
      <c r="O46" s="22">
        <v>0.082</v>
      </c>
      <c r="P46" s="22">
        <v>0.082</v>
      </c>
      <c r="Q46" s="22">
        <v>0.052</v>
      </c>
      <c r="R46" s="22">
        <v>0.046</v>
      </c>
      <c r="S46" s="22">
        <v>0.083</v>
      </c>
      <c r="T46" s="22">
        <v>0.067</v>
      </c>
      <c r="U46" s="18">
        <v>0.0508</v>
      </c>
      <c r="V46" s="18"/>
      <c r="W46" s="18"/>
      <c r="X46" s="18"/>
    </row>
    <row r="47" ht="18.75" customHeight="1">
      <c r="A47" s="20" t="s">
        <v>48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3"/>
    </row>
    <row r="48" ht="21.75" customHeight="1">
      <c r="A48" s="26"/>
      <c r="B48" s="11" t="s">
        <v>71</v>
      </c>
      <c r="C48" s="12" t="s">
        <v>44</v>
      </c>
      <c r="D48" s="13">
        <v>698.0</v>
      </c>
      <c r="E48" s="13">
        <v>360.0</v>
      </c>
      <c r="F48" s="13">
        <v>517.0</v>
      </c>
      <c r="G48" s="13">
        <v>490.0</v>
      </c>
      <c r="H48" s="13">
        <v>522.0</v>
      </c>
      <c r="I48" s="13">
        <v>571.0</v>
      </c>
      <c r="J48" s="13">
        <v>606.0</v>
      </c>
      <c r="K48" s="13">
        <v>615.0</v>
      </c>
      <c r="L48" s="13">
        <v>521.0</v>
      </c>
      <c r="M48" s="13">
        <v>687.0</v>
      </c>
      <c r="N48" s="13">
        <v>797.0</v>
      </c>
      <c r="O48" s="13">
        <v>982.0</v>
      </c>
      <c r="P48" s="13">
        <v>1108.0</v>
      </c>
      <c r="Q48" s="13">
        <v>1188.0</v>
      </c>
      <c r="R48" s="13">
        <v>764.0</v>
      </c>
      <c r="S48" s="13">
        <v>861.0</v>
      </c>
      <c r="T48" s="13">
        <v>809.0</v>
      </c>
      <c r="U48" s="17">
        <v>635.0</v>
      </c>
      <c r="V48" s="17"/>
      <c r="W48" s="17"/>
      <c r="X48" s="17"/>
    </row>
    <row r="49" ht="21.75" customHeight="1">
      <c r="A49" s="26"/>
      <c r="B49" s="23" t="s">
        <v>72</v>
      </c>
      <c r="C49" s="16" t="s">
        <v>33</v>
      </c>
      <c r="D49" s="13">
        <v>502669.0</v>
      </c>
      <c r="E49" s="13">
        <v>493986.0</v>
      </c>
      <c r="F49" s="13">
        <v>489091.0</v>
      </c>
      <c r="G49" s="13">
        <v>454087.0</v>
      </c>
      <c r="H49" s="13">
        <v>431867.0</v>
      </c>
      <c r="I49" s="13">
        <v>415129.0</v>
      </c>
      <c r="J49" s="13">
        <v>420144.0</v>
      </c>
      <c r="K49" s="13">
        <v>382586.0</v>
      </c>
      <c r="L49" s="13">
        <v>390207.0</v>
      </c>
      <c r="M49" s="13">
        <v>353715.0</v>
      </c>
      <c r="N49" s="13">
        <v>338830.0</v>
      </c>
      <c r="O49" s="13">
        <v>376777.0</v>
      </c>
      <c r="P49" s="13">
        <v>391634.0</v>
      </c>
      <c r="Q49" s="13">
        <v>402560.0</v>
      </c>
      <c r="R49" s="13">
        <v>369696.0</v>
      </c>
      <c r="S49" s="13">
        <v>381044.0</v>
      </c>
      <c r="T49" s="13">
        <v>366228.0</v>
      </c>
      <c r="U49" s="17">
        <v>358916.0</v>
      </c>
      <c r="V49" s="17"/>
      <c r="W49" s="17"/>
      <c r="X49" s="17"/>
    </row>
    <row r="50" ht="21.75" customHeight="1">
      <c r="A50" s="26"/>
      <c r="B50" s="11" t="s">
        <v>73</v>
      </c>
      <c r="C50" s="12" t="s">
        <v>38</v>
      </c>
      <c r="D50" s="22">
        <v>0.299</v>
      </c>
      <c r="E50" s="22">
        <v>0.344</v>
      </c>
      <c r="F50" s="22">
        <v>0.394</v>
      </c>
      <c r="G50" s="22">
        <v>0.383</v>
      </c>
      <c r="H50" s="22">
        <v>0.402</v>
      </c>
      <c r="I50" s="22">
        <v>0.423</v>
      </c>
      <c r="J50" s="22">
        <v>0.421</v>
      </c>
      <c r="K50" s="22">
        <v>0.453</v>
      </c>
      <c r="L50" s="22">
        <v>0.412</v>
      </c>
      <c r="M50" s="22">
        <v>0.417</v>
      </c>
      <c r="N50" s="22">
        <v>0.422</v>
      </c>
      <c r="O50" s="22">
        <v>0.45</v>
      </c>
      <c r="P50" s="22">
        <v>0.449</v>
      </c>
      <c r="Q50" s="22">
        <v>0.47</v>
      </c>
      <c r="R50" s="22">
        <v>0.493</v>
      </c>
      <c r="S50" s="22">
        <v>0.543</v>
      </c>
      <c r="T50" s="22">
        <v>0.566</v>
      </c>
      <c r="U50" s="18">
        <v>0.5974</v>
      </c>
      <c r="V50" s="18"/>
      <c r="W50" s="18"/>
      <c r="X50" s="18"/>
    </row>
    <row r="51" ht="21.75" customHeight="1">
      <c r="A51" s="26"/>
      <c r="B51" s="23" t="s">
        <v>52</v>
      </c>
      <c r="C51" s="16" t="s">
        <v>44</v>
      </c>
      <c r="D51" s="13">
        <v>77.0</v>
      </c>
      <c r="E51" s="13">
        <v>66.0</v>
      </c>
      <c r="F51" s="13">
        <v>50.0</v>
      </c>
      <c r="G51" s="13">
        <v>58.0</v>
      </c>
      <c r="H51" s="13">
        <v>68.0</v>
      </c>
      <c r="I51" s="13">
        <v>81.0</v>
      </c>
      <c r="J51" s="13">
        <v>84.0</v>
      </c>
      <c r="K51" s="13">
        <v>99.0</v>
      </c>
      <c r="L51" s="13">
        <v>78.0</v>
      </c>
      <c r="M51" s="13">
        <v>91.0</v>
      </c>
      <c r="N51" s="13">
        <v>93.0</v>
      </c>
      <c r="O51" s="13">
        <v>135.0</v>
      </c>
      <c r="P51" s="13">
        <v>159.0</v>
      </c>
      <c r="Q51" s="13">
        <v>204.0</v>
      </c>
      <c r="R51" s="13">
        <v>85.0</v>
      </c>
      <c r="S51" s="13">
        <v>109.0</v>
      </c>
      <c r="T51" s="13">
        <v>93.0</v>
      </c>
      <c r="U51" s="17">
        <v>90.0</v>
      </c>
      <c r="V51" s="17"/>
      <c r="W51" s="17"/>
      <c r="X51" s="17"/>
    </row>
    <row r="52" ht="21.75" customHeight="1">
      <c r="A52" s="26"/>
      <c r="B52" s="21" t="s">
        <v>53</v>
      </c>
      <c r="C52" s="12" t="s">
        <v>33</v>
      </c>
      <c r="D52" s="13">
        <v>772562.0</v>
      </c>
      <c r="E52" s="13">
        <v>626734.0</v>
      </c>
      <c r="F52" s="13">
        <v>343740.0</v>
      </c>
      <c r="G52" s="13">
        <v>474534.0</v>
      </c>
      <c r="H52" s="13">
        <v>377264.0</v>
      </c>
      <c r="I52" s="13">
        <v>320401.0</v>
      </c>
      <c r="J52" s="13">
        <v>432409.0</v>
      </c>
      <c r="K52" s="13">
        <v>483220.0</v>
      </c>
      <c r="L52" s="13">
        <v>422123.0</v>
      </c>
      <c r="M52" s="13">
        <v>482900.0</v>
      </c>
      <c r="N52" s="13">
        <v>354030.0</v>
      </c>
      <c r="O52" s="13">
        <v>400730.0</v>
      </c>
      <c r="P52" s="13">
        <v>414917.0</v>
      </c>
      <c r="Q52" s="13">
        <v>333905.0</v>
      </c>
      <c r="R52" s="13">
        <v>462217.0</v>
      </c>
      <c r="S52" s="13">
        <v>422537.0</v>
      </c>
      <c r="T52" s="13">
        <v>349056.0</v>
      </c>
      <c r="U52" s="17">
        <v>482257.0</v>
      </c>
      <c r="V52" s="17"/>
      <c r="W52" s="17"/>
      <c r="X52" s="17"/>
    </row>
    <row r="53" ht="21.75" customHeight="1">
      <c r="A53" s="26"/>
      <c r="B53" s="23" t="s">
        <v>54</v>
      </c>
      <c r="C53" s="16" t="s">
        <v>44</v>
      </c>
      <c r="D53" s="13">
        <v>286.0</v>
      </c>
      <c r="E53" s="13">
        <v>146.0</v>
      </c>
      <c r="F53" s="13">
        <v>234.0</v>
      </c>
      <c r="G53" s="13">
        <v>191.0</v>
      </c>
      <c r="H53" s="13">
        <v>182.0</v>
      </c>
      <c r="I53" s="13">
        <v>173.0</v>
      </c>
      <c r="J53" s="13">
        <v>203.0</v>
      </c>
      <c r="K53" s="13">
        <v>220.0</v>
      </c>
      <c r="L53" s="13">
        <v>198.0</v>
      </c>
      <c r="M53" s="13">
        <v>243.0</v>
      </c>
      <c r="N53" s="13">
        <v>287.0</v>
      </c>
      <c r="O53" s="13">
        <v>341.0</v>
      </c>
      <c r="P53" s="13">
        <v>406.0</v>
      </c>
      <c r="Q53" s="13">
        <v>413.0</v>
      </c>
      <c r="R53" s="13">
        <v>344.0</v>
      </c>
      <c r="S53" s="13">
        <v>359.0</v>
      </c>
      <c r="T53" s="13">
        <v>275.0</v>
      </c>
      <c r="U53" s="17">
        <v>205.0</v>
      </c>
      <c r="V53" s="17"/>
      <c r="W53" s="17"/>
      <c r="X53" s="17"/>
    </row>
    <row r="54" ht="21.75" customHeight="1">
      <c r="A54" s="26"/>
      <c r="B54" s="21" t="s">
        <v>53</v>
      </c>
      <c r="C54" s="12" t="s">
        <v>33</v>
      </c>
      <c r="D54" s="13">
        <v>448317.0</v>
      </c>
      <c r="E54" s="13">
        <v>416325.0</v>
      </c>
      <c r="F54" s="13">
        <v>430083.0</v>
      </c>
      <c r="G54" s="13">
        <v>413732.0</v>
      </c>
      <c r="H54" s="13">
        <v>349670.0</v>
      </c>
      <c r="I54" s="13">
        <v>328541.0</v>
      </c>
      <c r="J54" s="13">
        <v>341310.0</v>
      </c>
      <c r="K54" s="13">
        <v>328074.0</v>
      </c>
      <c r="L54" s="13">
        <v>336192.0</v>
      </c>
      <c r="M54" s="13">
        <v>304778.0</v>
      </c>
      <c r="N54" s="13">
        <v>282490.0</v>
      </c>
      <c r="O54" s="13">
        <v>326296.0</v>
      </c>
      <c r="P54" s="13">
        <v>340607.0</v>
      </c>
      <c r="Q54" s="13">
        <v>359946.0</v>
      </c>
      <c r="R54" s="13">
        <v>311915.0</v>
      </c>
      <c r="S54" s="13">
        <v>336999.0</v>
      </c>
      <c r="T54" s="13">
        <v>339629.0</v>
      </c>
      <c r="U54" s="17">
        <v>348948.0</v>
      </c>
      <c r="V54" s="17"/>
      <c r="W54" s="17"/>
      <c r="X54" s="17"/>
    </row>
    <row r="55" ht="21.75" customHeight="1">
      <c r="A55" s="26"/>
      <c r="B55" s="23" t="s">
        <v>55</v>
      </c>
      <c r="C55" s="16" t="s">
        <v>44</v>
      </c>
      <c r="D55" s="13">
        <v>335.0</v>
      </c>
      <c r="E55" s="13">
        <v>148.0</v>
      </c>
      <c r="F55" s="13">
        <v>233.0</v>
      </c>
      <c r="G55" s="13">
        <v>241.0</v>
      </c>
      <c r="H55" s="13">
        <v>272.0</v>
      </c>
      <c r="I55" s="13">
        <v>317.0</v>
      </c>
      <c r="J55" s="13">
        <v>319.0</v>
      </c>
      <c r="K55" s="13">
        <v>296.0</v>
      </c>
      <c r="L55" s="13">
        <v>245.0</v>
      </c>
      <c r="M55" s="13">
        <v>353.0</v>
      </c>
      <c r="N55" s="13">
        <v>417.0</v>
      </c>
      <c r="O55" s="13">
        <v>506.0</v>
      </c>
      <c r="P55" s="13">
        <v>543.0</v>
      </c>
      <c r="Q55" s="13">
        <v>571.0</v>
      </c>
      <c r="R55" s="13">
        <v>335.0</v>
      </c>
      <c r="S55" s="13">
        <v>393.0</v>
      </c>
      <c r="T55" s="13">
        <v>441.0</v>
      </c>
      <c r="U55" s="17">
        <v>340.0</v>
      </c>
      <c r="V55" s="17"/>
      <c r="W55" s="17"/>
      <c r="X55" s="17"/>
    </row>
    <row r="56" ht="21.75" customHeight="1">
      <c r="A56" s="26"/>
      <c r="B56" s="21" t="s">
        <v>53</v>
      </c>
      <c r="C56" s="12" t="s">
        <v>33</v>
      </c>
      <c r="D56" s="13">
        <v>487036.0</v>
      </c>
      <c r="E56" s="13">
        <v>511400.0</v>
      </c>
      <c r="F56" s="13">
        <v>493220.0</v>
      </c>
      <c r="G56" s="13">
        <v>426108.0</v>
      </c>
      <c r="H56" s="13">
        <v>429441.0</v>
      </c>
      <c r="I56" s="13">
        <v>428227.0</v>
      </c>
      <c r="J56" s="13">
        <v>402582.0</v>
      </c>
      <c r="K56" s="13">
        <v>389444.0</v>
      </c>
      <c r="L56" s="13">
        <v>366995.0</v>
      </c>
      <c r="M56" s="13">
        <v>354100.0</v>
      </c>
      <c r="N56" s="13">
        <v>329327.0</v>
      </c>
      <c r="O56" s="13">
        <v>356382.0</v>
      </c>
      <c r="P56" s="13">
        <v>369487.0</v>
      </c>
      <c r="Q56" s="13">
        <v>393484.0</v>
      </c>
      <c r="R56" s="13">
        <v>346001.0</v>
      </c>
      <c r="S56" s="13">
        <v>373400.0</v>
      </c>
      <c r="T56" s="13">
        <v>335357.0</v>
      </c>
      <c r="U56" s="17">
        <v>332277.0</v>
      </c>
      <c r="V56" s="17"/>
      <c r="W56" s="17"/>
      <c r="X56" s="17"/>
    </row>
    <row r="57" ht="18.75" customHeight="1">
      <c r="A57" s="20" t="s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3"/>
    </row>
    <row r="58" ht="21.75" customHeight="1">
      <c r="A58" s="26"/>
      <c r="B58" s="11" t="s">
        <v>74</v>
      </c>
      <c r="C58" s="12" t="s">
        <v>44</v>
      </c>
      <c r="D58" s="13">
        <v>316.0</v>
      </c>
      <c r="E58" s="13">
        <v>174.0</v>
      </c>
      <c r="F58" s="13">
        <v>263.0</v>
      </c>
      <c r="G58" s="13">
        <v>282.0</v>
      </c>
      <c r="H58" s="13">
        <v>294.0</v>
      </c>
      <c r="I58" s="13">
        <v>326.0</v>
      </c>
      <c r="J58" s="13">
        <v>356.0</v>
      </c>
      <c r="K58" s="13">
        <v>380.0</v>
      </c>
      <c r="L58" s="13">
        <v>321.0</v>
      </c>
      <c r="M58" s="13">
        <v>423.0</v>
      </c>
      <c r="N58" s="13">
        <v>466.0</v>
      </c>
      <c r="O58" s="13">
        <v>616.0</v>
      </c>
      <c r="P58" s="13">
        <v>660.0</v>
      </c>
      <c r="Q58" s="13">
        <v>728.0</v>
      </c>
      <c r="R58" s="13">
        <v>487.0</v>
      </c>
      <c r="S58" s="13">
        <v>561.0</v>
      </c>
      <c r="T58" s="13">
        <v>545.0</v>
      </c>
      <c r="U58" s="17">
        <v>454.0</v>
      </c>
      <c r="V58" s="17"/>
      <c r="W58" s="17"/>
      <c r="X58" s="17"/>
    </row>
    <row r="59" ht="21.75" customHeight="1">
      <c r="A59" s="26"/>
      <c r="B59" s="23" t="s">
        <v>58</v>
      </c>
      <c r="C59" s="16" t="s">
        <v>33</v>
      </c>
      <c r="D59" s="13">
        <v>568478.0</v>
      </c>
      <c r="E59" s="13">
        <v>560642.0</v>
      </c>
      <c r="F59" s="13">
        <v>576787.0</v>
      </c>
      <c r="G59" s="13">
        <v>508265.0</v>
      </c>
      <c r="H59" s="13">
        <v>495984.0</v>
      </c>
      <c r="I59" s="13">
        <v>493393.0</v>
      </c>
      <c r="J59" s="13">
        <v>499735.0</v>
      </c>
      <c r="K59" s="13">
        <v>436487.0</v>
      </c>
      <c r="L59" s="13">
        <v>438104.0</v>
      </c>
      <c r="M59" s="13">
        <v>412222.0</v>
      </c>
      <c r="N59" s="13">
        <v>387999.0</v>
      </c>
      <c r="O59" s="13">
        <v>435587.0</v>
      </c>
      <c r="P59" s="13">
        <v>444641.0</v>
      </c>
      <c r="Q59" s="13">
        <v>442207.0</v>
      </c>
      <c r="R59" s="13">
        <v>403039.0</v>
      </c>
      <c r="S59" s="13">
        <v>418389.0</v>
      </c>
      <c r="T59" s="13">
        <v>404222.0</v>
      </c>
      <c r="U59" s="17">
        <v>381108.0</v>
      </c>
      <c r="V59" s="17"/>
      <c r="W59" s="17"/>
      <c r="X59" s="17"/>
    </row>
    <row r="60" ht="21.75" customHeight="1">
      <c r="A60" s="26"/>
      <c r="B60" s="11" t="s">
        <v>75</v>
      </c>
      <c r="C60" s="12" t="s">
        <v>60</v>
      </c>
      <c r="D60" s="13">
        <v>641895.0</v>
      </c>
      <c r="E60" s="13">
        <v>643908.0</v>
      </c>
      <c r="F60" s="13">
        <v>646403.0</v>
      </c>
      <c r="G60" s="13">
        <v>646525.0</v>
      </c>
      <c r="H60" s="13">
        <v>643954.0</v>
      </c>
      <c r="I60" s="13">
        <v>625594.0</v>
      </c>
      <c r="J60" s="13">
        <v>609044.0</v>
      </c>
      <c r="K60" s="13">
        <v>592216.0</v>
      </c>
      <c r="L60" s="13">
        <v>577597.0</v>
      </c>
      <c r="M60" s="13">
        <v>560469.0</v>
      </c>
      <c r="N60" s="13">
        <v>543210.0</v>
      </c>
      <c r="O60" s="13">
        <v>533502.0</v>
      </c>
      <c r="P60" s="13">
        <v>518249.0</v>
      </c>
      <c r="Q60" s="13">
        <v>518879.0</v>
      </c>
      <c r="R60" s="13">
        <v>512503.0</v>
      </c>
      <c r="S60" s="13">
        <v>512762.0</v>
      </c>
      <c r="T60" s="13">
        <v>513456.0</v>
      </c>
      <c r="U60" s="17">
        <v>511578.0</v>
      </c>
      <c r="V60" s="17"/>
      <c r="W60" s="17"/>
      <c r="X60" s="17"/>
    </row>
    <row r="61" ht="49.5" customHeight="1">
      <c r="A61" s="29" t="s">
        <v>76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</row>
    <row r="62" ht="33.0" customHeight="1">
      <c r="A62" s="31" t="s">
        <v>77</v>
      </c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</row>
    <row r="63" ht="21.75" customHeight="1">
      <c r="A63" s="26"/>
      <c r="B63" s="15" t="s">
        <v>78</v>
      </c>
      <c r="C63" s="16" t="s">
        <v>29</v>
      </c>
      <c r="D63" s="13">
        <v>8.7240654E7</v>
      </c>
      <c r="E63" s="13">
        <v>6.5243E7</v>
      </c>
      <c r="F63" s="13">
        <v>6.2782E7</v>
      </c>
      <c r="G63" s="13">
        <v>4.3304E7</v>
      </c>
      <c r="H63" s="13">
        <v>3.9079544E7</v>
      </c>
      <c r="I63" s="13">
        <v>5.2499E7</v>
      </c>
      <c r="J63" s="13">
        <v>2.2881034E7</v>
      </c>
      <c r="K63" s="13">
        <v>5.1224832E7</v>
      </c>
      <c r="L63" s="13">
        <v>3.4352665E7</v>
      </c>
      <c r="M63" s="13">
        <v>7.7261699E7</v>
      </c>
      <c r="N63" s="13">
        <v>1.30425056E8</v>
      </c>
      <c r="O63" s="13">
        <v>1.2272112E8</v>
      </c>
      <c r="P63" s="13">
        <v>7.1258374E7</v>
      </c>
      <c r="Q63" s="13">
        <v>5.7202615E7</v>
      </c>
      <c r="R63" s="13">
        <v>6.5655752E7</v>
      </c>
      <c r="S63" s="13">
        <v>2.9404244E7</v>
      </c>
      <c r="T63" s="13">
        <v>2.2943316E7</v>
      </c>
      <c r="U63" s="14">
        <v>4107370.0</v>
      </c>
      <c r="V63" s="14"/>
      <c r="W63" s="14"/>
      <c r="X63" s="14"/>
    </row>
    <row r="64" ht="21.75" customHeight="1">
      <c r="A64" s="26"/>
      <c r="B64" s="15" t="s">
        <v>79</v>
      </c>
      <c r="C64" s="16" t="s">
        <v>38</v>
      </c>
      <c r="D64" s="22">
        <v>0.0276</v>
      </c>
      <c r="E64" s="22">
        <v>0.0386</v>
      </c>
      <c r="F64" s="22">
        <v>0.0334</v>
      </c>
      <c r="G64" s="22">
        <v>0.0259</v>
      </c>
      <c r="H64" s="22">
        <v>0.0241</v>
      </c>
      <c r="I64" s="22">
        <v>0.0337</v>
      </c>
      <c r="J64" s="22">
        <v>0.0139</v>
      </c>
      <c r="K64" s="22">
        <v>0.0308</v>
      </c>
      <c r="L64" s="22">
        <v>0.0251</v>
      </c>
      <c r="M64" s="22">
        <v>0.0462</v>
      </c>
      <c r="N64" s="22">
        <v>0.0638</v>
      </c>
      <c r="O64" s="22">
        <v>0.053</v>
      </c>
      <c r="P64" s="22">
        <v>0.027</v>
      </c>
      <c r="Q64" s="22">
        <v>0.0243</v>
      </c>
      <c r="R64" s="22">
        <v>0.0368</v>
      </c>
      <c r="S64" s="22">
        <v>0.017</v>
      </c>
      <c r="T64" s="22">
        <v>0.0144</v>
      </c>
      <c r="U64" s="32">
        <v>0.0036</v>
      </c>
      <c r="V64" s="14"/>
      <c r="W64" s="14"/>
      <c r="X64" s="14"/>
    </row>
    <row r="65" ht="21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</row>
    <row r="66" ht="21.75" customHeight="1">
      <c r="A66" s="33" t="s">
        <v>80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</row>
    <row r="67" ht="21.75" customHeight="1">
      <c r="A67" s="35" t="s">
        <v>81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</row>
    <row r="68" ht="21.75" customHeight="1">
      <c r="A68" s="36"/>
      <c r="B68" s="15" t="s">
        <v>82</v>
      </c>
      <c r="C68" s="16" t="s">
        <v>29</v>
      </c>
      <c r="D68" s="13">
        <v>3.155596416E9</v>
      </c>
      <c r="E68" s="13">
        <v>1.68859677E9</v>
      </c>
      <c r="F68" s="13">
        <v>1.879993928E9</v>
      </c>
      <c r="G68" s="13">
        <v>1.672055128E9</v>
      </c>
      <c r="H68" s="13">
        <v>1.618985453E9</v>
      </c>
      <c r="I68" s="13">
        <v>1.557229608E9</v>
      </c>
      <c r="J68" s="13">
        <v>1.647719432E9</v>
      </c>
      <c r="K68" s="13">
        <v>1.661331245E9</v>
      </c>
      <c r="L68" s="13">
        <v>1.369882071E9</v>
      </c>
      <c r="M68" s="13">
        <v>1.670861597E9</v>
      </c>
      <c r="N68" s="13">
        <v>2.045388728E9</v>
      </c>
      <c r="O68" s="13">
        <v>2.313338249E9</v>
      </c>
      <c r="P68" s="13">
        <v>2.634804956E9</v>
      </c>
      <c r="Q68" s="13">
        <v>2.350507605E9</v>
      </c>
      <c r="R68" s="13">
        <v>1.782266684E9</v>
      </c>
      <c r="S68" s="13">
        <v>1.724768091E9</v>
      </c>
      <c r="T68" s="13">
        <v>1.592209491E9</v>
      </c>
      <c r="U68" s="14">
        <f>IFERROR(SUM('📅 DAILY T6'!C$6:C$35)+SUM('📅 DAILY T6'!G$6:I$35),0)</f>
        <v>1140217002</v>
      </c>
      <c r="V68" s="14">
        <f>IFERROR(SUM('📅 DAILY T7'!C$6:C$36)+SUM('📅 DAILY T7'!G$6:I$36),0)</f>
        <v>0</v>
      </c>
      <c r="W68" s="14">
        <f>IFERROR(SUM('📅 DAILY T8'!C$6:C$36)+SUM('📅 DAILY T8'!G$6:I$36),0)</f>
        <v>0</v>
      </c>
      <c r="X68" s="14">
        <f>IFERROR(SUM('📅 DAILY T9'!C$6:C$35)+SUM('📅 DAILY T9'!G$6:I$35),0)</f>
        <v>0</v>
      </c>
    </row>
    <row r="69" ht="18.75" customHeight="1">
      <c r="A69" s="37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8"/>
    </row>
    <row r="70" ht="21.75" customHeight="1">
      <c r="A70" s="36"/>
      <c r="B70" s="15" t="s">
        <v>83</v>
      </c>
      <c r="C70" s="16" t="s">
        <v>40</v>
      </c>
      <c r="D70" s="38">
        <v>1.1</v>
      </c>
      <c r="E70" s="38">
        <v>1.11</v>
      </c>
      <c r="F70" s="38">
        <v>1.13</v>
      </c>
      <c r="G70" s="38">
        <v>1.12</v>
      </c>
      <c r="H70" s="38">
        <v>1.13</v>
      </c>
      <c r="I70" s="38">
        <v>1.12</v>
      </c>
      <c r="J70" s="38">
        <v>1.13</v>
      </c>
      <c r="K70" s="38">
        <v>1.13</v>
      </c>
      <c r="L70" s="38">
        <v>1.12</v>
      </c>
      <c r="M70" s="38">
        <v>1.15</v>
      </c>
      <c r="N70" s="38">
        <v>1.14</v>
      </c>
      <c r="O70" s="38">
        <v>1.15</v>
      </c>
      <c r="P70" s="38">
        <v>1.13</v>
      </c>
      <c r="Q70" s="38">
        <v>1.12</v>
      </c>
      <c r="R70" s="38">
        <v>1.14</v>
      </c>
      <c r="S70" s="38">
        <v>1.13</v>
      </c>
      <c r="T70" s="38">
        <v>1.13</v>
      </c>
      <c r="U70" s="19">
        <v>1.07</v>
      </c>
      <c r="V70" s="19"/>
      <c r="W70" s="19"/>
      <c r="X70" s="19"/>
    </row>
    <row r="71" ht="21.75" customHeight="1">
      <c r="A71" s="36"/>
      <c r="B71" s="11" t="s">
        <v>84</v>
      </c>
      <c r="C71" s="12" t="s">
        <v>44</v>
      </c>
      <c r="D71" s="13">
        <v>3764.0</v>
      </c>
      <c r="E71" s="13">
        <v>5005.0</v>
      </c>
      <c r="F71" s="13">
        <v>6609.0</v>
      </c>
      <c r="G71" s="13">
        <v>7096.0</v>
      </c>
      <c r="H71" s="13">
        <v>7928.0</v>
      </c>
      <c r="I71" s="13">
        <v>8606.0</v>
      </c>
      <c r="J71" s="13">
        <v>9262.0</v>
      </c>
      <c r="K71" s="13">
        <v>9813.0</v>
      </c>
      <c r="L71" s="13">
        <v>10509.0</v>
      </c>
      <c r="M71" s="13">
        <v>11154.0</v>
      </c>
      <c r="N71" s="13">
        <v>11228.0</v>
      </c>
      <c r="O71" s="13">
        <v>11608.0</v>
      </c>
      <c r="P71" s="13">
        <v>12361.0</v>
      </c>
      <c r="Q71" s="13">
        <v>13046.0</v>
      </c>
      <c r="R71" s="13">
        <v>14587.0</v>
      </c>
      <c r="S71" s="13">
        <v>16222.0</v>
      </c>
      <c r="T71" s="13">
        <v>16877.0</v>
      </c>
      <c r="U71" s="17">
        <v>18534.0</v>
      </c>
      <c r="V71" s="17"/>
      <c r="W71" s="17"/>
      <c r="X71" s="17"/>
    </row>
    <row r="72" ht="21.75" customHeight="1">
      <c r="A72" s="36"/>
      <c r="B72" s="15" t="s">
        <v>85</v>
      </c>
      <c r="C72" s="16" t="s">
        <v>44</v>
      </c>
      <c r="D72" s="13">
        <v>0.0</v>
      </c>
      <c r="E72" s="13">
        <v>354.0</v>
      </c>
      <c r="F72" s="13">
        <v>552.0</v>
      </c>
      <c r="G72" s="13">
        <v>670.0</v>
      </c>
      <c r="H72" s="13">
        <v>628.0</v>
      </c>
      <c r="I72" s="13">
        <v>659.0</v>
      </c>
      <c r="J72" s="13">
        <v>703.0</v>
      </c>
      <c r="K72" s="13">
        <v>822.0</v>
      </c>
      <c r="L72" s="13">
        <v>640.0</v>
      </c>
      <c r="M72" s="13">
        <v>839.0</v>
      </c>
      <c r="N72" s="13">
        <v>1043.0</v>
      </c>
      <c r="O72" s="13">
        <v>1045.0</v>
      </c>
      <c r="P72" s="13">
        <v>1104.0</v>
      </c>
      <c r="Q72" s="13">
        <v>1117.0</v>
      </c>
      <c r="R72" s="13">
        <v>823.0</v>
      </c>
      <c r="S72" s="13">
        <v>895.0</v>
      </c>
      <c r="T72" s="13">
        <v>1020.0</v>
      </c>
      <c r="U72" s="17">
        <v>457.0</v>
      </c>
      <c r="V72" s="17"/>
      <c r="W72" s="17"/>
      <c r="X72" s="17"/>
    </row>
    <row r="73" ht="21.75" customHeight="1">
      <c r="A73" s="36"/>
      <c r="B73" s="11" t="s">
        <v>86</v>
      </c>
      <c r="C73" s="12" t="s">
        <v>87</v>
      </c>
      <c r="D73" s="39">
        <v>58.0</v>
      </c>
      <c r="E73" s="39">
        <v>60.0</v>
      </c>
      <c r="F73" s="39">
        <v>62.0</v>
      </c>
      <c r="G73" s="39">
        <v>65.0</v>
      </c>
      <c r="H73" s="39">
        <v>68.0</v>
      </c>
      <c r="I73" s="39">
        <v>71.0</v>
      </c>
      <c r="J73" s="39">
        <v>74.0</v>
      </c>
      <c r="K73" s="39">
        <v>77.0</v>
      </c>
      <c r="L73" s="39">
        <v>80.0</v>
      </c>
      <c r="M73" s="39">
        <v>83.0</v>
      </c>
      <c r="N73" s="39">
        <v>86.0</v>
      </c>
      <c r="O73" s="39">
        <v>89.0</v>
      </c>
      <c r="P73" s="39">
        <v>93.0</v>
      </c>
      <c r="Q73" s="39">
        <v>95.0</v>
      </c>
      <c r="R73" s="39">
        <v>96.0</v>
      </c>
      <c r="S73" s="39">
        <v>97.0</v>
      </c>
      <c r="T73" s="39">
        <v>98.0</v>
      </c>
      <c r="U73" s="40">
        <v>86.0</v>
      </c>
      <c r="V73" s="40"/>
      <c r="W73" s="40"/>
      <c r="X73" s="40"/>
    </row>
    <row r="74" ht="25.5" customHeight="1">
      <c r="A74" s="41" t="s">
        <v>88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3"/>
    </row>
    <row r="75" ht="21.75" customHeight="1">
      <c r="A75" s="36"/>
      <c r="B75" s="21" t="s">
        <v>89</v>
      </c>
      <c r="C75" s="12" t="s">
        <v>60</v>
      </c>
      <c r="D75" s="13">
        <v>854166.0</v>
      </c>
      <c r="E75" s="13">
        <v>867740.0</v>
      </c>
      <c r="F75" s="13">
        <v>885205.0</v>
      </c>
      <c r="G75" s="13">
        <v>896218.0</v>
      </c>
      <c r="H75" s="13">
        <v>906167.0</v>
      </c>
      <c r="I75" s="13">
        <v>913413.0</v>
      </c>
      <c r="J75" s="13">
        <v>921336.0</v>
      </c>
      <c r="K75" s="13">
        <v>930073.0</v>
      </c>
      <c r="L75" s="13">
        <v>935217.0</v>
      </c>
      <c r="M75" s="13">
        <v>938756.0</v>
      </c>
      <c r="N75" s="13">
        <v>944689.0</v>
      </c>
      <c r="O75" s="13">
        <v>954722.0</v>
      </c>
      <c r="P75" s="13">
        <v>964715.0</v>
      </c>
      <c r="Q75" s="13">
        <v>976110.0</v>
      </c>
      <c r="R75" s="13">
        <v>985971.0</v>
      </c>
      <c r="S75" s="13">
        <v>997893.0</v>
      </c>
      <c r="T75" s="13">
        <v>1010217.0</v>
      </c>
      <c r="U75" s="17">
        <v>1014199.0</v>
      </c>
      <c r="V75" s="17"/>
      <c r="W75" s="17"/>
      <c r="X75" s="17"/>
    </row>
    <row r="76" ht="21.75" customHeight="1">
      <c r="A76" s="36"/>
      <c r="B76" s="23" t="s">
        <v>90</v>
      </c>
      <c r="C76" s="16" t="s">
        <v>60</v>
      </c>
      <c r="D76" s="13">
        <v>649776.0</v>
      </c>
      <c r="E76" s="13">
        <v>653034.0</v>
      </c>
      <c r="F76" s="13">
        <v>656527.0</v>
      </c>
      <c r="G76" s="13">
        <v>656372.0</v>
      </c>
      <c r="H76" s="13">
        <v>654539.0</v>
      </c>
      <c r="I76" s="13">
        <v>655579.0</v>
      </c>
      <c r="J76" s="13">
        <v>656930.0</v>
      </c>
      <c r="K76" s="13">
        <v>657134.0</v>
      </c>
      <c r="L76" s="13">
        <v>654379.0</v>
      </c>
      <c r="M76" s="13">
        <v>649380.0</v>
      </c>
      <c r="N76" s="13">
        <v>643032.0</v>
      </c>
      <c r="O76" s="13">
        <v>643077.0</v>
      </c>
      <c r="P76" s="13">
        <v>643489.0</v>
      </c>
      <c r="Q76" s="13">
        <v>647444.0</v>
      </c>
      <c r="R76" s="13">
        <v>648524.0</v>
      </c>
      <c r="S76" s="13">
        <v>652853.0</v>
      </c>
      <c r="T76" s="13">
        <v>656021.0</v>
      </c>
      <c r="U76" s="17">
        <v>665189.0</v>
      </c>
      <c r="V76" s="17"/>
      <c r="W76" s="17"/>
      <c r="X76" s="17"/>
    </row>
    <row r="77" ht="21.75" customHeight="1">
      <c r="A77" s="36"/>
      <c r="B77" s="21" t="s">
        <v>91</v>
      </c>
      <c r="C77" s="12" t="s">
        <v>60</v>
      </c>
      <c r="D77" s="13">
        <v>854166.0</v>
      </c>
      <c r="E77" s="13">
        <v>867740.0</v>
      </c>
      <c r="F77" s="13">
        <v>885205.0</v>
      </c>
      <c r="G77" s="13">
        <v>896218.0</v>
      </c>
      <c r="H77" s="13">
        <v>906167.0</v>
      </c>
      <c r="I77" s="13">
        <v>880436.0</v>
      </c>
      <c r="J77" s="13">
        <v>858858.0</v>
      </c>
      <c r="K77" s="13">
        <v>834925.0</v>
      </c>
      <c r="L77" s="13">
        <v>815142.0</v>
      </c>
      <c r="M77" s="13">
        <v>798971.0</v>
      </c>
      <c r="N77" s="13">
        <v>787161.0</v>
      </c>
      <c r="O77" s="13">
        <v>781719.0</v>
      </c>
      <c r="P77" s="13">
        <v>777311.0</v>
      </c>
      <c r="Q77" s="13">
        <v>781068.0</v>
      </c>
      <c r="R77" s="13">
        <v>778576.0</v>
      </c>
      <c r="S77" s="13">
        <v>785070.0</v>
      </c>
      <c r="T77" s="13">
        <v>793187.0</v>
      </c>
      <c r="U77" s="17">
        <v>794371.0</v>
      </c>
      <c r="V77" s="17"/>
      <c r="W77" s="17"/>
      <c r="X77" s="17"/>
    </row>
    <row r="78" ht="21.75" customHeight="1">
      <c r="A78" s="36"/>
      <c r="B78" s="23" t="s">
        <v>92</v>
      </c>
      <c r="C78" s="16" t="s">
        <v>60</v>
      </c>
      <c r="D78" s="13">
        <v>649776.0</v>
      </c>
      <c r="E78" s="13">
        <v>653034.0</v>
      </c>
      <c r="F78" s="13">
        <v>656527.0</v>
      </c>
      <c r="G78" s="13">
        <v>656372.0</v>
      </c>
      <c r="H78" s="13">
        <v>654539.0</v>
      </c>
      <c r="I78" s="13">
        <v>634626.0</v>
      </c>
      <c r="J78" s="13">
        <v>617933.0</v>
      </c>
      <c r="K78" s="13">
        <v>599967.0</v>
      </c>
      <c r="L78" s="13">
        <v>584496.0</v>
      </c>
      <c r="M78" s="13">
        <v>565801.0</v>
      </c>
      <c r="N78" s="13">
        <v>544704.0</v>
      </c>
      <c r="O78" s="13">
        <v>531895.0</v>
      </c>
      <c r="P78" s="13">
        <v>516683.0</v>
      </c>
      <c r="Q78" s="13">
        <v>518311.0</v>
      </c>
      <c r="R78" s="13">
        <v>512897.0</v>
      </c>
      <c r="S78" s="13">
        <v>514213.0</v>
      </c>
      <c r="T78" s="13">
        <v>514850.0</v>
      </c>
      <c r="U78" s="17">
        <v>511578.0</v>
      </c>
      <c r="V78" s="17"/>
      <c r="W78" s="17"/>
      <c r="X78" s="17"/>
    </row>
    <row r="79" ht="21.75" customHeight="1">
      <c r="A79" s="42" t="s">
        <v>93</v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</row>
    <row r="80" ht="21.75" customHeight="1">
      <c r="A80" s="43"/>
      <c r="B80" s="15" t="s">
        <v>94</v>
      </c>
      <c r="C80" s="16" t="s">
        <v>44</v>
      </c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7"/>
      <c r="V80" s="17"/>
      <c r="W80" s="17"/>
      <c r="X80" s="17"/>
    </row>
    <row r="81" ht="21.75" customHeight="1">
      <c r="A81" s="44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8"/>
    </row>
    <row r="82" ht="18.75" customHeight="1">
      <c r="A82" s="43"/>
      <c r="B82" s="15" t="s">
        <v>95</v>
      </c>
      <c r="C82" s="16" t="s">
        <v>38</v>
      </c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8"/>
      <c r="V82" s="18"/>
      <c r="W82" s="18"/>
      <c r="X82" s="18"/>
    </row>
    <row r="83" ht="18.75" customHeight="1">
      <c r="A83" s="43"/>
      <c r="B83" s="11" t="s">
        <v>96</v>
      </c>
      <c r="C83" s="12" t="s">
        <v>97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7"/>
      <c r="V83" s="17"/>
      <c r="W83" s="17"/>
      <c r="X83" s="17"/>
    </row>
    <row r="84" ht="18.75" customHeight="1">
      <c r="A84" s="43"/>
      <c r="B84" s="15" t="s">
        <v>98</v>
      </c>
      <c r="C84" s="16" t="s">
        <v>44</v>
      </c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7"/>
      <c r="V84" s="17"/>
      <c r="W84" s="17"/>
      <c r="X84" s="17"/>
    </row>
    <row r="85" ht="18.75" customHeight="1">
      <c r="A85" s="43"/>
      <c r="B85" s="11" t="s">
        <v>99</v>
      </c>
      <c r="C85" s="12" t="s">
        <v>100</v>
      </c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7"/>
      <c r="V85" s="17"/>
      <c r="W85" s="17"/>
      <c r="X85" s="17"/>
    </row>
    <row r="86" ht="99.75" customHeight="1">
      <c r="A86" s="45" t="s">
        <v>101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</row>
  </sheetData>
  <mergeCells count="17">
    <mergeCell ref="A1:X1"/>
    <mergeCell ref="A2:X2"/>
    <mergeCell ref="A4:X4"/>
    <mergeCell ref="A5:X5"/>
    <mergeCell ref="A13:X13"/>
    <mergeCell ref="A14:X14"/>
    <mergeCell ref="A19:X19"/>
    <mergeCell ref="A69:X69"/>
    <mergeCell ref="A74:X74"/>
    <mergeCell ref="A81:X81"/>
    <mergeCell ref="A29:X29"/>
    <mergeCell ref="A33:X33"/>
    <mergeCell ref="A34:X34"/>
    <mergeCell ref="A41:X41"/>
    <mergeCell ref="A42:X42"/>
    <mergeCell ref="A47:X47"/>
    <mergeCell ref="A57:X57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5.0"/>
    <col customWidth="1" min="2" max="2" width="6.0"/>
    <col customWidth="1" min="3" max="3" width="19.0"/>
    <col customWidth="1" min="4" max="4" width="11.0"/>
    <col customWidth="1" min="5" max="5" width="15.0"/>
    <col customWidth="1" min="6" max="9" width="17.0"/>
    <col customWidth="1" min="10" max="10" width="12.0"/>
    <col customWidth="1" min="11" max="11" width="16.0"/>
    <col customWidth="1" min="12" max="12" width="27.0"/>
    <col customWidth="1" min="13" max="14" width="18.0"/>
    <col customWidth="1" min="15" max="16" width="15.0"/>
    <col customWidth="1" min="17" max="17" width="12.0"/>
    <col customWidth="1" min="18" max="26" width="14.0"/>
  </cols>
  <sheetData>
    <row r="1" ht="33.0" customHeight="1">
      <c r="A1" s="46" t="s">
        <v>102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0"/>
      <c r="S1" s="30"/>
      <c r="T1" s="30"/>
    </row>
    <row r="2" ht="21.75" customHeight="1">
      <c r="A2" s="4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30"/>
      <c r="S2" s="30"/>
      <c r="T2" s="30"/>
    </row>
    <row r="3" ht="21.75" customHeight="1">
      <c r="A3" s="47" t="s">
        <v>104</v>
      </c>
      <c r="B3" s="3"/>
      <c r="C3" s="48" t="s">
        <v>105</v>
      </c>
      <c r="D3" s="3"/>
      <c r="E3" s="49" t="s">
        <v>106</v>
      </c>
      <c r="F3" s="3"/>
      <c r="G3" s="50" t="s">
        <v>107</v>
      </c>
      <c r="H3" s="2"/>
      <c r="I3" s="2"/>
      <c r="J3" s="3"/>
      <c r="K3" s="51" t="s">
        <v>108</v>
      </c>
      <c r="L3" s="52" t="s">
        <v>109</v>
      </c>
      <c r="M3" s="53" t="s">
        <v>110</v>
      </c>
      <c r="N3" s="3"/>
      <c r="O3" s="53" t="s">
        <v>110</v>
      </c>
      <c r="P3" s="3"/>
      <c r="Q3" s="54" t="s">
        <v>111</v>
      </c>
      <c r="R3" s="30"/>
      <c r="S3" s="30"/>
      <c r="T3" s="30"/>
    </row>
    <row r="4" ht="36.0" customHeight="1">
      <c r="A4" s="55" t="s">
        <v>112</v>
      </c>
      <c r="B4" s="55" t="s">
        <v>113</v>
      </c>
      <c r="C4" s="56" t="s">
        <v>114</v>
      </c>
      <c r="D4" s="56" t="s">
        <v>115</v>
      </c>
      <c r="E4" s="57" t="s">
        <v>116</v>
      </c>
      <c r="F4" s="57" t="s">
        <v>117</v>
      </c>
      <c r="G4" s="58" t="s">
        <v>118</v>
      </c>
      <c r="H4" s="58" t="s">
        <v>119</v>
      </c>
      <c r="I4" s="58" t="s">
        <v>120</v>
      </c>
      <c r="J4" s="58" t="s">
        <v>121</v>
      </c>
      <c r="K4" s="59" t="s">
        <v>122</v>
      </c>
      <c r="L4" s="60" t="s">
        <v>123</v>
      </c>
      <c r="M4" s="61" t="s">
        <v>124</v>
      </c>
      <c r="N4" s="61" t="s">
        <v>125</v>
      </c>
      <c r="O4" s="61" t="s">
        <v>126</v>
      </c>
      <c r="P4" s="61" t="s">
        <v>127</v>
      </c>
      <c r="Q4" s="61" t="s">
        <v>128</v>
      </c>
      <c r="R4" s="30"/>
      <c r="S4" s="30"/>
      <c r="T4" s="30"/>
    </row>
    <row r="5" ht="21.75" customHeight="1">
      <c r="A5" s="62" t="s">
        <v>129</v>
      </c>
      <c r="B5" s="3"/>
      <c r="C5" s="63">
        <v>1.221140305E9</v>
      </c>
      <c r="D5" s="64"/>
      <c r="E5" s="64"/>
      <c r="F5" s="64"/>
      <c r="G5" s="65">
        <v>3.44966715E8</v>
      </c>
      <c r="H5" s="65">
        <v>1.70070994E8</v>
      </c>
      <c r="I5" s="65">
        <v>1.40490222E8</v>
      </c>
      <c r="J5" s="64"/>
      <c r="K5" s="64"/>
      <c r="L5" s="64"/>
      <c r="M5" s="66">
        <v>6.55527931E8</v>
      </c>
      <c r="N5" s="66">
        <v>1.876668236E9</v>
      </c>
      <c r="O5" s="67">
        <v>450000.0</v>
      </c>
      <c r="P5" s="67">
        <v>330000.0</v>
      </c>
      <c r="Q5" s="68"/>
      <c r="R5" s="30"/>
      <c r="S5" s="30"/>
      <c r="T5" s="30"/>
    </row>
    <row r="6" ht="21.75" customHeight="1">
      <c r="A6" s="69">
        <v>46174.0</v>
      </c>
      <c r="B6" s="70" t="s">
        <v>130</v>
      </c>
      <c r="C6" s="71">
        <v>4.4886805E7</v>
      </c>
      <c r="D6" s="71">
        <v>97.0</v>
      </c>
      <c r="E6" s="71"/>
      <c r="F6" s="71"/>
      <c r="G6" s="71">
        <v>6767007.0</v>
      </c>
      <c r="H6" s="71">
        <v>3596508.0</v>
      </c>
      <c r="I6" s="71">
        <v>2887199.0</v>
      </c>
      <c r="J6" s="71">
        <v>44.0</v>
      </c>
      <c r="K6" s="71">
        <v>701737.0</v>
      </c>
      <c r="L6" s="72"/>
      <c r="M6" s="14">
        <f t="shared" ref="M6:M35" si="1">IF(SUM(G6:I6)&gt;0,SUM(G6:I6),"")</f>
        <v>13250714</v>
      </c>
      <c r="N6" s="14">
        <f t="shared" ref="N6:N35" si="2">IF(N(C6)+N(M6)&gt;0,N(C6)+N(M6),"")</f>
        <v>58137519</v>
      </c>
      <c r="O6" s="14">
        <f t="shared" ref="O6:O35" si="3">IFERROR(IF(D6&gt;0,C6/D6,""),"")</f>
        <v>462750.567</v>
      </c>
      <c r="P6" s="14">
        <f t="shared" ref="P6:P35" si="4">IFERROR(IF(J6&gt;0,M6/J6,""),"")</f>
        <v>301152.5909</v>
      </c>
      <c r="Q6" s="32" t="str">
        <f t="shared" ref="Q6:Q35" si="5">IFERROR(IF(E6&gt;0,D6/E6,""),"")</f>
        <v/>
      </c>
      <c r="R6" s="30"/>
      <c r="S6" s="30"/>
      <c r="T6" s="30"/>
    </row>
    <row r="7" ht="21.75" customHeight="1">
      <c r="A7" s="69">
        <v>46175.0</v>
      </c>
      <c r="B7" s="70" t="s">
        <v>131</v>
      </c>
      <c r="C7" s="71">
        <v>3.2214802E7</v>
      </c>
      <c r="D7" s="71">
        <v>65.0</v>
      </c>
      <c r="E7" s="71"/>
      <c r="F7" s="71"/>
      <c r="G7" s="71">
        <v>4449006.0</v>
      </c>
      <c r="H7" s="71">
        <v>3072003.0</v>
      </c>
      <c r="I7" s="71">
        <v>6150503.0</v>
      </c>
      <c r="J7" s="71">
        <v>43.0</v>
      </c>
      <c r="K7" s="71">
        <v>524074.0</v>
      </c>
      <c r="L7" s="72"/>
      <c r="M7" s="14">
        <f t="shared" si="1"/>
        <v>13671512</v>
      </c>
      <c r="N7" s="14">
        <f t="shared" si="2"/>
        <v>45886314</v>
      </c>
      <c r="O7" s="14">
        <f t="shared" si="3"/>
        <v>495612.3385</v>
      </c>
      <c r="P7" s="14">
        <f t="shared" si="4"/>
        <v>317942.1395</v>
      </c>
      <c r="Q7" s="32" t="str">
        <f t="shared" si="5"/>
        <v/>
      </c>
      <c r="R7" s="30"/>
      <c r="S7" s="30"/>
      <c r="T7" s="30"/>
    </row>
    <row r="8" ht="21.75" customHeight="1">
      <c r="A8" s="69">
        <v>46176.0</v>
      </c>
      <c r="B8" s="70" t="s">
        <v>132</v>
      </c>
      <c r="C8" s="71">
        <v>3.6473477E7</v>
      </c>
      <c r="D8" s="71">
        <v>87.0</v>
      </c>
      <c r="E8" s="71"/>
      <c r="F8" s="71"/>
      <c r="G8" s="71">
        <v>9029511.0</v>
      </c>
      <c r="H8" s="71">
        <v>1862000.0</v>
      </c>
      <c r="I8" s="71">
        <v>3738504.0</v>
      </c>
      <c r="J8" s="71">
        <v>48.0</v>
      </c>
      <c r="K8" s="71">
        <v>259259.0</v>
      </c>
      <c r="L8" s="72"/>
      <c r="M8" s="14">
        <f t="shared" si="1"/>
        <v>14630015</v>
      </c>
      <c r="N8" s="14">
        <f t="shared" si="2"/>
        <v>51103492</v>
      </c>
      <c r="O8" s="14">
        <f t="shared" si="3"/>
        <v>419235.3678</v>
      </c>
      <c r="P8" s="14">
        <f t="shared" si="4"/>
        <v>304791.9792</v>
      </c>
      <c r="Q8" s="32" t="str">
        <f t="shared" si="5"/>
        <v/>
      </c>
      <c r="R8" s="30"/>
      <c r="S8" s="30"/>
      <c r="T8" s="30"/>
    </row>
    <row r="9" ht="21.75" customHeight="1">
      <c r="A9" s="69">
        <v>46177.0</v>
      </c>
      <c r="B9" s="70" t="s">
        <v>133</v>
      </c>
      <c r="C9" s="71">
        <v>3.5472516E7</v>
      </c>
      <c r="D9" s="71">
        <v>81.0</v>
      </c>
      <c r="E9" s="71"/>
      <c r="F9" s="71"/>
      <c r="G9" s="71">
        <v>9745005.0</v>
      </c>
      <c r="H9" s="71">
        <v>5478499.0</v>
      </c>
      <c r="I9" s="71">
        <v>4638009.0</v>
      </c>
      <c r="J9" s="71">
        <v>60.0</v>
      </c>
      <c r="K9" s="71"/>
      <c r="L9" s="72"/>
      <c r="M9" s="14">
        <f t="shared" si="1"/>
        <v>19861513</v>
      </c>
      <c r="N9" s="14">
        <f t="shared" si="2"/>
        <v>55334029</v>
      </c>
      <c r="O9" s="14">
        <f t="shared" si="3"/>
        <v>437932.2963</v>
      </c>
      <c r="P9" s="14">
        <f t="shared" si="4"/>
        <v>331025.2167</v>
      </c>
      <c r="Q9" s="32" t="str">
        <f t="shared" si="5"/>
        <v/>
      </c>
      <c r="R9" s="30"/>
      <c r="S9" s="30"/>
      <c r="T9" s="30"/>
    </row>
    <row r="10" ht="21.75" customHeight="1">
      <c r="A10" s="69">
        <v>46178.0</v>
      </c>
      <c r="B10" s="70" t="s">
        <v>134</v>
      </c>
      <c r="C10" s="71">
        <v>3.1950186E7</v>
      </c>
      <c r="D10" s="71">
        <v>76.0</v>
      </c>
      <c r="E10" s="71"/>
      <c r="F10" s="71"/>
      <c r="G10" s="71">
        <v>1.2953499E7</v>
      </c>
      <c r="H10" s="71">
        <v>3329751.0</v>
      </c>
      <c r="I10" s="71">
        <v>5571001.0</v>
      </c>
      <c r="J10" s="71">
        <v>69.0</v>
      </c>
      <c r="K10" s="71">
        <v>1644800.0</v>
      </c>
      <c r="L10" s="72"/>
      <c r="M10" s="14">
        <f t="shared" si="1"/>
        <v>21854251</v>
      </c>
      <c r="N10" s="14">
        <f t="shared" si="2"/>
        <v>53804437</v>
      </c>
      <c r="O10" s="14">
        <f t="shared" si="3"/>
        <v>420397.1842</v>
      </c>
      <c r="P10" s="14">
        <f t="shared" si="4"/>
        <v>316728.2754</v>
      </c>
      <c r="Q10" s="32" t="str">
        <f t="shared" si="5"/>
        <v/>
      </c>
      <c r="R10" s="30"/>
      <c r="S10" s="30"/>
      <c r="T10" s="30"/>
    </row>
    <row r="11" ht="21.75" customHeight="1">
      <c r="A11" s="73">
        <v>46179.0</v>
      </c>
      <c r="B11" s="74" t="s">
        <v>135</v>
      </c>
      <c r="C11" s="71">
        <v>3.575469E7</v>
      </c>
      <c r="D11" s="71">
        <v>81.0</v>
      </c>
      <c r="E11" s="71"/>
      <c r="F11" s="71"/>
      <c r="G11" s="71">
        <v>9757501.0</v>
      </c>
      <c r="H11" s="71">
        <v>5894250.0</v>
      </c>
      <c r="I11" s="71">
        <v>4723999.0</v>
      </c>
      <c r="J11" s="71">
        <v>74.0</v>
      </c>
      <c r="K11" s="71">
        <v>450000.0</v>
      </c>
      <c r="L11" s="72"/>
      <c r="M11" s="14">
        <f t="shared" si="1"/>
        <v>20375750</v>
      </c>
      <c r="N11" s="14">
        <f t="shared" si="2"/>
        <v>56130440</v>
      </c>
      <c r="O11" s="14">
        <f t="shared" si="3"/>
        <v>441415.9259</v>
      </c>
      <c r="P11" s="14">
        <f t="shared" si="4"/>
        <v>275347.973</v>
      </c>
      <c r="Q11" s="32" t="str">
        <f t="shared" si="5"/>
        <v/>
      </c>
      <c r="R11" s="30"/>
      <c r="S11" s="30"/>
      <c r="T11" s="30"/>
    </row>
    <row r="12" ht="21.75" customHeight="1">
      <c r="A12" s="73">
        <v>46180.0</v>
      </c>
      <c r="B12" s="74" t="s">
        <v>136</v>
      </c>
      <c r="C12" s="71">
        <v>2.6345035E7</v>
      </c>
      <c r="D12" s="71">
        <v>64.0</v>
      </c>
      <c r="E12" s="71"/>
      <c r="F12" s="71"/>
      <c r="G12" s="71">
        <v>1.0669504E7</v>
      </c>
      <c r="H12" s="71">
        <v>3797504.0</v>
      </c>
      <c r="I12" s="71">
        <v>8148209.0</v>
      </c>
      <c r="J12" s="71">
        <v>69.0</v>
      </c>
      <c r="K12" s="71">
        <v>464700.0</v>
      </c>
      <c r="L12" s="72"/>
      <c r="M12" s="14">
        <f t="shared" si="1"/>
        <v>22615217</v>
      </c>
      <c r="N12" s="14">
        <f t="shared" si="2"/>
        <v>48960252</v>
      </c>
      <c r="O12" s="14">
        <f t="shared" si="3"/>
        <v>411641.1719</v>
      </c>
      <c r="P12" s="14">
        <f t="shared" si="4"/>
        <v>327756.7681</v>
      </c>
      <c r="Q12" s="32" t="str">
        <f t="shared" si="5"/>
        <v/>
      </c>
      <c r="R12" s="30"/>
      <c r="S12" s="30"/>
      <c r="T12" s="30"/>
    </row>
    <row r="13" ht="21.75" customHeight="1">
      <c r="A13" s="69">
        <v>46181.0</v>
      </c>
      <c r="B13" s="70" t="s">
        <v>130</v>
      </c>
      <c r="C13" s="71">
        <v>3.6505043E7</v>
      </c>
      <c r="D13" s="71">
        <v>74.0</v>
      </c>
      <c r="E13" s="71"/>
      <c r="F13" s="71"/>
      <c r="G13" s="71">
        <v>7431253.0</v>
      </c>
      <c r="H13" s="71">
        <v>4895998.0</v>
      </c>
      <c r="I13" s="71">
        <v>4809502.0</v>
      </c>
      <c r="J13" s="71">
        <v>40.0</v>
      </c>
      <c r="K13" s="71">
        <v>500001.0</v>
      </c>
      <c r="L13" s="72"/>
      <c r="M13" s="14">
        <f t="shared" si="1"/>
        <v>17136753</v>
      </c>
      <c r="N13" s="14">
        <f t="shared" si="2"/>
        <v>53641796</v>
      </c>
      <c r="O13" s="14">
        <f t="shared" si="3"/>
        <v>493311.3919</v>
      </c>
      <c r="P13" s="14">
        <f t="shared" si="4"/>
        <v>428418.825</v>
      </c>
      <c r="Q13" s="32" t="str">
        <f t="shared" si="5"/>
        <v/>
      </c>
      <c r="R13" s="30"/>
      <c r="S13" s="30"/>
      <c r="T13" s="30"/>
    </row>
    <row r="14" ht="21.75" customHeight="1">
      <c r="A14" s="69">
        <v>46182.0</v>
      </c>
      <c r="B14" s="70" t="s">
        <v>131</v>
      </c>
      <c r="C14" s="71">
        <v>3.1831101E7</v>
      </c>
      <c r="D14" s="71">
        <v>76.0</v>
      </c>
      <c r="E14" s="71"/>
      <c r="F14" s="71"/>
      <c r="G14" s="71">
        <v>5889398.0</v>
      </c>
      <c r="H14" s="71">
        <v>3027007.0</v>
      </c>
      <c r="I14" s="71">
        <v>2752999.0</v>
      </c>
      <c r="J14" s="71">
        <v>41.0</v>
      </c>
      <c r="K14" s="71">
        <v>3360458.0</v>
      </c>
      <c r="L14" s="72"/>
      <c r="M14" s="14">
        <f t="shared" si="1"/>
        <v>11669404</v>
      </c>
      <c r="N14" s="14">
        <f t="shared" si="2"/>
        <v>43500505</v>
      </c>
      <c r="O14" s="14">
        <f t="shared" si="3"/>
        <v>418830.2763</v>
      </c>
      <c r="P14" s="14">
        <f t="shared" si="4"/>
        <v>284619.6098</v>
      </c>
      <c r="Q14" s="32" t="str">
        <f t="shared" si="5"/>
        <v/>
      </c>
      <c r="R14" s="30"/>
      <c r="S14" s="30"/>
      <c r="T14" s="30"/>
    </row>
    <row r="15" ht="21.75" customHeight="1">
      <c r="A15" s="69">
        <v>46183.0</v>
      </c>
      <c r="B15" s="70" t="s">
        <v>132</v>
      </c>
      <c r="C15" s="71">
        <v>3.2966537E7</v>
      </c>
      <c r="D15" s="71">
        <v>76.0</v>
      </c>
      <c r="E15" s="71"/>
      <c r="F15" s="71"/>
      <c r="G15" s="71">
        <v>6083001.0</v>
      </c>
      <c r="H15" s="71">
        <v>6386501.0</v>
      </c>
      <c r="I15" s="71">
        <v>3655000.0</v>
      </c>
      <c r="J15" s="71">
        <v>54.0</v>
      </c>
      <c r="K15" s="71"/>
      <c r="L15" s="72"/>
      <c r="M15" s="14">
        <f t="shared" si="1"/>
        <v>16124502</v>
      </c>
      <c r="N15" s="14">
        <f t="shared" si="2"/>
        <v>49091039</v>
      </c>
      <c r="O15" s="14">
        <f t="shared" si="3"/>
        <v>433770.2237</v>
      </c>
      <c r="P15" s="14">
        <f t="shared" si="4"/>
        <v>298601.8889</v>
      </c>
      <c r="Q15" s="32" t="str">
        <f t="shared" si="5"/>
        <v/>
      </c>
      <c r="R15" s="30"/>
      <c r="S15" s="30"/>
      <c r="T15" s="30"/>
    </row>
    <row r="16" ht="21.75" customHeight="1">
      <c r="A16" s="69">
        <v>46184.0</v>
      </c>
      <c r="B16" s="70" t="s">
        <v>133</v>
      </c>
      <c r="C16" s="71">
        <v>3.8207669E7</v>
      </c>
      <c r="D16" s="71">
        <v>90.0</v>
      </c>
      <c r="E16" s="71"/>
      <c r="F16" s="71"/>
      <c r="G16" s="71">
        <v>4152001.0</v>
      </c>
      <c r="H16" s="71">
        <v>7009501.0</v>
      </c>
      <c r="I16" s="71">
        <v>4139000.0</v>
      </c>
      <c r="J16" s="71">
        <v>41.0</v>
      </c>
      <c r="K16" s="71"/>
      <c r="L16" s="72"/>
      <c r="M16" s="14">
        <f t="shared" si="1"/>
        <v>15300502</v>
      </c>
      <c r="N16" s="14">
        <f t="shared" si="2"/>
        <v>53508171</v>
      </c>
      <c r="O16" s="14">
        <f t="shared" si="3"/>
        <v>424529.6556</v>
      </c>
      <c r="P16" s="14">
        <f t="shared" si="4"/>
        <v>373182.9756</v>
      </c>
      <c r="Q16" s="32" t="str">
        <f t="shared" si="5"/>
        <v/>
      </c>
      <c r="R16" s="30"/>
      <c r="S16" s="30"/>
      <c r="T16" s="30"/>
    </row>
    <row r="17" ht="21.75" customHeight="1">
      <c r="A17" s="69">
        <v>46185.0</v>
      </c>
      <c r="B17" s="70" t="s">
        <v>134</v>
      </c>
      <c r="C17" s="71">
        <v>3.7803177E7</v>
      </c>
      <c r="D17" s="71">
        <v>88.0</v>
      </c>
      <c r="E17" s="71"/>
      <c r="F17" s="71"/>
      <c r="G17" s="71">
        <v>1.2255008E7</v>
      </c>
      <c r="H17" s="71">
        <v>2257002.0</v>
      </c>
      <c r="I17" s="71">
        <v>4691505.0</v>
      </c>
      <c r="J17" s="71">
        <v>67.0</v>
      </c>
      <c r="K17" s="71"/>
      <c r="L17" s="72"/>
      <c r="M17" s="14">
        <f t="shared" si="1"/>
        <v>19203515</v>
      </c>
      <c r="N17" s="14">
        <f t="shared" si="2"/>
        <v>57006692</v>
      </c>
      <c r="O17" s="14">
        <f t="shared" si="3"/>
        <v>429581.5568</v>
      </c>
      <c r="P17" s="14">
        <f t="shared" si="4"/>
        <v>286619.6269</v>
      </c>
      <c r="Q17" s="32" t="str">
        <f t="shared" si="5"/>
        <v/>
      </c>
      <c r="R17" s="30"/>
      <c r="S17" s="30"/>
      <c r="T17" s="30"/>
    </row>
    <row r="18" ht="21.75" customHeight="1">
      <c r="A18" s="73">
        <v>46186.0</v>
      </c>
      <c r="B18" s="74" t="s">
        <v>135</v>
      </c>
      <c r="C18" s="71">
        <v>3.1450293E7</v>
      </c>
      <c r="D18" s="71">
        <v>82.0</v>
      </c>
      <c r="E18" s="71"/>
      <c r="F18" s="71"/>
      <c r="G18" s="71">
        <v>1.1609504E7</v>
      </c>
      <c r="H18" s="71">
        <v>7201257.0</v>
      </c>
      <c r="I18" s="71">
        <v>6032008.0</v>
      </c>
      <c r="J18" s="71">
        <v>92.0</v>
      </c>
      <c r="K18" s="71">
        <v>447224.0</v>
      </c>
      <c r="L18" s="72"/>
      <c r="M18" s="14">
        <f t="shared" si="1"/>
        <v>24842769</v>
      </c>
      <c r="N18" s="14">
        <f t="shared" si="2"/>
        <v>56293062</v>
      </c>
      <c r="O18" s="14">
        <f t="shared" si="3"/>
        <v>383540.1585</v>
      </c>
      <c r="P18" s="14">
        <f t="shared" si="4"/>
        <v>270030.0978</v>
      </c>
      <c r="Q18" s="32" t="str">
        <f t="shared" si="5"/>
        <v/>
      </c>
      <c r="R18" s="30"/>
      <c r="S18" s="30"/>
      <c r="T18" s="30"/>
    </row>
    <row r="19" ht="21.75" customHeight="1">
      <c r="A19" s="73">
        <v>46187.0</v>
      </c>
      <c r="B19" s="74" t="s">
        <v>136</v>
      </c>
      <c r="C19" s="71">
        <v>2.7933793E7</v>
      </c>
      <c r="D19" s="71">
        <v>63.0</v>
      </c>
      <c r="E19" s="71"/>
      <c r="F19" s="71"/>
      <c r="G19" s="71">
        <v>1.3214251E7</v>
      </c>
      <c r="H19" s="71">
        <v>5159002.0</v>
      </c>
      <c r="I19" s="71">
        <v>3771999.0</v>
      </c>
      <c r="J19" s="71">
        <v>62.0</v>
      </c>
      <c r="K19" s="71">
        <v>1825095.0</v>
      </c>
      <c r="L19" s="72"/>
      <c r="M19" s="14">
        <f t="shared" si="1"/>
        <v>22145252</v>
      </c>
      <c r="N19" s="14">
        <f t="shared" si="2"/>
        <v>50079045</v>
      </c>
      <c r="O19" s="14">
        <f t="shared" si="3"/>
        <v>443393.5397</v>
      </c>
      <c r="P19" s="14">
        <f t="shared" si="4"/>
        <v>357181.4839</v>
      </c>
      <c r="Q19" s="32" t="str">
        <f t="shared" si="5"/>
        <v/>
      </c>
      <c r="R19" s="30"/>
      <c r="S19" s="30"/>
      <c r="T19" s="30"/>
    </row>
    <row r="20" ht="21.75" customHeight="1">
      <c r="A20" s="69">
        <v>46188.0</v>
      </c>
      <c r="B20" s="70" t="s">
        <v>130</v>
      </c>
      <c r="C20" s="71">
        <v>4.2226288E7</v>
      </c>
      <c r="D20" s="71">
        <v>104.0</v>
      </c>
      <c r="E20" s="71"/>
      <c r="F20" s="71"/>
      <c r="G20" s="71">
        <v>6775752.0</v>
      </c>
      <c r="H20" s="71">
        <v>5266005.0</v>
      </c>
      <c r="I20" s="71">
        <v>2257998.0</v>
      </c>
      <c r="J20" s="71">
        <v>36.0</v>
      </c>
      <c r="K20" s="71">
        <v>1428800.0</v>
      </c>
      <c r="L20" s="72"/>
      <c r="M20" s="14">
        <f t="shared" si="1"/>
        <v>14299755</v>
      </c>
      <c r="N20" s="14">
        <f t="shared" si="2"/>
        <v>56526043</v>
      </c>
      <c r="O20" s="14">
        <f t="shared" si="3"/>
        <v>406022</v>
      </c>
      <c r="P20" s="14">
        <f t="shared" si="4"/>
        <v>397215.4167</v>
      </c>
      <c r="Q20" s="32" t="str">
        <f t="shared" si="5"/>
        <v/>
      </c>
      <c r="R20" s="30"/>
      <c r="S20" s="30"/>
      <c r="T20" s="30"/>
    </row>
    <row r="21" ht="21.75" customHeight="1">
      <c r="A21" s="69">
        <v>46189.0</v>
      </c>
      <c r="B21" s="70" t="s">
        <v>131</v>
      </c>
      <c r="C21" s="71">
        <v>4.4253287E7</v>
      </c>
      <c r="D21" s="71">
        <v>108.0</v>
      </c>
      <c r="E21" s="71"/>
      <c r="F21" s="71"/>
      <c r="G21" s="71">
        <v>8849502.0</v>
      </c>
      <c r="H21" s="71">
        <v>2767502.0</v>
      </c>
      <c r="I21" s="71">
        <v>5842000.0</v>
      </c>
      <c r="J21" s="71">
        <v>55.0</v>
      </c>
      <c r="K21" s="71"/>
      <c r="L21" s="72"/>
      <c r="M21" s="14">
        <f t="shared" si="1"/>
        <v>17459004</v>
      </c>
      <c r="N21" s="14">
        <f t="shared" si="2"/>
        <v>61712291</v>
      </c>
      <c r="O21" s="14">
        <f t="shared" si="3"/>
        <v>409752.6574</v>
      </c>
      <c r="P21" s="14">
        <f t="shared" si="4"/>
        <v>317436.4364</v>
      </c>
      <c r="Q21" s="32" t="str">
        <f t="shared" si="5"/>
        <v/>
      </c>
      <c r="R21" s="30"/>
      <c r="S21" s="30"/>
      <c r="T21" s="30"/>
    </row>
    <row r="22" ht="21.75" customHeight="1">
      <c r="A22" s="69">
        <v>46190.0</v>
      </c>
      <c r="B22" s="70" t="s">
        <v>132</v>
      </c>
      <c r="C22" s="71">
        <v>4.3337858E7</v>
      </c>
      <c r="D22" s="71">
        <v>99.0</v>
      </c>
      <c r="E22" s="71"/>
      <c r="F22" s="71"/>
      <c r="G22" s="71">
        <v>7212002.0</v>
      </c>
      <c r="H22" s="71">
        <v>3183999.0</v>
      </c>
      <c r="I22" s="71">
        <v>2986701.0</v>
      </c>
      <c r="J22" s="71">
        <v>51.0</v>
      </c>
      <c r="K22" s="71">
        <v>981100.0</v>
      </c>
      <c r="L22" s="72"/>
      <c r="M22" s="14">
        <f t="shared" si="1"/>
        <v>13382702</v>
      </c>
      <c r="N22" s="14">
        <f t="shared" si="2"/>
        <v>56720560</v>
      </c>
      <c r="O22" s="14">
        <f t="shared" si="3"/>
        <v>437756.1414</v>
      </c>
      <c r="P22" s="14">
        <f t="shared" si="4"/>
        <v>262405.9216</v>
      </c>
      <c r="Q22" s="32" t="str">
        <f t="shared" si="5"/>
        <v/>
      </c>
      <c r="R22" s="30"/>
      <c r="S22" s="30"/>
      <c r="T22" s="30"/>
    </row>
    <row r="23" ht="21.75" customHeight="1">
      <c r="A23" s="69">
        <v>46191.0</v>
      </c>
      <c r="B23" s="70" t="s">
        <v>133</v>
      </c>
      <c r="C23" s="71">
        <v>4.9976088E7</v>
      </c>
      <c r="D23" s="71">
        <v>114.0</v>
      </c>
      <c r="E23" s="71"/>
      <c r="F23" s="71"/>
      <c r="G23" s="71">
        <v>6905755.0</v>
      </c>
      <c r="H23" s="71">
        <v>7427503.0</v>
      </c>
      <c r="I23" s="71">
        <v>3341500.0</v>
      </c>
      <c r="J23" s="71">
        <v>51.0</v>
      </c>
      <c r="K23" s="71"/>
      <c r="L23" s="72"/>
      <c r="M23" s="14">
        <f t="shared" si="1"/>
        <v>17674758</v>
      </c>
      <c r="N23" s="14">
        <f t="shared" si="2"/>
        <v>67650846</v>
      </c>
      <c r="O23" s="14">
        <f t="shared" si="3"/>
        <v>438386.7368</v>
      </c>
      <c r="P23" s="14">
        <f t="shared" si="4"/>
        <v>346563.8824</v>
      </c>
      <c r="Q23" s="32" t="str">
        <f t="shared" si="5"/>
        <v/>
      </c>
      <c r="R23" s="30"/>
      <c r="S23" s="30"/>
      <c r="T23" s="30"/>
    </row>
    <row r="24" ht="21.75" customHeight="1">
      <c r="A24" s="69">
        <v>46192.0</v>
      </c>
      <c r="B24" s="70" t="s">
        <v>134</v>
      </c>
      <c r="C24" s="71">
        <v>4.5923314E7</v>
      </c>
      <c r="D24" s="71">
        <v>102.0</v>
      </c>
      <c r="E24" s="71"/>
      <c r="F24" s="71"/>
      <c r="G24" s="71">
        <v>1.0739751E7</v>
      </c>
      <c r="H24" s="71">
        <v>4609999.0</v>
      </c>
      <c r="I24" s="71">
        <v>5580499.0</v>
      </c>
      <c r="J24" s="71">
        <v>66.0</v>
      </c>
      <c r="K24" s="71">
        <v>3504865.0</v>
      </c>
      <c r="L24" s="72"/>
      <c r="M24" s="14">
        <f t="shared" si="1"/>
        <v>20930249</v>
      </c>
      <c r="N24" s="14">
        <f t="shared" si="2"/>
        <v>66853563</v>
      </c>
      <c r="O24" s="14">
        <f t="shared" si="3"/>
        <v>450228.5686</v>
      </c>
      <c r="P24" s="14">
        <f t="shared" si="4"/>
        <v>317124.9848</v>
      </c>
      <c r="Q24" s="32" t="str">
        <f t="shared" si="5"/>
        <v/>
      </c>
      <c r="R24" s="30"/>
      <c r="S24" s="30"/>
      <c r="T24" s="30"/>
    </row>
    <row r="25" ht="21.75" customHeight="1">
      <c r="A25" s="73">
        <v>46193.0</v>
      </c>
      <c r="B25" s="74" t="s">
        <v>135</v>
      </c>
      <c r="C25" s="71">
        <v>3.4642065E7</v>
      </c>
      <c r="D25" s="71">
        <v>78.0</v>
      </c>
      <c r="E25" s="71"/>
      <c r="F25" s="71"/>
      <c r="G25" s="71">
        <v>9315759.0</v>
      </c>
      <c r="H25" s="71">
        <v>2474498.0</v>
      </c>
      <c r="I25" s="71">
        <v>4029501.0</v>
      </c>
      <c r="J25" s="71">
        <v>60.0</v>
      </c>
      <c r="K25" s="71">
        <v>502400.0</v>
      </c>
      <c r="L25" s="72"/>
      <c r="M25" s="14">
        <f t="shared" si="1"/>
        <v>15819758</v>
      </c>
      <c r="N25" s="14">
        <f t="shared" si="2"/>
        <v>50461823</v>
      </c>
      <c r="O25" s="14">
        <f t="shared" si="3"/>
        <v>444129.0385</v>
      </c>
      <c r="P25" s="14">
        <f t="shared" si="4"/>
        <v>263662.6333</v>
      </c>
      <c r="Q25" s="32" t="str">
        <f t="shared" si="5"/>
        <v/>
      </c>
      <c r="R25" s="30"/>
      <c r="S25" s="30"/>
      <c r="T25" s="30"/>
    </row>
    <row r="26" ht="21.75" customHeight="1">
      <c r="A26" s="73">
        <v>46194.0</v>
      </c>
      <c r="B26" s="74" t="s">
        <v>136</v>
      </c>
      <c r="C26" s="71">
        <v>3.4371552E7</v>
      </c>
      <c r="D26" s="71">
        <v>63.0</v>
      </c>
      <c r="E26" s="71"/>
      <c r="F26" s="71"/>
      <c r="G26" s="71">
        <v>5265011.0</v>
      </c>
      <c r="H26" s="71">
        <v>3444004.0</v>
      </c>
      <c r="I26" s="71">
        <v>4734516.0</v>
      </c>
      <c r="J26" s="71">
        <v>59.0</v>
      </c>
      <c r="K26" s="71">
        <v>1964800.0</v>
      </c>
      <c r="L26" s="72"/>
      <c r="M26" s="14">
        <f t="shared" si="1"/>
        <v>13443531</v>
      </c>
      <c r="N26" s="14">
        <f t="shared" si="2"/>
        <v>47815083</v>
      </c>
      <c r="O26" s="14">
        <f t="shared" si="3"/>
        <v>545580.1905</v>
      </c>
      <c r="P26" s="14">
        <f t="shared" si="4"/>
        <v>227856.4576</v>
      </c>
      <c r="Q26" s="32" t="str">
        <f t="shared" si="5"/>
        <v/>
      </c>
      <c r="R26" s="30"/>
      <c r="S26" s="30"/>
      <c r="T26" s="30"/>
    </row>
    <row r="27" ht="21.75" customHeight="1">
      <c r="A27" s="69">
        <v>46195.0</v>
      </c>
      <c r="B27" s="70" t="s">
        <v>130</v>
      </c>
      <c r="C27" s="71"/>
      <c r="D27" s="71"/>
      <c r="E27" s="71"/>
      <c r="F27" s="71"/>
      <c r="G27" s="71"/>
      <c r="H27" s="71"/>
      <c r="I27" s="71"/>
      <c r="J27" s="71"/>
      <c r="K27" s="71"/>
      <c r="L27" s="72"/>
      <c r="M27" s="14" t="str">
        <f t="shared" si="1"/>
        <v/>
      </c>
      <c r="N27" s="14" t="str">
        <f t="shared" si="2"/>
        <v/>
      </c>
      <c r="O27" s="14" t="str">
        <f t="shared" si="3"/>
        <v/>
      </c>
      <c r="P27" s="14" t="str">
        <f t="shared" si="4"/>
        <v/>
      </c>
      <c r="Q27" s="32" t="str">
        <f t="shared" si="5"/>
        <v/>
      </c>
      <c r="R27" s="30"/>
      <c r="S27" s="30"/>
      <c r="T27" s="30"/>
    </row>
    <row r="28" ht="21.75" customHeight="1">
      <c r="A28" s="69">
        <v>46196.0</v>
      </c>
      <c r="B28" s="70" t="s">
        <v>131</v>
      </c>
      <c r="C28" s="71"/>
      <c r="D28" s="71"/>
      <c r="E28" s="71"/>
      <c r="F28" s="71"/>
      <c r="G28" s="71"/>
      <c r="H28" s="71"/>
      <c r="I28" s="71"/>
      <c r="J28" s="71"/>
      <c r="K28" s="71"/>
      <c r="L28" s="72"/>
      <c r="M28" s="14" t="str">
        <f t="shared" si="1"/>
        <v/>
      </c>
      <c r="N28" s="14" t="str">
        <f t="shared" si="2"/>
        <v/>
      </c>
      <c r="O28" s="14" t="str">
        <f t="shared" si="3"/>
        <v/>
      </c>
      <c r="P28" s="14" t="str">
        <f t="shared" si="4"/>
        <v/>
      </c>
      <c r="Q28" s="32" t="str">
        <f t="shared" si="5"/>
        <v/>
      </c>
      <c r="R28" s="30"/>
      <c r="S28" s="30"/>
      <c r="T28" s="30"/>
    </row>
    <row r="29" ht="21.75" customHeight="1">
      <c r="A29" s="69">
        <v>46197.0</v>
      </c>
      <c r="B29" s="70" t="s">
        <v>132</v>
      </c>
      <c r="C29" s="71"/>
      <c r="D29" s="71"/>
      <c r="E29" s="71"/>
      <c r="F29" s="71"/>
      <c r="G29" s="71"/>
      <c r="H29" s="71"/>
      <c r="I29" s="71"/>
      <c r="J29" s="71"/>
      <c r="K29" s="71"/>
      <c r="L29" s="72"/>
      <c r="M29" s="14" t="str">
        <f t="shared" si="1"/>
        <v/>
      </c>
      <c r="N29" s="14" t="str">
        <f t="shared" si="2"/>
        <v/>
      </c>
      <c r="O29" s="14" t="str">
        <f t="shared" si="3"/>
        <v/>
      </c>
      <c r="P29" s="14" t="str">
        <f t="shared" si="4"/>
        <v/>
      </c>
      <c r="Q29" s="32" t="str">
        <f t="shared" si="5"/>
        <v/>
      </c>
      <c r="R29" s="30"/>
      <c r="S29" s="30"/>
      <c r="T29" s="30"/>
    </row>
    <row r="30" ht="21.75" customHeight="1">
      <c r="A30" s="69">
        <v>46198.0</v>
      </c>
      <c r="B30" s="70" t="s">
        <v>133</v>
      </c>
      <c r="C30" s="71"/>
      <c r="D30" s="71"/>
      <c r="E30" s="71"/>
      <c r="F30" s="71"/>
      <c r="G30" s="71"/>
      <c r="H30" s="71"/>
      <c r="I30" s="71"/>
      <c r="J30" s="71"/>
      <c r="K30" s="71"/>
      <c r="L30" s="72"/>
      <c r="M30" s="14" t="str">
        <f t="shared" si="1"/>
        <v/>
      </c>
      <c r="N30" s="14" t="str">
        <f t="shared" si="2"/>
        <v/>
      </c>
      <c r="O30" s="14" t="str">
        <f t="shared" si="3"/>
        <v/>
      </c>
      <c r="P30" s="14" t="str">
        <f t="shared" si="4"/>
        <v/>
      </c>
      <c r="Q30" s="32" t="str">
        <f t="shared" si="5"/>
        <v/>
      </c>
      <c r="R30" s="30"/>
      <c r="S30" s="30"/>
      <c r="T30" s="30"/>
    </row>
    <row r="31" ht="21.75" customHeight="1">
      <c r="A31" s="69">
        <v>46199.0</v>
      </c>
      <c r="B31" s="70" t="s">
        <v>134</v>
      </c>
      <c r="C31" s="71"/>
      <c r="D31" s="71"/>
      <c r="E31" s="71"/>
      <c r="F31" s="71"/>
      <c r="G31" s="71"/>
      <c r="H31" s="71"/>
      <c r="I31" s="71"/>
      <c r="J31" s="71"/>
      <c r="K31" s="71"/>
      <c r="L31" s="72"/>
      <c r="M31" s="14" t="str">
        <f t="shared" si="1"/>
        <v/>
      </c>
      <c r="N31" s="14" t="str">
        <f t="shared" si="2"/>
        <v/>
      </c>
      <c r="O31" s="14" t="str">
        <f t="shared" si="3"/>
        <v/>
      </c>
      <c r="P31" s="14" t="str">
        <f t="shared" si="4"/>
        <v/>
      </c>
      <c r="Q31" s="32" t="str">
        <f t="shared" si="5"/>
        <v/>
      </c>
      <c r="R31" s="30"/>
      <c r="S31" s="30"/>
      <c r="T31" s="30"/>
    </row>
    <row r="32" ht="21.75" customHeight="1">
      <c r="A32" s="73">
        <v>46200.0</v>
      </c>
      <c r="B32" s="74" t="s">
        <v>135</v>
      </c>
      <c r="C32" s="71"/>
      <c r="D32" s="71"/>
      <c r="E32" s="71"/>
      <c r="F32" s="71"/>
      <c r="G32" s="71"/>
      <c r="H32" s="71"/>
      <c r="I32" s="71"/>
      <c r="J32" s="71"/>
      <c r="K32" s="71"/>
      <c r="L32" s="72"/>
      <c r="M32" s="14" t="str">
        <f t="shared" si="1"/>
        <v/>
      </c>
      <c r="N32" s="14" t="str">
        <f t="shared" si="2"/>
        <v/>
      </c>
      <c r="O32" s="14" t="str">
        <f t="shared" si="3"/>
        <v/>
      </c>
      <c r="P32" s="14" t="str">
        <f t="shared" si="4"/>
        <v/>
      </c>
      <c r="Q32" s="32" t="str">
        <f t="shared" si="5"/>
        <v/>
      </c>
      <c r="R32" s="30"/>
      <c r="S32" s="30"/>
      <c r="T32" s="30"/>
    </row>
    <row r="33" ht="21.75" customHeight="1">
      <c r="A33" s="73">
        <v>46201.0</v>
      </c>
      <c r="B33" s="74" t="s">
        <v>136</v>
      </c>
      <c r="C33" s="71"/>
      <c r="D33" s="71"/>
      <c r="E33" s="71"/>
      <c r="F33" s="71"/>
      <c r="G33" s="71"/>
      <c r="H33" s="71"/>
      <c r="I33" s="71"/>
      <c r="J33" s="71"/>
      <c r="K33" s="71"/>
      <c r="L33" s="72"/>
      <c r="M33" s="14" t="str">
        <f t="shared" si="1"/>
        <v/>
      </c>
      <c r="N33" s="14" t="str">
        <f t="shared" si="2"/>
        <v/>
      </c>
      <c r="O33" s="14" t="str">
        <f t="shared" si="3"/>
        <v/>
      </c>
      <c r="P33" s="14" t="str">
        <f t="shared" si="4"/>
        <v/>
      </c>
      <c r="Q33" s="32" t="str">
        <f t="shared" si="5"/>
        <v/>
      </c>
      <c r="R33" s="30"/>
      <c r="S33" s="30"/>
      <c r="T33" s="30"/>
    </row>
    <row r="34" ht="21.75" customHeight="1">
      <c r="A34" s="69">
        <v>46202.0</v>
      </c>
      <c r="B34" s="70" t="s">
        <v>130</v>
      </c>
      <c r="C34" s="71"/>
      <c r="D34" s="71"/>
      <c r="E34" s="71"/>
      <c r="F34" s="71"/>
      <c r="G34" s="71"/>
      <c r="H34" s="71"/>
      <c r="I34" s="71"/>
      <c r="J34" s="71"/>
      <c r="K34" s="71"/>
      <c r="L34" s="72"/>
      <c r="M34" s="14" t="str">
        <f t="shared" si="1"/>
        <v/>
      </c>
      <c r="N34" s="14" t="str">
        <f t="shared" si="2"/>
        <v/>
      </c>
      <c r="O34" s="14" t="str">
        <f t="shared" si="3"/>
        <v/>
      </c>
      <c r="P34" s="14" t="str">
        <f t="shared" si="4"/>
        <v/>
      </c>
      <c r="Q34" s="32" t="str">
        <f t="shared" si="5"/>
        <v/>
      </c>
      <c r="R34" s="30"/>
      <c r="S34" s="30"/>
      <c r="T34" s="30"/>
    </row>
    <row r="35" ht="21.75" customHeight="1">
      <c r="A35" s="69">
        <v>46203.0</v>
      </c>
      <c r="B35" s="70" t="s">
        <v>131</v>
      </c>
      <c r="C35" s="71"/>
      <c r="D35" s="71"/>
      <c r="E35" s="71"/>
      <c r="F35" s="71"/>
      <c r="G35" s="71"/>
      <c r="H35" s="71"/>
      <c r="I35" s="71"/>
      <c r="J35" s="71"/>
      <c r="K35" s="71"/>
      <c r="L35" s="72"/>
      <c r="M35" s="14" t="str">
        <f t="shared" si="1"/>
        <v/>
      </c>
      <c r="N35" s="14" t="str">
        <f t="shared" si="2"/>
        <v/>
      </c>
      <c r="O35" s="14" t="str">
        <f t="shared" si="3"/>
        <v/>
      </c>
      <c r="P35" s="14" t="str">
        <f t="shared" si="4"/>
        <v/>
      </c>
      <c r="Q35" s="32" t="str">
        <f t="shared" si="5"/>
        <v/>
      </c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9">
    <mergeCell ref="A3:B3"/>
    <mergeCell ref="A5:B5"/>
    <mergeCell ref="A1:Q1"/>
    <mergeCell ref="A2:Q2"/>
    <mergeCell ref="C3:D3"/>
    <mergeCell ref="E3:F3"/>
    <mergeCell ref="G3:J3"/>
    <mergeCell ref="M3:N3"/>
    <mergeCell ref="O3:P3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19.0"/>
    <col customWidth="1" min="4" max="4" width="12.0"/>
    <col customWidth="1" min="5" max="6" width="18.0"/>
    <col customWidth="1" min="7" max="7" width="12.0"/>
    <col customWidth="1" min="8" max="9" width="19.0"/>
    <col customWidth="1" min="10" max="11" width="17.0"/>
    <col customWidth="1" min="12" max="12" width="24.0"/>
    <col customWidth="1" min="13" max="26" width="14.0"/>
  </cols>
  <sheetData>
    <row r="1" ht="33.0" customHeight="1">
      <c r="A1" s="46" t="s">
        <v>137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0"/>
      <c r="N1" s="30"/>
      <c r="O1" s="30"/>
      <c r="P1" s="30"/>
      <c r="Q1" s="30"/>
      <c r="R1" s="30"/>
      <c r="S1" s="30"/>
      <c r="T1" s="30"/>
    </row>
    <row r="2" ht="18.75" customHeight="1">
      <c r="A2" s="4" t="s">
        <v>138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0"/>
      <c r="N2" s="30"/>
      <c r="O2" s="30"/>
      <c r="P2" s="30"/>
      <c r="Q2" s="30"/>
      <c r="R2" s="30"/>
      <c r="S2" s="30"/>
      <c r="T2" s="30"/>
    </row>
    <row r="3" ht="36.0" customHeight="1">
      <c r="A3" s="56" t="s">
        <v>139</v>
      </c>
      <c r="B3" s="56" t="s">
        <v>112</v>
      </c>
      <c r="C3" s="56" t="s">
        <v>114</v>
      </c>
      <c r="D3" s="56" t="s">
        <v>115</v>
      </c>
      <c r="E3" s="56" t="s">
        <v>140</v>
      </c>
      <c r="F3" s="57" t="s">
        <v>117</v>
      </c>
      <c r="G3" s="57" t="s">
        <v>141</v>
      </c>
      <c r="H3" s="58" t="s">
        <v>142</v>
      </c>
      <c r="I3" s="61" t="s">
        <v>143</v>
      </c>
      <c r="J3" s="61" t="s">
        <v>144</v>
      </c>
      <c r="K3" s="61" t="s">
        <v>145</v>
      </c>
      <c r="L3" s="60" t="s">
        <v>123</v>
      </c>
      <c r="M3" s="30"/>
      <c r="N3" s="30"/>
      <c r="O3" s="30"/>
      <c r="P3" s="30"/>
      <c r="Q3" s="30"/>
      <c r="R3" s="30"/>
      <c r="S3" s="30"/>
      <c r="T3" s="30"/>
    </row>
    <row r="4" ht="24.0" customHeight="1">
      <c r="A4" s="75" t="s">
        <v>146</v>
      </c>
      <c r="B4" s="76" t="s">
        <v>147</v>
      </c>
      <c r="C4" s="77">
        <v>2.43097511E8</v>
      </c>
      <c r="D4" s="77">
        <v>551.0</v>
      </c>
      <c r="E4" s="77">
        <v>441193.0</v>
      </c>
      <c r="F4" s="78"/>
      <c r="G4" s="79"/>
      <c r="H4" s="80">
        <v>1.26258972E8</v>
      </c>
      <c r="I4" s="81">
        <v>3.69356483E8</v>
      </c>
      <c r="J4" s="82">
        <v>0.1991</v>
      </c>
      <c r="K4" s="82">
        <v>0.1926</v>
      </c>
      <c r="L4" s="83"/>
      <c r="M4" s="30"/>
      <c r="N4" s="30"/>
      <c r="O4" s="30"/>
      <c r="P4" s="30"/>
      <c r="Q4" s="30"/>
      <c r="R4" s="30"/>
      <c r="S4" s="30"/>
      <c r="T4" s="30"/>
    </row>
    <row r="5" ht="24.0" customHeight="1">
      <c r="A5" s="84" t="s">
        <v>148</v>
      </c>
      <c r="B5" s="85" t="s">
        <v>149</v>
      </c>
      <c r="C5" s="77">
        <v>2.36697613E8</v>
      </c>
      <c r="D5" s="77">
        <v>549.0</v>
      </c>
      <c r="E5" s="77">
        <v>431143.0</v>
      </c>
      <c r="F5" s="78"/>
      <c r="G5" s="79"/>
      <c r="H5" s="80">
        <v>1.26422697E8</v>
      </c>
      <c r="I5" s="81">
        <v>3.6312031E8</v>
      </c>
      <c r="J5" s="82">
        <v>0.3929</v>
      </c>
      <c r="K5" s="82">
        <v>0.3855</v>
      </c>
      <c r="L5" s="83"/>
      <c r="M5" s="30"/>
      <c r="N5" s="30"/>
      <c r="O5" s="30"/>
      <c r="P5" s="30"/>
      <c r="Q5" s="30"/>
      <c r="R5" s="30"/>
      <c r="S5" s="30"/>
      <c r="T5" s="30"/>
    </row>
    <row r="6" ht="24.0" customHeight="1">
      <c r="A6" s="86" t="s">
        <v>150</v>
      </c>
      <c r="B6" s="87" t="s">
        <v>151</v>
      </c>
      <c r="C6" s="77">
        <v>2.94730452E8</v>
      </c>
      <c r="D6" s="77">
        <v>668.0</v>
      </c>
      <c r="E6" s="77">
        <v>441213.0</v>
      </c>
      <c r="F6" s="78"/>
      <c r="G6" s="79"/>
      <c r="H6" s="80">
        <v>1.13009757E8</v>
      </c>
      <c r="I6" s="81">
        <v>4.07740209E8</v>
      </c>
      <c r="J6" s="82">
        <v>0.6343</v>
      </c>
      <c r="K6" s="82">
        <v>0.5579</v>
      </c>
      <c r="L6" s="83"/>
      <c r="M6" s="30"/>
      <c r="N6" s="30"/>
      <c r="O6" s="30"/>
      <c r="P6" s="30"/>
      <c r="Q6" s="30"/>
      <c r="R6" s="30"/>
      <c r="S6" s="30"/>
      <c r="T6" s="30"/>
    </row>
    <row r="7" ht="24.0" customHeight="1">
      <c r="A7" s="88" t="s">
        <v>152</v>
      </c>
      <c r="B7" s="89" t="s">
        <v>153</v>
      </c>
      <c r="C7" s="77"/>
      <c r="D7" s="77"/>
      <c r="E7" s="77"/>
      <c r="F7" s="78"/>
      <c r="G7" s="79"/>
      <c r="H7" s="80"/>
      <c r="I7" s="81"/>
      <c r="J7" s="82"/>
      <c r="K7" s="82"/>
      <c r="L7" s="83"/>
      <c r="M7" s="30"/>
      <c r="N7" s="30"/>
      <c r="O7" s="30"/>
      <c r="P7" s="30"/>
      <c r="Q7" s="30"/>
      <c r="R7" s="30"/>
      <c r="S7" s="30"/>
      <c r="T7" s="30"/>
    </row>
    <row r="8" ht="24.0" customHeight="1">
      <c r="A8" s="90" t="s">
        <v>154</v>
      </c>
      <c r="B8" s="91" t="s">
        <v>155</v>
      </c>
      <c r="C8" s="77"/>
      <c r="D8" s="77"/>
      <c r="E8" s="77"/>
      <c r="F8" s="78"/>
      <c r="G8" s="79"/>
      <c r="H8" s="80"/>
      <c r="I8" s="81"/>
      <c r="J8" s="82"/>
      <c r="K8" s="82"/>
      <c r="L8" s="83"/>
      <c r="M8" s="30"/>
      <c r="N8" s="30"/>
      <c r="O8" s="30"/>
      <c r="P8" s="30"/>
      <c r="Q8" s="30"/>
      <c r="R8" s="30"/>
      <c r="S8" s="30"/>
      <c r="T8" s="30"/>
    </row>
    <row r="9" ht="4.5" customHeight="1">
      <c r="A9" s="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</row>
    <row r="10" ht="18.75" customHeight="1">
      <c r="A10" s="30"/>
      <c r="B10" s="92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</row>
    <row r="11" ht="18.75" customHeight="1">
      <c r="A11" s="30"/>
      <c r="B11" s="30"/>
      <c r="C11" s="92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</row>
    <row r="12" ht="18.75" customHeight="1">
      <c r="A12" s="30"/>
      <c r="B12" s="30"/>
      <c r="C12" s="30"/>
      <c r="D12" s="92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</row>
    <row r="13" ht="18.75" customHeight="1">
      <c r="A13" s="30"/>
      <c r="B13" s="30"/>
      <c r="C13" s="30"/>
      <c r="D13" s="30"/>
      <c r="E13" s="9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4" ht="18.75" customHeight="1">
      <c r="A14" s="30"/>
      <c r="B14" s="30"/>
      <c r="C14" s="30"/>
      <c r="D14" s="30"/>
      <c r="E14" s="30"/>
      <c r="F14" s="9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</row>
    <row r="15" ht="18.75" customHeight="1">
      <c r="A15" s="30"/>
      <c r="B15" s="30"/>
      <c r="C15" s="30"/>
      <c r="D15" s="30"/>
      <c r="E15" s="30"/>
      <c r="F15" s="30"/>
      <c r="G15" s="92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ht="18.75" customHeight="1">
      <c r="A16" s="30"/>
      <c r="B16" s="30"/>
      <c r="C16" s="30"/>
      <c r="D16" s="30"/>
      <c r="E16" s="30"/>
      <c r="F16" s="30"/>
      <c r="G16" s="30"/>
      <c r="H16" s="92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</row>
    <row r="17" ht="18.75" customHeight="1">
      <c r="A17" s="30"/>
      <c r="B17" s="30"/>
      <c r="C17" s="30"/>
      <c r="D17" s="30"/>
      <c r="E17" s="30"/>
      <c r="F17" s="30"/>
      <c r="G17" s="30"/>
      <c r="H17" s="30"/>
      <c r="I17" s="9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ht="18.75" customHeight="1">
      <c r="A18" s="30"/>
      <c r="B18" s="30"/>
      <c r="C18" s="30"/>
      <c r="D18" s="30"/>
      <c r="E18" s="30"/>
      <c r="F18" s="30"/>
      <c r="G18" s="30"/>
      <c r="H18" s="30"/>
      <c r="I18" s="30"/>
      <c r="J18" s="92"/>
      <c r="K18" s="30"/>
      <c r="L18" s="30"/>
      <c r="M18" s="30"/>
      <c r="N18" s="30"/>
      <c r="O18" s="30"/>
      <c r="P18" s="30"/>
      <c r="Q18" s="30"/>
      <c r="R18" s="30"/>
      <c r="S18" s="30"/>
      <c r="T18" s="30"/>
    </row>
    <row r="19" ht="18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92"/>
      <c r="L19" s="30"/>
      <c r="M19" s="30"/>
      <c r="N19" s="30"/>
      <c r="O19" s="30"/>
      <c r="P19" s="30"/>
      <c r="Q19" s="30"/>
      <c r="R19" s="30"/>
      <c r="S19" s="30"/>
      <c r="T19" s="30"/>
    </row>
    <row r="20" ht="18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92"/>
      <c r="M20" s="30"/>
      <c r="N20" s="30"/>
      <c r="O20" s="30"/>
      <c r="P20" s="30"/>
      <c r="Q20" s="30"/>
      <c r="R20" s="30"/>
      <c r="S20" s="30"/>
      <c r="T20" s="30"/>
    </row>
    <row r="21" ht="25.5" customHeight="1">
      <c r="A21" s="93" t="s">
        <v>156</v>
      </c>
      <c r="B21" s="94" t="s">
        <v>157</v>
      </c>
      <c r="C21" s="95">
        <v>7.74525576E8</v>
      </c>
      <c r="D21" s="95">
        <v>1768.0</v>
      </c>
      <c r="E21" s="95">
        <v>438080.0</v>
      </c>
      <c r="F21" s="95">
        <v>0.0</v>
      </c>
      <c r="G21" s="96"/>
      <c r="H21" s="95">
        <v>3.65691426E8</v>
      </c>
      <c r="I21" s="95">
        <v>1.140217002E9</v>
      </c>
      <c r="J21" s="97">
        <v>0.6343</v>
      </c>
      <c r="K21" s="97">
        <v>0.5579</v>
      </c>
      <c r="L21" s="92"/>
      <c r="M21" s="30"/>
      <c r="N21" s="30"/>
      <c r="O21" s="30"/>
      <c r="P21" s="30"/>
      <c r="Q21" s="30"/>
      <c r="R21" s="30"/>
      <c r="S21" s="30"/>
      <c r="T21" s="30"/>
    </row>
    <row r="22" ht="18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ht="21.75" customHeight="1">
      <c r="A23" s="98" t="s">
        <v>158</v>
      </c>
      <c r="B23" s="3"/>
      <c r="C23" s="99">
        <v>1.221140305E9</v>
      </c>
      <c r="D23" s="64"/>
      <c r="E23" s="64"/>
      <c r="F23" s="64"/>
      <c r="G23" s="64"/>
      <c r="H23" s="100">
        <v>6.55527931E8</v>
      </c>
      <c r="I23" s="101">
        <v>1.876668236E9</v>
      </c>
      <c r="J23" s="64"/>
      <c r="K23" s="64"/>
      <c r="L23" s="64"/>
      <c r="M23" s="30"/>
      <c r="N23" s="30"/>
      <c r="O23" s="30"/>
      <c r="P23" s="30"/>
      <c r="Q23" s="30"/>
      <c r="R23" s="30"/>
      <c r="S23" s="30"/>
      <c r="T23" s="30"/>
    </row>
    <row r="24" ht="18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</row>
    <row r="25" ht="18.75" customHeight="1">
      <c r="A25" s="102" t="s">
        <v>159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3"/>
      <c r="M25" s="30"/>
      <c r="N25" s="30"/>
      <c r="O25" s="30"/>
      <c r="P25" s="30"/>
      <c r="Q25" s="30"/>
      <c r="R25" s="30"/>
      <c r="S25" s="30"/>
      <c r="T25" s="30"/>
    </row>
    <row r="26" ht="18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ht="18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ht="18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ht="18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ht="18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ht="18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ht="18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ht="18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ht="18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ht="18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4">
    <mergeCell ref="A1:L1"/>
    <mergeCell ref="A2:L2"/>
    <mergeCell ref="A23:B23"/>
    <mergeCell ref="A25:L25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5.0"/>
    <col customWidth="1" min="2" max="2" width="6.0"/>
    <col customWidth="1" min="3" max="3" width="19.0"/>
    <col customWidth="1" min="4" max="4" width="11.0"/>
    <col customWidth="1" min="5" max="5" width="15.0"/>
    <col customWidth="1" min="6" max="9" width="17.0"/>
    <col customWidth="1" min="10" max="10" width="12.0"/>
    <col customWidth="1" min="11" max="11" width="16.0"/>
    <col customWidth="1" min="12" max="12" width="27.0"/>
    <col customWidth="1" min="13" max="14" width="18.0"/>
    <col customWidth="1" min="15" max="16" width="15.0"/>
    <col customWidth="1" min="17" max="17" width="12.0"/>
    <col customWidth="1" min="18" max="26" width="14.0"/>
  </cols>
  <sheetData>
    <row r="1" ht="33.0" customHeight="1">
      <c r="A1" s="46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0"/>
      <c r="S1" s="30"/>
      <c r="T1" s="30"/>
    </row>
    <row r="2" ht="21.75" customHeight="1">
      <c r="A2" s="4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30"/>
      <c r="S2" s="30"/>
      <c r="T2" s="30"/>
    </row>
    <row r="3" ht="21.75" customHeight="1">
      <c r="A3" s="47" t="s">
        <v>104</v>
      </c>
      <c r="B3" s="3"/>
      <c r="C3" s="48" t="s">
        <v>105</v>
      </c>
      <c r="D3" s="3"/>
      <c r="E3" s="49" t="s">
        <v>106</v>
      </c>
      <c r="F3" s="3"/>
      <c r="G3" s="50" t="s">
        <v>107</v>
      </c>
      <c r="H3" s="2"/>
      <c r="I3" s="2"/>
      <c r="J3" s="3"/>
      <c r="K3" s="51" t="s">
        <v>108</v>
      </c>
      <c r="L3" s="52" t="s">
        <v>109</v>
      </c>
      <c r="M3" s="53" t="s">
        <v>110</v>
      </c>
      <c r="N3" s="3"/>
      <c r="O3" s="53" t="s">
        <v>110</v>
      </c>
      <c r="P3" s="3"/>
      <c r="Q3" s="54" t="s">
        <v>111</v>
      </c>
      <c r="R3" s="30"/>
      <c r="S3" s="30"/>
      <c r="T3" s="30"/>
    </row>
    <row r="4" ht="36.0" customHeight="1">
      <c r="A4" s="55" t="s">
        <v>112</v>
      </c>
      <c r="B4" s="55" t="s">
        <v>113</v>
      </c>
      <c r="C4" s="56" t="s">
        <v>114</v>
      </c>
      <c r="D4" s="56" t="s">
        <v>115</v>
      </c>
      <c r="E4" s="57" t="s">
        <v>116</v>
      </c>
      <c r="F4" s="57" t="s">
        <v>117</v>
      </c>
      <c r="G4" s="58" t="s">
        <v>118</v>
      </c>
      <c r="H4" s="58" t="s">
        <v>119</v>
      </c>
      <c r="I4" s="58" t="s">
        <v>120</v>
      </c>
      <c r="J4" s="58" t="s">
        <v>121</v>
      </c>
      <c r="K4" s="59" t="s">
        <v>122</v>
      </c>
      <c r="L4" s="60" t="s">
        <v>123</v>
      </c>
      <c r="M4" s="61" t="s">
        <v>124</v>
      </c>
      <c r="N4" s="61" t="s">
        <v>125</v>
      </c>
      <c r="O4" s="61" t="s">
        <v>126</v>
      </c>
      <c r="P4" s="61" t="s">
        <v>127</v>
      </c>
      <c r="Q4" s="61" t="s">
        <v>128</v>
      </c>
      <c r="R4" s="30"/>
      <c r="S4" s="30"/>
      <c r="T4" s="30"/>
    </row>
    <row r="5" ht="21.75" customHeight="1">
      <c r="A5" s="62" t="s">
        <v>129</v>
      </c>
      <c r="B5" s="3"/>
      <c r="C5" s="63">
        <v>1.277560078E9</v>
      </c>
      <c r="D5" s="64"/>
      <c r="E5" s="64"/>
      <c r="F5" s="64"/>
      <c r="G5" s="65">
        <v>3.24859728E8</v>
      </c>
      <c r="H5" s="65">
        <v>2.16573152E8</v>
      </c>
      <c r="I5" s="65">
        <v>1.80477626E8</v>
      </c>
      <c r="J5" s="64"/>
      <c r="K5" s="64"/>
      <c r="L5" s="64"/>
      <c r="M5" s="66">
        <v>7.21910506E8</v>
      </c>
      <c r="N5" s="66">
        <v>1.999470584E9</v>
      </c>
      <c r="O5" s="67">
        <v>450000.0</v>
      </c>
      <c r="P5" s="67">
        <v>330000.0</v>
      </c>
      <c r="Q5" s="68"/>
      <c r="R5" s="30"/>
      <c r="S5" s="30"/>
      <c r="T5" s="30"/>
    </row>
    <row r="6" ht="21.75" customHeight="1">
      <c r="A6" s="69">
        <v>46204.0</v>
      </c>
      <c r="B6" s="70" t="s">
        <v>132</v>
      </c>
      <c r="C6" s="71"/>
      <c r="D6" s="71"/>
      <c r="E6" s="71"/>
      <c r="F6" s="71"/>
      <c r="G6" s="71"/>
      <c r="H6" s="71"/>
      <c r="I6" s="71"/>
      <c r="J6" s="71"/>
      <c r="K6" s="71"/>
      <c r="L6" s="72"/>
      <c r="M6" s="14" t="str">
        <f t="shared" ref="M6:M36" si="1">IF(SUM(G6:I6)&gt;0,SUM(G6:I6),"")</f>
        <v/>
      </c>
      <c r="N6" s="14" t="str">
        <f t="shared" ref="N6:N36" si="2">IF(N(C6)+N(M6)&gt;0,N(C6)+N(M6),"")</f>
        <v/>
      </c>
      <c r="O6" s="14" t="str">
        <f t="shared" ref="O6:O36" si="3">IFERROR(IF(D6&gt;0,C6/D6,""),"")</f>
        <v/>
      </c>
      <c r="P6" s="14" t="str">
        <f t="shared" ref="P6:P36" si="4">IFERROR(IF(J6&gt;0,M6/J6,""),"")</f>
        <v/>
      </c>
      <c r="Q6" s="32" t="str">
        <f t="shared" ref="Q6:Q36" si="5">IFERROR(IF(E6&gt;0,D6/E6,""),"")</f>
        <v/>
      </c>
      <c r="R6" s="30"/>
      <c r="S6" s="30"/>
      <c r="T6" s="30"/>
    </row>
    <row r="7" ht="21.75" customHeight="1">
      <c r="A7" s="69">
        <v>46205.0</v>
      </c>
      <c r="B7" s="70" t="s">
        <v>133</v>
      </c>
      <c r="C7" s="71"/>
      <c r="D7" s="71"/>
      <c r="E7" s="71"/>
      <c r="F7" s="71"/>
      <c r="G7" s="71"/>
      <c r="H7" s="71"/>
      <c r="I7" s="71"/>
      <c r="J7" s="71"/>
      <c r="K7" s="71"/>
      <c r="L7" s="72"/>
      <c r="M7" s="14" t="str">
        <f t="shared" si="1"/>
        <v/>
      </c>
      <c r="N7" s="14" t="str">
        <f t="shared" si="2"/>
        <v/>
      </c>
      <c r="O7" s="14" t="str">
        <f t="shared" si="3"/>
        <v/>
      </c>
      <c r="P7" s="14" t="str">
        <f t="shared" si="4"/>
        <v/>
      </c>
      <c r="Q7" s="32" t="str">
        <f t="shared" si="5"/>
        <v/>
      </c>
      <c r="R7" s="30"/>
      <c r="S7" s="30"/>
      <c r="T7" s="30"/>
    </row>
    <row r="8" ht="21.75" customHeight="1">
      <c r="A8" s="69">
        <v>46206.0</v>
      </c>
      <c r="B8" s="70" t="s">
        <v>134</v>
      </c>
      <c r="C8" s="71"/>
      <c r="D8" s="71"/>
      <c r="E8" s="71"/>
      <c r="F8" s="71"/>
      <c r="G8" s="71"/>
      <c r="H8" s="71"/>
      <c r="I8" s="71"/>
      <c r="J8" s="71"/>
      <c r="K8" s="71"/>
      <c r="L8" s="72"/>
      <c r="M8" s="14" t="str">
        <f t="shared" si="1"/>
        <v/>
      </c>
      <c r="N8" s="14" t="str">
        <f t="shared" si="2"/>
        <v/>
      </c>
      <c r="O8" s="14" t="str">
        <f t="shared" si="3"/>
        <v/>
      </c>
      <c r="P8" s="14" t="str">
        <f t="shared" si="4"/>
        <v/>
      </c>
      <c r="Q8" s="32" t="str">
        <f t="shared" si="5"/>
        <v/>
      </c>
      <c r="R8" s="30"/>
      <c r="S8" s="30"/>
      <c r="T8" s="30"/>
    </row>
    <row r="9" ht="21.75" customHeight="1">
      <c r="A9" s="73">
        <v>46207.0</v>
      </c>
      <c r="B9" s="74" t="s">
        <v>135</v>
      </c>
      <c r="C9" s="71"/>
      <c r="D9" s="71"/>
      <c r="E9" s="71"/>
      <c r="F9" s="71"/>
      <c r="G9" s="71"/>
      <c r="H9" s="71"/>
      <c r="I9" s="71"/>
      <c r="J9" s="71"/>
      <c r="K9" s="71"/>
      <c r="L9" s="72"/>
      <c r="M9" s="14" t="str">
        <f t="shared" si="1"/>
        <v/>
      </c>
      <c r="N9" s="14" t="str">
        <f t="shared" si="2"/>
        <v/>
      </c>
      <c r="O9" s="14" t="str">
        <f t="shared" si="3"/>
        <v/>
      </c>
      <c r="P9" s="14" t="str">
        <f t="shared" si="4"/>
        <v/>
      </c>
      <c r="Q9" s="32" t="str">
        <f t="shared" si="5"/>
        <v/>
      </c>
      <c r="R9" s="30"/>
      <c r="S9" s="30"/>
      <c r="T9" s="30"/>
    </row>
    <row r="10" ht="21.75" customHeight="1">
      <c r="A10" s="73">
        <v>46208.0</v>
      </c>
      <c r="B10" s="74" t="s">
        <v>136</v>
      </c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14" t="str">
        <f t="shared" si="1"/>
        <v/>
      </c>
      <c r="N10" s="14" t="str">
        <f t="shared" si="2"/>
        <v/>
      </c>
      <c r="O10" s="14" t="str">
        <f t="shared" si="3"/>
        <v/>
      </c>
      <c r="P10" s="14" t="str">
        <f t="shared" si="4"/>
        <v/>
      </c>
      <c r="Q10" s="32" t="str">
        <f t="shared" si="5"/>
        <v/>
      </c>
      <c r="R10" s="30"/>
      <c r="S10" s="30"/>
      <c r="T10" s="30"/>
    </row>
    <row r="11" ht="21.75" customHeight="1">
      <c r="A11" s="69">
        <v>46209.0</v>
      </c>
      <c r="B11" s="70" t="s">
        <v>130</v>
      </c>
      <c r="C11" s="71"/>
      <c r="D11" s="71"/>
      <c r="E11" s="71"/>
      <c r="F11" s="71"/>
      <c r="G11" s="71"/>
      <c r="H11" s="71"/>
      <c r="I11" s="71"/>
      <c r="J11" s="71"/>
      <c r="K11" s="71"/>
      <c r="L11" s="72"/>
      <c r="M11" s="14" t="str">
        <f t="shared" si="1"/>
        <v/>
      </c>
      <c r="N11" s="14" t="str">
        <f t="shared" si="2"/>
        <v/>
      </c>
      <c r="O11" s="14" t="str">
        <f t="shared" si="3"/>
        <v/>
      </c>
      <c r="P11" s="14" t="str">
        <f t="shared" si="4"/>
        <v/>
      </c>
      <c r="Q11" s="32" t="str">
        <f t="shared" si="5"/>
        <v/>
      </c>
      <c r="R11" s="30"/>
      <c r="S11" s="30"/>
      <c r="T11" s="30"/>
    </row>
    <row r="12" ht="21.75" customHeight="1">
      <c r="A12" s="69">
        <v>46210.0</v>
      </c>
      <c r="B12" s="70" t="s">
        <v>131</v>
      </c>
      <c r="C12" s="71"/>
      <c r="D12" s="71"/>
      <c r="E12" s="71"/>
      <c r="F12" s="71"/>
      <c r="G12" s="71"/>
      <c r="H12" s="71"/>
      <c r="I12" s="71"/>
      <c r="J12" s="71"/>
      <c r="K12" s="71"/>
      <c r="L12" s="72"/>
      <c r="M12" s="14" t="str">
        <f t="shared" si="1"/>
        <v/>
      </c>
      <c r="N12" s="14" t="str">
        <f t="shared" si="2"/>
        <v/>
      </c>
      <c r="O12" s="14" t="str">
        <f t="shared" si="3"/>
        <v/>
      </c>
      <c r="P12" s="14" t="str">
        <f t="shared" si="4"/>
        <v/>
      </c>
      <c r="Q12" s="32" t="str">
        <f t="shared" si="5"/>
        <v/>
      </c>
      <c r="R12" s="30"/>
      <c r="S12" s="30"/>
      <c r="T12" s="30"/>
    </row>
    <row r="13" ht="21.75" customHeight="1">
      <c r="A13" s="69">
        <v>46211.0</v>
      </c>
      <c r="B13" s="70" t="s">
        <v>132</v>
      </c>
      <c r="C13" s="71"/>
      <c r="D13" s="71"/>
      <c r="E13" s="71"/>
      <c r="F13" s="71"/>
      <c r="G13" s="71"/>
      <c r="H13" s="71"/>
      <c r="I13" s="71"/>
      <c r="J13" s="71"/>
      <c r="K13" s="71"/>
      <c r="L13" s="72"/>
      <c r="M13" s="14" t="str">
        <f t="shared" si="1"/>
        <v/>
      </c>
      <c r="N13" s="14" t="str">
        <f t="shared" si="2"/>
        <v/>
      </c>
      <c r="O13" s="14" t="str">
        <f t="shared" si="3"/>
        <v/>
      </c>
      <c r="P13" s="14" t="str">
        <f t="shared" si="4"/>
        <v/>
      </c>
      <c r="Q13" s="32" t="str">
        <f t="shared" si="5"/>
        <v/>
      </c>
      <c r="R13" s="30"/>
      <c r="S13" s="30"/>
      <c r="T13" s="30"/>
    </row>
    <row r="14" ht="21.75" customHeight="1">
      <c r="A14" s="69">
        <v>46212.0</v>
      </c>
      <c r="B14" s="70" t="s">
        <v>133</v>
      </c>
      <c r="C14" s="71"/>
      <c r="D14" s="71"/>
      <c r="E14" s="71"/>
      <c r="F14" s="71"/>
      <c r="G14" s="71"/>
      <c r="H14" s="71"/>
      <c r="I14" s="71"/>
      <c r="J14" s="71"/>
      <c r="K14" s="71"/>
      <c r="L14" s="72"/>
      <c r="M14" s="14" t="str">
        <f t="shared" si="1"/>
        <v/>
      </c>
      <c r="N14" s="14" t="str">
        <f t="shared" si="2"/>
        <v/>
      </c>
      <c r="O14" s="14" t="str">
        <f t="shared" si="3"/>
        <v/>
      </c>
      <c r="P14" s="14" t="str">
        <f t="shared" si="4"/>
        <v/>
      </c>
      <c r="Q14" s="32" t="str">
        <f t="shared" si="5"/>
        <v/>
      </c>
      <c r="R14" s="30"/>
      <c r="S14" s="30"/>
      <c r="T14" s="30"/>
    </row>
    <row r="15" ht="21.75" customHeight="1">
      <c r="A15" s="69">
        <v>46213.0</v>
      </c>
      <c r="B15" s="70" t="s">
        <v>134</v>
      </c>
      <c r="C15" s="71"/>
      <c r="D15" s="71"/>
      <c r="E15" s="71"/>
      <c r="F15" s="71"/>
      <c r="G15" s="71"/>
      <c r="H15" s="71"/>
      <c r="I15" s="71"/>
      <c r="J15" s="71"/>
      <c r="K15" s="71"/>
      <c r="L15" s="72"/>
      <c r="M15" s="14" t="str">
        <f t="shared" si="1"/>
        <v/>
      </c>
      <c r="N15" s="14" t="str">
        <f t="shared" si="2"/>
        <v/>
      </c>
      <c r="O15" s="14" t="str">
        <f t="shared" si="3"/>
        <v/>
      </c>
      <c r="P15" s="14" t="str">
        <f t="shared" si="4"/>
        <v/>
      </c>
      <c r="Q15" s="32" t="str">
        <f t="shared" si="5"/>
        <v/>
      </c>
      <c r="R15" s="30"/>
      <c r="S15" s="30"/>
      <c r="T15" s="30"/>
    </row>
    <row r="16" ht="21.75" customHeight="1">
      <c r="A16" s="73">
        <v>46214.0</v>
      </c>
      <c r="B16" s="74" t="s">
        <v>135</v>
      </c>
      <c r="C16" s="71"/>
      <c r="D16" s="71"/>
      <c r="E16" s="71"/>
      <c r="F16" s="71"/>
      <c r="G16" s="71"/>
      <c r="H16" s="71"/>
      <c r="I16" s="71"/>
      <c r="J16" s="71"/>
      <c r="K16" s="71"/>
      <c r="L16" s="72"/>
      <c r="M16" s="14" t="str">
        <f t="shared" si="1"/>
        <v/>
      </c>
      <c r="N16" s="14" t="str">
        <f t="shared" si="2"/>
        <v/>
      </c>
      <c r="O16" s="14" t="str">
        <f t="shared" si="3"/>
        <v/>
      </c>
      <c r="P16" s="14" t="str">
        <f t="shared" si="4"/>
        <v/>
      </c>
      <c r="Q16" s="32" t="str">
        <f t="shared" si="5"/>
        <v/>
      </c>
      <c r="R16" s="30"/>
      <c r="S16" s="30"/>
      <c r="T16" s="30"/>
    </row>
    <row r="17" ht="21.75" customHeight="1">
      <c r="A17" s="73">
        <v>46215.0</v>
      </c>
      <c r="B17" s="74" t="s">
        <v>136</v>
      </c>
      <c r="C17" s="71"/>
      <c r="D17" s="71"/>
      <c r="E17" s="71"/>
      <c r="F17" s="71"/>
      <c r="G17" s="71"/>
      <c r="H17" s="71"/>
      <c r="I17" s="71"/>
      <c r="J17" s="71"/>
      <c r="K17" s="71"/>
      <c r="L17" s="72"/>
      <c r="M17" s="14" t="str">
        <f t="shared" si="1"/>
        <v/>
      </c>
      <c r="N17" s="14" t="str">
        <f t="shared" si="2"/>
        <v/>
      </c>
      <c r="O17" s="14" t="str">
        <f t="shared" si="3"/>
        <v/>
      </c>
      <c r="P17" s="14" t="str">
        <f t="shared" si="4"/>
        <v/>
      </c>
      <c r="Q17" s="32" t="str">
        <f t="shared" si="5"/>
        <v/>
      </c>
      <c r="R17" s="30"/>
      <c r="S17" s="30"/>
      <c r="T17" s="30"/>
    </row>
    <row r="18" ht="21.75" customHeight="1">
      <c r="A18" s="69">
        <v>46216.0</v>
      </c>
      <c r="B18" s="70" t="s">
        <v>130</v>
      </c>
      <c r="C18" s="71"/>
      <c r="D18" s="71"/>
      <c r="E18" s="71"/>
      <c r="F18" s="71"/>
      <c r="G18" s="71"/>
      <c r="H18" s="71"/>
      <c r="I18" s="71"/>
      <c r="J18" s="71"/>
      <c r="K18" s="71"/>
      <c r="L18" s="72"/>
      <c r="M18" s="14" t="str">
        <f t="shared" si="1"/>
        <v/>
      </c>
      <c r="N18" s="14" t="str">
        <f t="shared" si="2"/>
        <v/>
      </c>
      <c r="O18" s="14" t="str">
        <f t="shared" si="3"/>
        <v/>
      </c>
      <c r="P18" s="14" t="str">
        <f t="shared" si="4"/>
        <v/>
      </c>
      <c r="Q18" s="32" t="str">
        <f t="shared" si="5"/>
        <v/>
      </c>
      <c r="R18" s="30"/>
      <c r="S18" s="30"/>
      <c r="T18" s="30"/>
    </row>
    <row r="19" ht="21.75" customHeight="1">
      <c r="A19" s="69">
        <v>46217.0</v>
      </c>
      <c r="B19" s="70" t="s">
        <v>131</v>
      </c>
      <c r="C19" s="71"/>
      <c r="D19" s="71"/>
      <c r="E19" s="71"/>
      <c r="F19" s="71"/>
      <c r="G19" s="71"/>
      <c r="H19" s="71"/>
      <c r="I19" s="71"/>
      <c r="J19" s="71"/>
      <c r="K19" s="71"/>
      <c r="L19" s="72"/>
      <c r="M19" s="14" t="str">
        <f t="shared" si="1"/>
        <v/>
      </c>
      <c r="N19" s="14" t="str">
        <f t="shared" si="2"/>
        <v/>
      </c>
      <c r="O19" s="14" t="str">
        <f t="shared" si="3"/>
        <v/>
      </c>
      <c r="P19" s="14" t="str">
        <f t="shared" si="4"/>
        <v/>
      </c>
      <c r="Q19" s="32" t="str">
        <f t="shared" si="5"/>
        <v/>
      </c>
      <c r="R19" s="30"/>
      <c r="S19" s="30"/>
      <c r="T19" s="30"/>
    </row>
    <row r="20" ht="21.75" customHeight="1">
      <c r="A20" s="69">
        <v>46218.0</v>
      </c>
      <c r="B20" s="70" t="s">
        <v>132</v>
      </c>
      <c r="C20" s="71"/>
      <c r="D20" s="71"/>
      <c r="E20" s="71"/>
      <c r="F20" s="71"/>
      <c r="G20" s="71"/>
      <c r="H20" s="71"/>
      <c r="I20" s="71"/>
      <c r="J20" s="71"/>
      <c r="K20" s="71"/>
      <c r="L20" s="72"/>
      <c r="M20" s="14" t="str">
        <f t="shared" si="1"/>
        <v/>
      </c>
      <c r="N20" s="14" t="str">
        <f t="shared" si="2"/>
        <v/>
      </c>
      <c r="O20" s="14" t="str">
        <f t="shared" si="3"/>
        <v/>
      </c>
      <c r="P20" s="14" t="str">
        <f t="shared" si="4"/>
        <v/>
      </c>
      <c r="Q20" s="32" t="str">
        <f t="shared" si="5"/>
        <v/>
      </c>
      <c r="R20" s="30"/>
      <c r="S20" s="30"/>
      <c r="T20" s="30"/>
    </row>
    <row r="21" ht="21.75" customHeight="1">
      <c r="A21" s="69">
        <v>46219.0</v>
      </c>
      <c r="B21" s="70" t="s">
        <v>133</v>
      </c>
      <c r="C21" s="71"/>
      <c r="D21" s="71"/>
      <c r="E21" s="71"/>
      <c r="F21" s="71"/>
      <c r="G21" s="71"/>
      <c r="H21" s="71"/>
      <c r="I21" s="71"/>
      <c r="J21" s="71"/>
      <c r="K21" s="71"/>
      <c r="L21" s="72"/>
      <c r="M21" s="14" t="str">
        <f t="shared" si="1"/>
        <v/>
      </c>
      <c r="N21" s="14" t="str">
        <f t="shared" si="2"/>
        <v/>
      </c>
      <c r="O21" s="14" t="str">
        <f t="shared" si="3"/>
        <v/>
      </c>
      <c r="P21" s="14" t="str">
        <f t="shared" si="4"/>
        <v/>
      </c>
      <c r="Q21" s="32" t="str">
        <f t="shared" si="5"/>
        <v/>
      </c>
      <c r="R21" s="30"/>
      <c r="S21" s="30"/>
      <c r="T21" s="30"/>
    </row>
    <row r="22" ht="21.75" customHeight="1">
      <c r="A22" s="69">
        <v>46220.0</v>
      </c>
      <c r="B22" s="70" t="s">
        <v>134</v>
      </c>
      <c r="C22" s="71"/>
      <c r="D22" s="71"/>
      <c r="E22" s="71"/>
      <c r="F22" s="71"/>
      <c r="G22" s="71"/>
      <c r="H22" s="71"/>
      <c r="I22" s="71"/>
      <c r="J22" s="71"/>
      <c r="K22" s="71"/>
      <c r="L22" s="72"/>
      <c r="M22" s="14" t="str">
        <f t="shared" si="1"/>
        <v/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  <c r="Q22" s="32" t="str">
        <f t="shared" si="5"/>
        <v/>
      </c>
      <c r="R22" s="30"/>
      <c r="S22" s="30"/>
      <c r="T22" s="30"/>
    </row>
    <row r="23" ht="21.75" customHeight="1">
      <c r="A23" s="73">
        <v>46221.0</v>
      </c>
      <c r="B23" s="74" t="s">
        <v>135</v>
      </c>
      <c r="C23" s="71"/>
      <c r="D23" s="71"/>
      <c r="E23" s="71"/>
      <c r="F23" s="71"/>
      <c r="G23" s="71"/>
      <c r="H23" s="71"/>
      <c r="I23" s="71"/>
      <c r="J23" s="71"/>
      <c r="K23" s="71"/>
      <c r="L23" s="72"/>
      <c r="M23" s="14" t="str">
        <f t="shared" si="1"/>
        <v/>
      </c>
      <c r="N23" s="14" t="str">
        <f t="shared" si="2"/>
        <v/>
      </c>
      <c r="O23" s="14" t="str">
        <f t="shared" si="3"/>
        <v/>
      </c>
      <c r="P23" s="14" t="str">
        <f t="shared" si="4"/>
        <v/>
      </c>
      <c r="Q23" s="32" t="str">
        <f t="shared" si="5"/>
        <v/>
      </c>
      <c r="R23" s="30"/>
      <c r="S23" s="30"/>
      <c r="T23" s="30"/>
    </row>
    <row r="24" ht="21.75" customHeight="1">
      <c r="A24" s="73">
        <v>46222.0</v>
      </c>
      <c r="B24" s="74" t="s">
        <v>136</v>
      </c>
      <c r="C24" s="71"/>
      <c r="D24" s="71"/>
      <c r="E24" s="71"/>
      <c r="F24" s="71"/>
      <c r="G24" s="71"/>
      <c r="H24" s="71"/>
      <c r="I24" s="71"/>
      <c r="J24" s="71"/>
      <c r="K24" s="71"/>
      <c r="L24" s="72"/>
      <c r="M24" s="14" t="str">
        <f t="shared" si="1"/>
        <v/>
      </c>
      <c r="N24" s="14" t="str">
        <f t="shared" si="2"/>
        <v/>
      </c>
      <c r="O24" s="14" t="str">
        <f t="shared" si="3"/>
        <v/>
      </c>
      <c r="P24" s="14" t="str">
        <f t="shared" si="4"/>
        <v/>
      </c>
      <c r="Q24" s="32" t="str">
        <f t="shared" si="5"/>
        <v/>
      </c>
      <c r="R24" s="30"/>
      <c r="S24" s="30"/>
      <c r="T24" s="30"/>
    </row>
    <row r="25" ht="21.75" customHeight="1">
      <c r="A25" s="69">
        <v>46223.0</v>
      </c>
      <c r="B25" s="70" t="s">
        <v>130</v>
      </c>
      <c r="C25" s="71"/>
      <c r="D25" s="71"/>
      <c r="E25" s="71"/>
      <c r="F25" s="71"/>
      <c r="G25" s="71"/>
      <c r="H25" s="71"/>
      <c r="I25" s="71"/>
      <c r="J25" s="71"/>
      <c r="K25" s="71"/>
      <c r="L25" s="72"/>
      <c r="M25" s="14" t="str">
        <f t="shared" si="1"/>
        <v/>
      </c>
      <c r="N25" s="14" t="str">
        <f t="shared" si="2"/>
        <v/>
      </c>
      <c r="O25" s="14" t="str">
        <f t="shared" si="3"/>
        <v/>
      </c>
      <c r="P25" s="14" t="str">
        <f t="shared" si="4"/>
        <v/>
      </c>
      <c r="Q25" s="32" t="str">
        <f t="shared" si="5"/>
        <v/>
      </c>
      <c r="R25" s="30"/>
      <c r="S25" s="30"/>
      <c r="T25" s="30"/>
    </row>
    <row r="26" ht="21.75" customHeight="1">
      <c r="A26" s="69">
        <v>46224.0</v>
      </c>
      <c r="B26" s="70" t="s">
        <v>131</v>
      </c>
      <c r="C26" s="71"/>
      <c r="D26" s="71"/>
      <c r="E26" s="71"/>
      <c r="F26" s="71"/>
      <c r="G26" s="71"/>
      <c r="H26" s="71"/>
      <c r="I26" s="71"/>
      <c r="J26" s="71"/>
      <c r="K26" s="71"/>
      <c r="L26" s="72"/>
      <c r="M26" s="14" t="str">
        <f t="shared" si="1"/>
        <v/>
      </c>
      <c r="N26" s="14" t="str">
        <f t="shared" si="2"/>
        <v/>
      </c>
      <c r="O26" s="14" t="str">
        <f t="shared" si="3"/>
        <v/>
      </c>
      <c r="P26" s="14" t="str">
        <f t="shared" si="4"/>
        <v/>
      </c>
      <c r="Q26" s="32" t="str">
        <f t="shared" si="5"/>
        <v/>
      </c>
      <c r="R26" s="30"/>
      <c r="S26" s="30"/>
      <c r="T26" s="30"/>
    </row>
    <row r="27" ht="21.75" customHeight="1">
      <c r="A27" s="69">
        <v>46225.0</v>
      </c>
      <c r="B27" s="70" t="s">
        <v>132</v>
      </c>
      <c r="C27" s="71"/>
      <c r="D27" s="71"/>
      <c r="E27" s="71"/>
      <c r="F27" s="71"/>
      <c r="G27" s="71"/>
      <c r="H27" s="71"/>
      <c r="I27" s="71"/>
      <c r="J27" s="71"/>
      <c r="K27" s="71"/>
      <c r="L27" s="72"/>
      <c r="M27" s="14" t="str">
        <f t="shared" si="1"/>
        <v/>
      </c>
      <c r="N27" s="14" t="str">
        <f t="shared" si="2"/>
        <v/>
      </c>
      <c r="O27" s="14" t="str">
        <f t="shared" si="3"/>
        <v/>
      </c>
      <c r="P27" s="14" t="str">
        <f t="shared" si="4"/>
        <v/>
      </c>
      <c r="Q27" s="32" t="str">
        <f t="shared" si="5"/>
        <v/>
      </c>
      <c r="R27" s="30"/>
      <c r="S27" s="30"/>
      <c r="T27" s="30"/>
    </row>
    <row r="28" ht="21.75" customHeight="1">
      <c r="A28" s="69">
        <v>46226.0</v>
      </c>
      <c r="B28" s="70" t="s">
        <v>133</v>
      </c>
      <c r="C28" s="71"/>
      <c r="D28" s="71"/>
      <c r="E28" s="71"/>
      <c r="F28" s="71"/>
      <c r="G28" s="71"/>
      <c r="H28" s="71"/>
      <c r="I28" s="71"/>
      <c r="J28" s="71"/>
      <c r="K28" s="71"/>
      <c r="L28" s="72"/>
      <c r="M28" s="14" t="str">
        <f t="shared" si="1"/>
        <v/>
      </c>
      <c r="N28" s="14" t="str">
        <f t="shared" si="2"/>
        <v/>
      </c>
      <c r="O28" s="14" t="str">
        <f t="shared" si="3"/>
        <v/>
      </c>
      <c r="P28" s="14" t="str">
        <f t="shared" si="4"/>
        <v/>
      </c>
      <c r="Q28" s="32" t="str">
        <f t="shared" si="5"/>
        <v/>
      </c>
      <c r="R28" s="30"/>
      <c r="S28" s="30"/>
      <c r="T28" s="30"/>
    </row>
    <row r="29" ht="21.75" customHeight="1">
      <c r="A29" s="69">
        <v>46227.0</v>
      </c>
      <c r="B29" s="70" t="s">
        <v>134</v>
      </c>
      <c r="C29" s="71"/>
      <c r="D29" s="71"/>
      <c r="E29" s="71"/>
      <c r="F29" s="71"/>
      <c r="G29" s="71"/>
      <c r="H29" s="71"/>
      <c r="I29" s="71"/>
      <c r="J29" s="71"/>
      <c r="K29" s="71"/>
      <c r="L29" s="72"/>
      <c r="M29" s="14" t="str">
        <f t="shared" si="1"/>
        <v/>
      </c>
      <c r="N29" s="14" t="str">
        <f t="shared" si="2"/>
        <v/>
      </c>
      <c r="O29" s="14" t="str">
        <f t="shared" si="3"/>
        <v/>
      </c>
      <c r="P29" s="14" t="str">
        <f t="shared" si="4"/>
        <v/>
      </c>
      <c r="Q29" s="32" t="str">
        <f t="shared" si="5"/>
        <v/>
      </c>
      <c r="R29" s="30"/>
      <c r="S29" s="30"/>
      <c r="T29" s="30"/>
    </row>
    <row r="30" ht="21.75" customHeight="1">
      <c r="A30" s="73">
        <v>46228.0</v>
      </c>
      <c r="B30" s="74" t="s">
        <v>135</v>
      </c>
      <c r="C30" s="71"/>
      <c r="D30" s="71"/>
      <c r="E30" s="71"/>
      <c r="F30" s="71"/>
      <c r="G30" s="71"/>
      <c r="H30" s="71"/>
      <c r="I30" s="71"/>
      <c r="J30" s="71"/>
      <c r="K30" s="71"/>
      <c r="L30" s="72"/>
      <c r="M30" s="14" t="str">
        <f t="shared" si="1"/>
        <v/>
      </c>
      <c r="N30" s="14" t="str">
        <f t="shared" si="2"/>
        <v/>
      </c>
      <c r="O30" s="14" t="str">
        <f t="shared" si="3"/>
        <v/>
      </c>
      <c r="P30" s="14" t="str">
        <f t="shared" si="4"/>
        <v/>
      </c>
      <c r="Q30" s="32" t="str">
        <f t="shared" si="5"/>
        <v/>
      </c>
      <c r="R30" s="30"/>
      <c r="S30" s="30"/>
      <c r="T30" s="30"/>
    </row>
    <row r="31" ht="21.75" customHeight="1">
      <c r="A31" s="73">
        <v>46229.0</v>
      </c>
      <c r="B31" s="74" t="s">
        <v>136</v>
      </c>
      <c r="C31" s="71"/>
      <c r="D31" s="71"/>
      <c r="E31" s="71"/>
      <c r="F31" s="71"/>
      <c r="G31" s="71"/>
      <c r="H31" s="71"/>
      <c r="I31" s="71"/>
      <c r="J31" s="71"/>
      <c r="K31" s="71"/>
      <c r="L31" s="72"/>
      <c r="M31" s="14" t="str">
        <f t="shared" si="1"/>
        <v/>
      </c>
      <c r="N31" s="14" t="str">
        <f t="shared" si="2"/>
        <v/>
      </c>
      <c r="O31" s="14" t="str">
        <f t="shared" si="3"/>
        <v/>
      </c>
      <c r="P31" s="14" t="str">
        <f t="shared" si="4"/>
        <v/>
      </c>
      <c r="Q31" s="32" t="str">
        <f t="shared" si="5"/>
        <v/>
      </c>
      <c r="R31" s="30"/>
      <c r="S31" s="30"/>
      <c r="T31" s="30"/>
    </row>
    <row r="32" ht="21.75" customHeight="1">
      <c r="A32" s="69">
        <v>46230.0</v>
      </c>
      <c r="B32" s="70" t="s">
        <v>130</v>
      </c>
      <c r="C32" s="71"/>
      <c r="D32" s="71"/>
      <c r="E32" s="71"/>
      <c r="F32" s="71"/>
      <c r="G32" s="71"/>
      <c r="H32" s="71"/>
      <c r="I32" s="71"/>
      <c r="J32" s="71"/>
      <c r="K32" s="71"/>
      <c r="L32" s="72"/>
      <c r="M32" s="14" t="str">
        <f t="shared" si="1"/>
        <v/>
      </c>
      <c r="N32" s="14" t="str">
        <f t="shared" si="2"/>
        <v/>
      </c>
      <c r="O32" s="14" t="str">
        <f t="shared" si="3"/>
        <v/>
      </c>
      <c r="P32" s="14" t="str">
        <f t="shared" si="4"/>
        <v/>
      </c>
      <c r="Q32" s="32" t="str">
        <f t="shared" si="5"/>
        <v/>
      </c>
      <c r="R32" s="30"/>
      <c r="S32" s="30"/>
      <c r="T32" s="30"/>
    </row>
    <row r="33" ht="21.75" customHeight="1">
      <c r="A33" s="69">
        <v>46231.0</v>
      </c>
      <c r="B33" s="70" t="s">
        <v>131</v>
      </c>
      <c r="C33" s="71"/>
      <c r="D33" s="71"/>
      <c r="E33" s="71"/>
      <c r="F33" s="71"/>
      <c r="G33" s="71"/>
      <c r="H33" s="71"/>
      <c r="I33" s="71"/>
      <c r="J33" s="71"/>
      <c r="K33" s="71"/>
      <c r="L33" s="72"/>
      <c r="M33" s="14" t="str">
        <f t="shared" si="1"/>
        <v/>
      </c>
      <c r="N33" s="14" t="str">
        <f t="shared" si="2"/>
        <v/>
      </c>
      <c r="O33" s="14" t="str">
        <f t="shared" si="3"/>
        <v/>
      </c>
      <c r="P33" s="14" t="str">
        <f t="shared" si="4"/>
        <v/>
      </c>
      <c r="Q33" s="32" t="str">
        <f t="shared" si="5"/>
        <v/>
      </c>
      <c r="R33" s="30"/>
      <c r="S33" s="30"/>
      <c r="T33" s="30"/>
    </row>
    <row r="34" ht="21.75" customHeight="1">
      <c r="A34" s="69">
        <v>46232.0</v>
      </c>
      <c r="B34" s="70" t="s">
        <v>132</v>
      </c>
      <c r="C34" s="71"/>
      <c r="D34" s="71"/>
      <c r="E34" s="71"/>
      <c r="F34" s="71"/>
      <c r="G34" s="71"/>
      <c r="H34" s="71"/>
      <c r="I34" s="71"/>
      <c r="J34" s="71"/>
      <c r="K34" s="71"/>
      <c r="L34" s="72"/>
      <c r="M34" s="14" t="str">
        <f t="shared" si="1"/>
        <v/>
      </c>
      <c r="N34" s="14" t="str">
        <f t="shared" si="2"/>
        <v/>
      </c>
      <c r="O34" s="14" t="str">
        <f t="shared" si="3"/>
        <v/>
      </c>
      <c r="P34" s="14" t="str">
        <f t="shared" si="4"/>
        <v/>
      </c>
      <c r="Q34" s="32" t="str">
        <f t="shared" si="5"/>
        <v/>
      </c>
      <c r="R34" s="30"/>
      <c r="S34" s="30"/>
      <c r="T34" s="30"/>
    </row>
    <row r="35" ht="21.75" customHeight="1">
      <c r="A35" s="69">
        <v>46233.0</v>
      </c>
      <c r="B35" s="70" t="s">
        <v>133</v>
      </c>
      <c r="C35" s="71"/>
      <c r="D35" s="71"/>
      <c r="E35" s="71"/>
      <c r="F35" s="71"/>
      <c r="G35" s="71"/>
      <c r="H35" s="71"/>
      <c r="I35" s="71"/>
      <c r="J35" s="71"/>
      <c r="K35" s="71"/>
      <c r="L35" s="72"/>
      <c r="M35" s="14" t="str">
        <f t="shared" si="1"/>
        <v/>
      </c>
      <c r="N35" s="14" t="str">
        <f t="shared" si="2"/>
        <v/>
      </c>
      <c r="O35" s="14" t="str">
        <f t="shared" si="3"/>
        <v/>
      </c>
      <c r="P35" s="14" t="str">
        <f t="shared" si="4"/>
        <v/>
      </c>
      <c r="Q35" s="32" t="str">
        <f t="shared" si="5"/>
        <v/>
      </c>
      <c r="R35" s="30"/>
      <c r="S35" s="30"/>
      <c r="T35" s="30"/>
    </row>
    <row r="36" ht="21.75" customHeight="1">
      <c r="A36" s="69">
        <v>46234.0</v>
      </c>
      <c r="B36" s="70" t="s">
        <v>134</v>
      </c>
      <c r="C36" s="71"/>
      <c r="D36" s="71"/>
      <c r="E36" s="71"/>
      <c r="F36" s="71"/>
      <c r="G36" s="71"/>
      <c r="H36" s="71"/>
      <c r="I36" s="71"/>
      <c r="J36" s="71"/>
      <c r="K36" s="71"/>
      <c r="L36" s="72"/>
      <c r="M36" s="14" t="str">
        <f t="shared" si="1"/>
        <v/>
      </c>
      <c r="N36" s="14" t="str">
        <f t="shared" si="2"/>
        <v/>
      </c>
      <c r="O36" s="14" t="str">
        <f t="shared" si="3"/>
        <v/>
      </c>
      <c r="P36" s="14" t="str">
        <f t="shared" si="4"/>
        <v/>
      </c>
      <c r="Q36" s="32" t="str">
        <f t="shared" si="5"/>
        <v/>
      </c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9">
    <mergeCell ref="A3:B3"/>
    <mergeCell ref="A5:B5"/>
    <mergeCell ref="A1:Q1"/>
    <mergeCell ref="A2:Q2"/>
    <mergeCell ref="C3:D3"/>
    <mergeCell ref="E3:F3"/>
    <mergeCell ref="G3:J3"/>
    <mergeCell ref="M3:N3"/>
    <mergeCell ref="O3:P3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19.0"/>
    <col customWidth="1" min="4" max="4" width="12.0"/>
    <col customWidth="1" min="5" max="6" width="18.0"/>
    <col customWidth="1" min="7" max="7" width="12.0"/>
    <col customWidth="1" min="8" max="9" width="19.0"/>
    <col customWidth="1" min="10" max="11" width="17.0"/>
    <col customWidth="1" min="12" max="12" width="24.0"/>
    <col customWidth="1" min="13" max="26" width="14.0"/>
  </cols>
  <sheetData>
    <row r="1" ht="33.0" customHeight="1">
      <c r="A1" s="46" t="s">
        <v>161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0"/>
      <c r="N1" s="30"/>
      <c r="O1" s="30"/>
      <c r="P1" s="30"/>
      <c r="Q1" s="30"/>
      <c r="R1" s="30"/>
      <c r="S1" s="30"/>
      <c r="T1" s="30"/>
    </row>
    <row r="2" ht="18.75" customHeight="1">
      <c r="A2" s="4" t="s">
        <v>138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0"/>
      <c r="N2" s="30"/>
      <c r="O2" s="30"/>
      <c r="P2" s="30"/>
      <c r="Q2" s="30"/>
      <c r="R2" s="30"/>
      <c r="S2" s="30"/>
      <c r="T2" s="30"/>
    </row>
    <row r="3" ht="36.0" customHeight="1">
      <c r="A3" s="56" t="s">
        <v>139</v>
      </c>
      <c r="B3" s="56" t="s">
        <v>112</v>
      </c>
      <c r="C3" s="56" t="s">
        <v>114</v>
      </c>
      <c r="D3" s="56" t="s">
        <v>115</v>
      </c>
      <c r="E3" s="56" t="s">
        <v>140</v>
      </c>
      <c r="F3" s="57" t="s">
        <v>117</v>
      </c>
      <c r="G3" s="57" t="s">
        <v>141</v>
      </c>
      <c r="H3" s="58" t="s">
        <v>142</v>
      </c>
      <c r="I3" s="61" t="s">
        <v>143</v>
      </c>
      <c r="J3" s="61" t="s">
        <v>144</v>
      </c>
      <c r="K3" s="61" t="s">
        <v>145</v>
      </c>
      <c r="L3" s="60" t="s">
        <v>123</v>
      </c>
      <c r="M3" s="30"/>
      <c r="N3" s="30"/>
      <c r="O3" s="30"/>
      <c r="P3" s="30"/>
      <c r="Q3" s="30"/>
      <c r="R3" s="30"/>
      <c r="S3" s="30"/>
      <c r="T3" s="30"/>
    </row>
    <row r="4" ht="24.0" customHeight="1">
      <c r="A4" s="75" t="s">
        <v>146</v>
      </c>
      <c r="B4" s="76" t="s">
        <v>162</v>
      </c>
      <c r="C4" s="77">
        <f>IFERROR(SUM('📅 DAILY T7'!C6:C12),0)</f>
        <v>0</v>
      </c>
      <c r="D4" s="77">
        <f>IFERROR(SUM('📅 DAILY T7'!D6:D12),0)</f>
        <v>0</v>
      </c>
      <c r="E4" s="77" t="str">
        <f>IFERROR(SUM('📅 DAILY T7'!C6:C12)/SUM('📅 DAILY T7'!D6:D12),"")</f>
        <v/>
      </c>
      <c r="F4" s="78">
        <f>IFERROR(SUM('📅 DAILY T7'!F6:F12),0)</f>
        <v>0</v>
      </c>
      <c r="G4" s="79" t="str">
        <f>IFERROR(SUM('📅 DAILY T7'!C6:C12)/SUM('📅 DAILY T7'!F6:F12),"")</f>
        <v/>
      </c>
      <c r="H4" s="80">
        <f>IFERROR(SUM('📅 DAILY T7'!M6:M12),0)</f>
        <v>0</v>
      </c>
      <c r="I4" s="81">
        <f>IFERROR(SUM('📅 DAILY T7'!N6:N12),0)</f>
        <v>0</v>
      </c>
      <c r="J4" s="82">
        <f>IFERROR(SUM('📅 DAILY T7'!C6:C12)/1277560078,"")</f>
        <v>0</v>
      </c>
      <c r="K4" s="82">
        <f>IFERROR(SUM('📅 DAILY T7'!M6:M12)/721910506,"")</f>
        <v>0</v>
      </c>
      <c r="L4" s="83"/>
      <c r="M4" s="30"/>
      <c r="N4" s="30"/>
      <c r="O4" s="30"/>
      <c r="P4" s="30"/>
      <c r="Q4" s="30"/>
      <c r="R4" s="30"/>
      <c r="S4" s="30"/>
      <c r="T4" s="30"/>
    </row>
    <row r="5" ht="24.0" customHeight="1">
      <c r="A5" s="84" t="s">
        <v>148</v>
      </c>
      <c r="B5" s="85" t="s">
        <v>163</v>
      </c>
      <c r="C5" s="77">
        <f>IFERROR(SUM('📅 DAILY T7'!C13:C19),0)</f>
        <v>0</v>
      </c>
      <c r="D5" s="77">
        <f>IFERROR(SUM('📅 DAILY T7'!D13:D19),0)</f>
        <v>0</v>
      </c>
      <c r="E5" s="77" t="str">
        <f>IFERROR(SUM('📅 DAILY T7'!C13:C19)/SUM('📅 DAILY T7'!D13:D19),"")</f>
        <v/>
      </c>
      <c r="F5" s="78">
        <f>IFERROR(SUM('📅 DAILY T7'!F13:F19),0)</f>
        <v>0</v>
      </c>
      <c r="G5" s="79" t="str">
        <f>IFERROR(SUM('📅 DAILY T7'!C13:C19)/SUM('📅 DAILY T7'!F13:F19),"")</f>
        <v/>
      </c>
      <c r="H5" s="80">
        <f>IFERROR(SUM('📅 DAILY T7'!M13:M19),0)</f>
        <v>0</v>
      </c>
      <c r="I5" s="81">
        <f>IFERROR(SUM('📅 DAILY T7'!N13:N19),0)</f>
        <v>0</v>
      </c>
      <c r="J5" s="82">
        <f>IFERROR(SUM('📅 DAILY T7'!C6:C19)/1277560078,"")</f>
        <v>0</v>
      </c>
      <c r="K5" s="82">
        <f>IFERROR(SUM('📅 DAILY T7'!M6:M19)/721910506,"")</f>
        <v>0</v>
      </c>
      <c r="L5" s="83"/>
      <c r="M5" s="30"/>
      <c r="N5" s="30"/>
      <c r="O5" s="30"/>
      <c r="P5" s="30"/>
      <c r="Q5" s="30"/>
      <c r="R5" s="30"/>
      <c r="S5" s="30"/>
      <c r="T5" s="30"/>
    </row>
    <row r="6" ht="24.0" customHeight="1">
      <c r="A6" s="86" t="s">
        <v>150</v>
      </c>
      <c r="B6" s="87" t="s">
        <v>164</v>
      </c>
      <c r="C6" s="77">
        <f>IFERROR(SUM('📅 DAILY T7'!C20:C26),0)</f>
        <v>0</v>
      </c>
      <c r="D6" s="77">
        <f>IFERROR(SUM('📅 DAILY T7'!D20:D26),0)</f>
        <v>0</v>
      </c>
      <c r="E6" s="77" t="str">
        <f>IFERROR(SUM('📅 DAILY T7'!C20:C26)/SUM('📅 DAILY T7'!D20:D26),"")</f>
        <v/>
      </c>
      <c r="F6" s="78">
        <f>IFERROR(SUM('📅 DAILY T7'!F20:F26),0)</f>
        <v>0</v>
      </c>
      <c r="G6" s="79" t="str">
        <f>IFERROR(SUM('📅 DAILY T7'!C20:C26)/SUM('📅 DAILY T7'!F20:F26),"")</f>
        <v/>
      </c>
      <c r="H6" s="80">
        <f>IFERROR(SUM('📅 DAILY T7'!M20:M26),0)</f>
        <v>0</v>
      </c>
      <c r="I6" s="81">
        <f>IFERROR(SUM('📅 DAILY T7'!N20:N26),0)</f>
        <v>0</v>
      </c>
      <c r="J6" s="82">
        <f>IFERROR(SUM('📅 DAILY T7'!C6:C26)/1277560078,"")</f>
        <v>0</v>
      </c>
      <c r="K6" s="82">
        <f>IFERROR(SUM('📅 DAILY T7'!M6:M26)/721910506,"")</f>
        <v>0</v>
      </c>
      <c r="L6" s="83"/>
      <c r="M6" s="30"/>
      <c r="N6" s="30"/>
      <c r="O6" s="30"/>
      <c r="P6" s="30"/>
      <c r="Q6" s="30"/>
      <c r="R6" s="30"/>
      <c r="S6" s="30"/>
      <c r="T6" s="30"/>
    </row>
    <row r="7" ht="24.0" customHeight="1">
      <c r="A7" s="88" t="s">
        <v>152</v>
      </c>
      <c r="B7" s="89" t="s">
        <v>165</v>
      </c>
      <c r="C7" s="77">
        <f>IFERROR(SUM('📅 DAILY T7'!C27:C33),0)</f>
        <v>0</v>
      </c>
      <c r="D7" s="77">
        <f>IFERROR(SUM('📅 DAILY T7'!D27:D33),0)</f>
        <v>0</v>
      </c>
      <c r="E7" s="77" t="str">
        <f>IFERROR(SUM('📅 DAILY T7'!C27:C33)/SUM('📅 DAILY T7'!D27:D33),"")</f>
        <v/>
      </c>
      <c r="F7" s="78">
        <f>IFERROR(SUM('📅 DAILY T7'!F27:F33),0)</f>
        <v>0</v>
      </c>
      <c r="G7" s="79" t="str">
        <f>IFERROR(SUM('📅 DAILY T7'!C27:C33)/SUM('📅 DAILY T7'!F27:F33),"")</f>
        <v/>
      </c>
      <c r="H7" s="80">
        <f>IFERROR(SUM('📅 DAILY T7'!M27:M33),0)</f>
        <v>0</v>
      </c>
      <c r="I7" s="81">
        <f>IFERROR(SUM('📅 DAILY T7'!N27:N33),0)</f>
        <v>0</v>
      </c>
      <c r="J7" s="82">
        <f>IFERROR(SUM('📅 DAILY T7'!C6:C33)/1277560078,"")</f>
        <v>0</v>
      </c>
      <c r="K7" s="82">
        <f>IFERROR(SUM('📅 DAILY T7'!M6:M33)/721910506,"")</f>
        <v>0</v>
      </c>
      <c r="L7" s="83"/>
      <c r="M7" s="30"/>
      <c r="N7" s="30"/>
      <c r="O7" s="30"/>
      <c r="P7" s="30"/>
      <c r="Q7" s="30"/>
      <c r="R7" s="30"/>
      <c r="S7" s="30"/>
      <c r="T7" s="30"/>
    </row>
    <row r="8" ht="24.0" customHeight="1">
      <c r="A8" s="90" t="s">
        <v>154</v>
      </c>
      <c r="B8" s="91" t="s">
        <v>166</v>
      </c>
      <c r="C8" s="77">
        <f>IFERROR(SUM('📅 DAILY T7'!C34:C36),0)</f>
        <v>0</v>
      </c>
      <c r="D8" s="77">
        <f>IFERROR(SUM('📅 DAILY T7'!D34:D36),0)</f>
        <v>0</v>
      </c>
      <c r="E8" s="77" t="str">
        <f>IFERROR(SUM('📅 DAILY T7'!C34:C36)/SUM('📅 DAILY T7'!D34:D36),"")</f>
        <v/>
      </c>
      <c r="F8" s="78">
        <f>IFERROR(SUM('📅 DAILY T7'!F34:F36),0)</f>
        <v>0</v>
      </c>
      <c r="G8" s="79" t="str">
        <f>IFERROR(SUM('📅 DAILY T7'!C34:C36)/SUM('📅 DAILY T7'!F34:F36),"")</f>
        <v/>
      </c>
      <c r="H8" s="80">
        <f>IFERROR(SUM('📅 DAILY T7'!M34:M36),0)</f>
        <v>0</v>
      </c>
      <c r="I8" s="81">
        <f>IFERROR(SUM('📅 DAILY T7'!N34:N36),0)</f>
        <v>0</v>
      </c>
      <c r="J8" s="82">
        <f>IFERROR(SUM('📅 DAILY T7'!C6:C36)/1277560078,"")</f>
        <v>0</v>
      </c>
      <c r="K8" s="82">
        <f>IFERROR(SUM('📅 DAILY T7'!M6:M36)/721910506,"")</f>
        <v>0</v>
      </c>
      <c r="L8" s="83"/>
      <c r="M8" s="30"/>
      <c r="N8" s="30"/>
      <c r="O8" s="30"/>
      <c r="P8" s="30"/>
      <c r="Q8" s="30"/>
      <c r="R8" s="30"/>
      <c r="S8" s="30"/>
      <c r="T8" s="30"/>
    </row>
    <row r="9" ht="4.5" customHeight="1">
      <c r="A9" s="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</row>
    <row r="10" ht="18.75" customHeight="1">
      <c r="A10" s="30"/>
      <c r="B10" s="92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</row>
    <row r="11" ht="18.75" customHeight="1">
      <c r="A11" s="30"/>
      <c r="B11" s="30"/>
      <c r="C11" s="92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</row>
    <row r="12" ht="18.75" customHeight="1">
      <c r="A12" s="30"/>
      <c r="B12" s="30"/>
      <c r="C12" s="30"/>
      <c r="D12" s="92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</row>
    <row r="13" ht="18.75" customHeight="1">
      <c r="A13" s="30"/>
      <c r="B13" s="30"/>
      <c r="C13" s="30"/>
      <c r="D13" s="30"/>
      <c r="E13" s="9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4" ht="18.75" customHeight="1">
      <c r="A14" s="30"/>
      <c r="B14" s="30"/>
      <c r="C14" s="30"/>
      <c r="D14" s="30"/>
      <c r="E14" s="30"/>
      <c r="F14" s="9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</row>
    <row r="15" ht="18.75" customHeight="1">
      <c r="A15" s="30"/>
      <c r="B15" s="30"/>
      <c r="C15" s="30"/>
      <c r="D15" s="30"/>
      <c r="E15" s="30"/>
      <c r="F15" s="30"/>
      <c r="G15" s="92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ht="18.75" customHeight="1">
      <c r="A16" s="30"/>
      <c r="B16" s="30"/>
      <c r="C16" s="30"/>
      <c r="D16" s="30"/>
      <c r="E16" s="30"/>
      <c r="F16" s="30"/>
      <c r="G16" s="30"/>
      <c r="H16" s="92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</row>
    <row r="17" ht="18.75" customHeight="1">
      <c r="A17" s="30"/>
      <c r="B17" s="30"/>
      <c r="C17" s="30"/>
      <c r="D17" s="30"/>
      <c r="E17" s="30"/>
      <c r="F17" s="30"/>
      <c r="G17" s="30"/>
      <c r="H17" s="30"/>
      <c r="I17" s="9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ht="18.75" customHeight="1">
      <c r="A18" s="30"/>
      <c r="B18" s="30"/>
      <c r="C18" s="30"/>
      <c r="D18" s="30"/>
      <c r="E18" s="30"/>
      <c r="F18" s="30"/>
      <c r="G18" s="30"/>
      <c r="H18" s="30"/>
      <c r="I18" s="30"/>
      <c r="J18" s="92"/>
      <c r="K18" s="30"/>
      <c r="L18" s="30"/>
      <c r="M18" s="30"/>
      <c r="N18" s="30"/>
      <c r="O18" s="30"/>
      <c r="P18" s="30"/>
      <c r="Q18" s="30"/>
      <c r="R18" s="30"/>
      <c r="S18" s="30"/>
      <c r="T18" s="30"/>
    </row>
    <row r="19" ht="18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92"/>
      <c r="L19" s="30"/>
      <c r="M19" s="30"/>
      <c r="N19" s="30"/>
      <c r="O19" s="30"/>
      <c r="P19" s="30"/>
      <c r="Q19" s="30"/>
      <c r="R19" s="30"/>
      <c r="S19" s="30"/>
      <c r="T19" s="30"/>
    </row>
    <row r="20" ht="18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92"/>
      <c r="M20" s="30"/>
      <c r="N20" s="30"/>
      <c r="O20" s="30"/>
      <c r="P20" s="30"/>
      <c r="Q20" s="30"/>
      <c r="R20" s="30"/>
      <c r="S20" s="30"/>
      <c r="T20" s="30"/>
    </row>
    <row r="21" ht="25.5" customHeight="1">
      <c r="A21" s="93" t="s">
        <v>156</v>
      </c>
      <c r="B21" s="94" t="s">
        <v>167</v>
      </c>
      <c r="C21" s="95">
        <f>IFERROR(SUM('📅 DAILY T7'!C6:C36),0)</f>
        <v>0</v>
      </c>
      <c r="D21" s="95">
        <f>IFERROR(SUM('📅 DAILY T7'!D6:D36),0)</f>
        <v>0</v>
      </c>
      <c r="E21" s="95" t="str">
        <f>IFERROR(SUM('📅 DAILY T7'!C6:C36)/SUM('📅 DAILY T7'!D6:D36),"")</f>
        <v/>
      </c>
      <c r="F21" s="95">
        <f>IFERROR(SUM('📅 DAILY T7'!F6:F36),0)</f>
        <v>0</v>
      </c>
      <c r="G21" s="96" t="str">
        <f>IFERROR(SUM('📅 DAILY T7'!C6:C36)/SUM('📅 DAILY T7'!F6:F36),"")</f>
        <v/>
      </c>
      <c r="H21" s="95">
        <f>IFERROR(SUM('📅 DAILY T7'!M6:M36),0)</f>
        <v>0</v>
      </c>
      <c r="I21" s="95">
        <f>IFERROR(SUM('📅 DAILY T7'!N6:N36),0)</f>
        <v>0</v>
      </c>
      <c r="J21" s="97">
        <f>IFERROR(SUM('📅 DAILY T7'!C6:C36)/1277560078,"")</f>
        <v>0</v>
      </c>
      <c r="K21" s="97">
        <f>IFERROR(SUM('📅 DAILY T7'!M6:M36)/721910506,"")</f>
        <v>0</v>
      </c>
      <c r="L21" s="92"/>
      <c r="M21" s="30"/>
      <c r="N21" s="30"/>
      <c r="O21" s="30"/>
      <c r="P21" s="30"/>
      <c r="Q21" s="30"/>
      <c r="R21" s="30"/>
      <c r="S21" s="30"/>
      <c r="T21" s="30"/>
    </row>
    <row r="22" ht="18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ht="21.75" customHeight="1">
      <c r="A23" s="98" t="s">
        <v>158</v>
      </c>
      <c r="B23" s="3"/>
      <c r="C23" s="99">
        <v>1.277560078E9</v>
      </c>
      <c r="D23" s="64"/>
      <c r="E23" s="64"/>
      <c r="F23" s="64"/>
      <c r="G23" s="64"/>
      <c r="H23" s="100">
        <v>7.21910506E8</v>
      </c>
      <c r="I23" s="101">
        <v>1.999470584E9</v>
      </c>
      <c r="J23" s="64"/>
      <c r="K23" s="64"/>
      <c r="L23" s="64"/>
      <c r="M23" s="30"/>
      <c r="N23" s="30"/>
      <c r="O23" s="30"/>
      <c r="P23" s="30"/>
      <c r="Q23" s="30"/>
      <c r="R23" s="30"/>
      <c r="S23" s="30"/>
      <c r="T23" s="30"/>
    </row>
    <row r="24" ht="18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</row>
    <row r="25" ht="18.75" customHeight="1">
      <c r="A25" s="102" t="s">
        <v>159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3"/>
      <c r="M25" s="30"/>
      <c r="N25" s="30"/>
      <c r="O25" s="30"/>
      <c r="P25" s="30"/>
      <c r="Q25" s="30"/>
      <c r="R25" s="30"/>
      <c r="S25" s="30"/>
      <c r="T25" s="30"/>
    </row>
    <row r="26" ht="18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ht="18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ht="18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ht="18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ht="18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ht="18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ht="18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ht="18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ht="18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ht="18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4">
    <mergeCell ref="A1:L1"/>
    <mergeCell ref="A2:L2"/>
    <mergeCell ref="A23:B23"/>
    <mergeCell ref="A25:L25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5.0"/>
    <col customWidth="1" min="2" max="2" width="6.0"/>
    <col customWidth="1" min="3" max="3" width="19.0"/>
    <col customWidth="1" min="4" max="4" width="11.0"/>
    <col customWidth="1" min="5" max="5" width="15.0"/>
    <col customWidth="1" min="6" max="9" width="17.0"/>
    <col customWidth="1" min="10" max="10" width="12.0"/>
    <col customWidth="1" min="11" max="11" width="16.0"/>
    <col customWidth="1" min="12" max="12" width="27.0"/>
    <col customWidth="1" min="13" max="14" width="18.0"/>
    <col customWidth="1" min="15" max="16" width="15.0"/>
    <col customWidth="1" min="17" max="17" width="12.0"/>
    <col customWidth="1" min="18" max="26" width="14.0"/>
  </cols>
  <sheetData>
    <row r="1" ht="33.0" customHeight="1">
      <c r="A1" s="46" t="s">
        <v>168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0"/>
      <c r="S1" s="30"/>
      <c r="T1" s="30"/>
    </row>
    <row r="2" ht="21.75" customHeight="1">
      <c r="A2" s="4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30"/>
      <c r="S2" s="30"/>
      <c r="T2" s="30"/>
    </row>
    <row r="3" ht="21.75" customHeight="1">
      <c r="A3" s="47" t="s">
        <v>104</v>
      </c>
      <c r="B3" s="3"/>
      <c r="C3" s="48" t="s">
        <v>105</v>
      </c>
      <c r="D3" s="3"/>
      <c r="E3" s="49" t="s">
        <v>106</v>
      </c>
      <c r="F3" s="3"/>
      <c r="G3" s="50" t="s">
        <v>107</v>
      </c>
      <c r="H3" s="2"/>
      <c r="I3" s="2"/>
      <c r="J3" s="3"/>
      <c r="K3" s="51" t="s">
        <v>108</v>
      </c>
      <c r="L3" s="52" t="s">
        <v>109</v>
      </c>
      <c r="M3" s="53" t="s">
        <v>110</v>
      </c>
      <c r="N3" s="3"/>
      <c r="O3" s="53" t="s">
        <v>110</v>
      </c>
      <c r="P3" s="3"/>
      <c r="Q3" s="54" t="s">
        <v>111</v>
      </c>
      <c r="R3" s="30"/>
      <c r="S3" s="30"/>
      <c r="T3" s="30"/>
    </row>
    <row r="4" ht="36.0" customHeight="1">
      <c r="A4" s="55" t="s">
        <v>112</v>
      </c>
      <c r="B4" s="55" t="s">
        <v>113</v>
      </c>
      <c r="C4" s="56" t="s">
        <v>114</v>
      </c>
      <c r="D4" s="56" t="s">
        <v>115</v>
      </c>
      <c r="E4" s="57" t="s">
        <v>116</v>
      </c>
      <c r="F4" s="57" t="s">
        <v>117</v>
      </c>
      <c r="G4" s="58" t="s">
        <v>118</v>
      </c>
      <c r="H4" s="58" t="s">
        <v>119</v>
      </c>
      <c r="I4" s="58" t="s">
        <v>120</v>
      </c>
      <c r="J4" s="58" t="s">
        <v>121</v>
      </c>
      <c r="K4" s="59" t="s">
        <v>122</v>
      </c>
      <c r="L4" s="60" t="s">
        <v>123</v>
      </c>
      <c r="M4" s="61" t="s">
        <v>124</v>
      </c>
      <c r="N4" s="61" t="s">
        <v>125</v>
      </c>
      <c r="O4" s="61" t="s">
        <v>126</v>
      </c>
      <c r="P4" s="61" t="s">
        <v>127</v>
      </c>
      <c r="Q4" s="61" t="s">
        <v>128</v>
      </c>
      <c r="R4" s="30"/>
      <c r="S4" s="30"/>
      <c r="T4" s="30"/>
    </row>
    <row r="5" ht="21.75" customHeight="1">
      <c r="A5" s="62" t="s">
        <v>129</v>
      </c>
      <c r="B5" s="3"/>
      <c r="C5" s="63">
        <v>1.292244677E9</v>
      </c>
      <c r="D5" s="64"/>
      <c r="E5" s="64"/>
      <c r="F5" s="64"/>
      <c r="G5" s="65">
        <v>3.28593747E8</v>
      </c>
      <c r="H5" s="65">
        <v>2.19062498E8</v>
      </c>
      <c r="I5" s="65">
        <v>1.82552082E8</v>
      </c>
      <c r="J5" s="64"/>
      <c r="K5" s="64"/>
      <c r="L5" s="64"/>
      <c r="M5" s="66">
        <v>7.30208327E8</v>
      </c>
      <c r="N5" s="66">
        <v>2.022453004E9</v>
      </c>
      <c r="O5" s="67">
        <v>450000.0</v>
      </c>
      <c r="P5" s="67">
        <v>330000.0</v>
      </c>
      <c r="Q5" s="68"/>
      <c r="R5" s="30"/>
      <c r="S5" s="30"/>
      <c r="T5" s="30"/>
    </row>
    <row r="6" ht="21.75" customHeight="1">
      <c r="A6" s="73">
        <v>46235.0</v>
      </c>
      <c r="B6" s="74" t="s">
        <v>135</v>
      </c>
      <c r="C6" s="71"/>
      <c r="D6" s="71"/>
      <c r="E6" s="71"/>
      <c r="F6" s="71"/>
      <c r="G6" s="71"/>
      <c r="H6" s="71"/>
      <c r="I6" s="71"/>
      <c r="J6" s="71"/>
      <c r="K6" s="71"/>
      <c r="L6" s="72"/>
      <c r="M6" s="14" t="str">
        <f t="shared" ref="M6:M36" si="1">IF(SUM(G6:I6)&gt;0,SUM(G6:I6),"")</f>
        <v/>
      </c>
      <c r="N6" s="14" t="str">
        <f t="shared" ref="N6:N36" si="2">IF(N(C6)+N(M6)&gt;0,N(C6)+N(M6),"")</f>
        <v/>
      </c>
      <c r="O6" s="14" t="str">
        <f t="shared" ref="O6:O36" si="3">IFERROR(IF(D6&gt;0,C6/D6,""),"")</f>
        <v/>
      </c>
      <c r="P6" s="14" t="str">
        <f t="shared" ref="P6:P36" si="4">IFERROR(IF(J6&gt;0,M6/J6,""),"")</f>
        <v/>
      </c>
      <c r="Q6" s="32" t="str">
        <f t="shared" ref="Q6:Q36" si="5">IFERROR(IF(E6&gt;0,D6/E6,""),"")</f>
        <v/>
      </c>
      <c r="R6" s="30"/>
      <c r="S6" s="30"/>
      <c r="T6" s="30"/>
    </row>
    <row r="7" ht="21.75" customHeight="1">
      <c r="A7" s="73">
        <v>46236.0</v>
      </c>
      <c r="B7" s="74" t="s">
        <v>136</v>
      </c>
      <c r="C7" s="71"/>
      <c r="D7" s="71"/>
      <c r="E7" s="71"/>
      <c r="F7" s="71"/>
      <c r="G7" s="71"/>
      <c r="H7" s="71"/>
      <c r="I7" s="71"/>
      <c r="J7" s="71"/>
      <c r="K7" s="71"/>
      <c r="L7" s="72"/>
      <c r="M7" s="14" t="str">
        <f t="shared" si="1"/>
        <v/>
      </c>
      <c r="N7" s="14" t="str">
        <f t="shared" si="2"/>
        <v/>
      </c>
      <c r="O7" s="14" t="str">
        <f t="shared" si="3"/>
        <v/>
      </c>
      <c r="P7" s="14" t="str">
        <f t="shared" si="4"/>
        <v/>
      </c>
      <c r="Q7" s="32" t="str">
        <f t="shared" si="5"/>
        <v/>
      </c>
      <c r="R7" s="30"/>
      <c r="S7" s="30"/>
      <c r="T7" s="30"/>
    </row>
    <row r="8" ht="21.75" customHeight="1">
      <c r="A8" s="69">
        <v>46237.0</v>
      </c>
      <c r="B8" s="70" t="s">
        <v>130</v>
      </c>
      <c r="C8" s="71"/>
      <c r="D8" s="71"/>
      <c r="E8" s="71"/>
      <c r="F8" s="71"/>
      <c r="G8" s="71"/>
      <c r="H8" s="71"/>
      <c r="I8" s="71"/>
      <c r="J8" s="71"/>
      <c r="K8" s="71"/>
      <c r="L8" s="72"/>
      <c r="M8" s="14" t="str">
        <f t="shared" si="1"/>
        <v/>
      </c>
      <c r="N8" s="14" t="str">
        <f t="shared" si="2"/>
        <v/>
      </c>
      <c r="O8" s="14" t="str">
        <f t="shared" si="3"/>
        <v/>
      </c>
      <c r="P8" s="14" t="str">
        <f t="shared" si="4"/>
        <v/>
      </c>
      <c r="Q8" s="32" t="str">
        <f t="shared" si="5"/>
        <v/>
      </c>
      <c r="R8" s="30"/>
      <c r="S8" s="30"/>
      <c r="T8" s="30"/>
    </row>
    <row r="9" ht="21.75" customHeight="1">
      <c r="A9" s="69">
        <v>46238.0</v>
      </c>
      <c r="B9" s="70" t="s">
        <v>131</v>
      </c>
      <c r="C9" s="71"/>
      <c r="D9" s="71"/>
      <c r="E9" s="71"/>
      <c r="F9" s="71"/>
      <c r="G9" s="71"/>
      <c r="H9" s="71"/>
      <c r="I9" s="71"/>
      <c r="J9" s="71"/>
      <c r="K9" s="71"/>
      <c r="L9" s="72"/>
      <c r="M9" s="14" t="str">
        <f t="shared" si="1"/>
        <v/>
      </c>
      <c r="N9" s="14" t="str">
        <f t="shared" si="2"/>
        <v/>
      </c>
      <c r="O9" s="14" t="str">
        <f t="shared" si="3"/>
        <v/>
      </c>
      <c r="P9" s="14" t="str">
        <f t="shared" si="4"/>
        <v/>
      </c>
      <c r="Q9" s="32" t="str">
        <f t="shared" si="5"/>
        <v/>
      </c>
      <c r="R9" s="30"/>
      <c r="S9" s="30"/>
      <c r="T9" s="30"/>
    </row>
    <row r="10" ht="21.75" customHeight="1">
      <c r="A10" s="69">
        <v>46239.0</v>
      </c>
      <c r="B10" s="70" t="s">
        <v>132</v>
      </c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14" t="str">
        <f t="shared" si="1"/>
        <v/>
      </c>
      <c r="N10" s="14" t="str">
        <f t="shared" si="2"/>
        <v/>
      </c>
      <c r="O10" s="14" t="str">
        <f t="shared" si="3"/>
        <v/>
      </c>
      <c r="P10" s="14" t="str">
        <f t="shared" si="4"/>
        <v/>
      </c>
      <c r="Q10" s="32" t="str">
        <f t="shared" si="5"/>
        <v/>
      </c>
      <c r="R10" s="30"/>
      <c r="S10" s="30"/>
      <c r="T10" s="30"/>
    </row>
    <row r="11" ht="21.75" customHeight="1">
      <c r="A11" s="69">
        <v>46240.0</v>
      </c>
      <c r="B11" s="70" t="s">
        <v>133</v>
      </c>
      <c r="C11" s="71"/>
      <c r="D11" s="71"/>
      <c r="E11" s="71"/>
      <c r="F11" s="71"/>
      <c r="G11" s="71"/>
      <c r="H11" s="71"/>
      <c r="I11" s="71"/>
      <c r="J11" s="71"/>
      <c r="K11" s="71"/>
      <c r="L11" s="72"/>
      <c r="M11" s="14" t="str">
        <f t="shared" si="1"/>
        <v/>
      </c>
      <c r="N11" s="14" t="str">
        <f t="shared" si="2"/>
        <v/>
      </c>
      <c r="O11" s="14" t="str">
        <f t="shared" si="3"/>
        <v/>
      </c>
      <c r="P11" s="14" t="str">
        <f t="shared" si="4"/>
        <v/>
      </c>
      <c r="Q11" s="32" t="str">
        <f t="shared" si="5"/>
        <v/>
      </c>
      <c r="R11" s="30"/>
      <c r="S11" s="30"/>
      <c r="T11" s="30"/>
    </row>
    <row r="12" ht="21.75" customHeight="1">
      <c r="A12" s="69">
        <v>46241.0</v>
      </c>
      <c r="B12" s="70" t="s">
        <v>134</v>
      </c>
      <c r="C12" s="71"/>
      <c r="D12" s="71"/>
      <c r="E12" s="71"/>
      <c r="F12" s="71"/>
      <c r="G12" s="71"/>
      <c r="H12" s="71"/>
      <c r="I12" s="71"/>
      <c r="J12" s="71"/>
      <c r="K12" s="71"/>
      <c r="L12" s="72"/>
      <c r="M12" s="14" t="str">
        <f t="shared" si="1"/>
        <v/>
      </c>
      <c r="N12" s="14" t="str">
        <f t="shared" si="2"/>
        <v/>
      </c>
      <c r="O12" s="14" t="str">
        <f t="shared" si="3"/>
        <v/>
      </c>
      <c r="P12" s="14" t="str">
        <f t="shared" si="4"/>
        <v/>
      </c>
      <c r="Q12" s="32" t="str">
        <f t="shared" si="5"/>
        <v/>
      </c>
      <c r="R12" s="30"/>
      <c r="S12" s="30"/>
      <c r="T12" s="30"/>
    </row>
    <row r="13" ht="21.75" customHeight="1">
      <c r="A13" s="73">
        <v>46242.0</v>
      </c>
      <c r="B13" s="74" t="s">
        <v>135</v>
      </c>
      <c r="C13" s="71"/>
      <c r="D13" s="71"/>
      <c r="E13" s="71"/>
      <c r="F13" s="71"/>
      <c r="G13" s="71"/>
      <c r="H13" s="71"/>
      <c r="I13" s="71"/>
      <c r="J13" s="71"/>
      <c r="K13" s="71"/>
      <c r="L13" s="72"/>
      <c r="M13" s="14" t="str">
        <f t="shared" si="1"/>
        <v/>
      </c>
      <c r="N13" s="14" t="str">
        <f t="shared" si="2"/>
        <v/>
      </c>
      <c r="O13" s="14" t="str">
        <f t="shared" si="3"/>
        <v/>
      </c>
      <c r="P13" s="14" t="str">
        <f t="shared" si="4"/>
        <v/>
      </c>
      <c r="Q13" s="32" t="str">
        <f t="shared" si="5"/>
        <v/>
      </c>
      <c r="R13" s="30"/>
      <c r="S13" s="30"/>
      <c r="T13" s="30"/>
    </row>
    <row r="14" ht="21.75" customHeight="1">
      <c r="A14" s="73">
        <v>46243.0</v>
      </c>
      <c r="B14" s="74" t="s">
        <v>136</v>
      </c>
      <c r="C14" s="71"/>
      <c r="D14" s="71"/>
      <c r="E14" s="71"/>
      <c r="F14" s="71"/>
      <c r="G14" s="71"/>
      <c r="H14" s="71"/>
      <c r="I14" s="71"/>
      <c r="J14" s="71"/>
      <c r="K14" s="71"/>
      <c r="L14" s="72"/>
      <c r="M14" s="14" t="str">
        <f t="shared" si="1"/>
        <v/>
      </c>
      <c r="N14" s="14" t="str">
        <f t="shared" si="2"/>
        <v/>
      </c>
      <c r="O14" s="14" t="str">
        <f t="shared" si="3"/>
        <v/>
      </c>
      <c r="P14" s="14" t="str">
        <f t="shared" si="4"/>
        <v/>
      </c>
      <c r="Q14" s="32" t="str">
        <f t="shared" si="5"/>
        <v/>
      </c>
      <c r="R14" s="30"/>
      <c r="S14" s="30"/>
      <c r="T14" s="30"/>
    </row>
    <row r="15" ht="21.75" customHeight="1">
      <c r="A15" s="69">
        <v>46244.0</v>
      </c>
      <c r="B15" s="70" t="s">
        <v>130</v>
      </c>
      <c r="C15" s="71"/>
      <c r="D15" s="71"/>
      <c r="E15" s="71"/>
      <c r="F15" s="71"/>
      <c r="G15" s="71"/>
      <c r="H15" s="71"/>
      <c r="I15" s="71"/>
      <c r="J15" s="71"/>
      <c r="K15" s="71"/>
      <c r="L15" s="72"/>
      <c r="M15" s="14" t="str">
        <f t="shared" si="1"/>
        <v/>
      </c>
      <c r="N15" s="14" t="str">
        <f t="shared" si="2"/>
        <v/>
      </c>
      <c r="O15" s="14" t="str">
        <f t="shared" si="3"/>
        <v/>
      </c>
      <c r="P15" s="14" t="str">
        <f t="shared" si="4"/>
        <v/>
      </c>
      <c r="Q15" s="32" t="str">
        <f t="shared" si="5"/>
        <v/>
      </c>
      <c r="R15" s="30"/>
      <c r="S15" s="30"/>
      <c r="T15" s="30"/>
    </row>
    <row r="16" ht="21.75" customHeight="1">
      <c r="A16" s="69">
        <v>46245.0</v>
      </c>
      <c r="B16" s="70" t="s">
        <v>131</v>
      </c>
      <c r="C16" s="71"/>
      <c r="D16" s="71"/>
      <c r="E16" s="71"/>
      <c r="F16" s="71"/>
      <c r="G16" s="71"/>
      <c r="H16" s="71"/>
      <c r="I16" s="71"/>
      <c r="J16" s="71"/>
      <c r="K16" s="71"/>
      <c r="L16" s="72"/>
      <c r="M16" s="14" t="str">
        <f t="shared" si="1"/>
        <v/>
      </c>
      <c r="N16" s="14" t="str">
        <f t="shared" si="2"/>
        <v/>
      </c>
      <c r="O16" s="14" t="str">
        <f t="shared" si="3"/>
        <v/>
      </c>
      <c r="P16" s="14" t="str">
        <f t="shared" si="4"/>
        <v/>
      </c>
      <c r="Q16" s="32" t="str">
        <f t="shared" si="5"/>
        <v/>
      </c>
      <c r="R16" s="30"/>
      <c r="S16" s="30"/>
      <c r="T16" s="30"/>
    </row>
    <row r="17" ht="21.75" customHeight="1">
      <c r="A17" s="69">
        <v>46246.0</v>
      </c>
      <c r="B17" s="70" t="s">
        <v>132</v>
      </c>
      <c r="C17" s="71"/>
      <c r="D17" s="71"/>
      <c r="E17" s="71"/>
      <c r="F17" s="71"/>
      <c r="G17" s="71"/>
      <c r="H17" s="71"/>
      <c r="I17" s="71"/>
      <c r="J17" s="71"/>
      <c r="K17" s="71"/>
      <c r="L17" s="72"/>
      <c r="M17" s="14" t="str">
        <f t="shared" si="1"/>
        <v/>
      </c>
      <c r="N17" s="14" t="str">
        <f t="shared" si="2"/>
        <v/>
      </c>
      <c r="O17" s="14" t="str">
        <f t="shared" si="3"/>
        <v/>
      </c>
      <c r="P17" s="14" t="str">
        <f t="shared" si="4"/>
        <v/>
      </c>
      <c r="Q17" s="32" t="str">
        <f t="shared" si="5"/>
        <v/>
      </c>
      <c r="R17" s="30"/>
      <c r="S17" s="30"/>
      <c r="T17" s="30"/>
    </row>
    <row r="18" ht="21.75" customHeight="1">
      <c r="A18" s="69">
        <v>46247.0</v>
      </c>
      <c r="B18" s="70" t="s">
        <v>133</v>
      </c>
      <c r="C18" s="71"/>
      <c r="D18" s="71"/>
      <c r="E18" s="71"/>
      <c r="F18" s="71"/>
      <c r="G18" s="71"/>
      <c r="H18" s="71"/>
      <c r="I18" s="71"/>
      <c r="J18" s="71"/>
      <c r="K18" s="71"/>
      <c r="L18" s="72"/>
      <c r="M18" s="14" t="str">
        <f t="shared" si="1"/>
        <v/>
      </c>
      <c r="N18" s="14" t="str">
        <f t="shared" si="2"/>
        <v/>
      </c>
      <c r="O18" s="14" t="str">
        <f t="shared" si="3"/>
        <v/>
      </c>
      <c r="P18" s="14" t="str">
        <f t="shared" si="4"/>
        <v/>
      </c>
      <c r="Q18" s="32" t="str">
        <f t="shared" si="5"/>
        <v/>
      </c>
      <c r="R18" s="30"/>
      <c r="S18" s="30"/>
      <c r="T18" s="30"/>
    </row>
    <row r="19" ht="21.75" customHeight="1">
      <c r="A19" s="69">
        <v>46248.0</v>
      </c>
      <c r="B19" s="70" t="s">
        <v>134</v>
      </c>
      <c r="C19" s="71"/>
      <c r="D19" s="71"/>
      <c r="E19" s="71"/>
      <c r="F19" s="71"/>
      <c r="G19" s="71"/>
      <c r="H19" s="71"/>
      <c r="I19" s="71"/>
      <c r="J19" s="71"/>
      <c r="K19" s="71"/>
      <c r="L19" s="72"/>
      <c r="M19" s="14" t="str">
        <f t="shared" si="1"/>
        <v/>
      </c>
      <c r="N19" s="14" t="str">
        <f t="shared" si="2"/>
        <v/>
      </c>
      <c r="O19" s="14" t="str">
        <f t="shared" si="3"/>
        <v/>
      </c>
      <c r="P19" s="14" t="str">
        <f t="shared" si="4"/>
        <v/>
      </c>
      <c r="Q19" s="32" t="str">
        <f t="shared" si="5"/>
        <v/>
      </c>
      <c r="R19" s="30"/>
      <c r="S19" s="30"/>
      <c r="T19" s="30"/>
    </row>
    <row r="20" ht="21.75" customHeight="1">
      <c r="A20" s="73">
        <v>46249.0</v>
      </c>
      <c r="B20" s="74" t="s">
        <v>135</v>
      </c>
      <c r="C20" s="71"/>
      <c r="D20" s="71"/>
      <c r="E20" s="71"/>
      <c r="F20" s="71"/>
      <c r="G20" s="71"/>
      <c r="H20" s="71"/>
      <c r="I20" s="71"/>
      <c r="J20" s="71"/>
      <c r="K20" s="71"/>
      <c r="L20" s="72"/>
      <c r="M20" s="14" t="str">
        <f t="shared" si="1"/>
        <v/>
      </c>
      <c r="N20" s="14" t="str">
        <f t="shared" si="2"/>
        <v/>
      </c>
      <c r="O20" s="14" t="str">
        <f t="shared" si="3"/>
        <v/>
      </c>
      <c r="P20" s="14" t="str">
        <f t="shared" si="4"/>
        <v/>
      </c>
      <c r="Q20" s="32" t="str">
        <f t="shared" si="5"/>
        <v/>
      </c>
      <c r="R20" s="30"/>
      <c r="S20" s="30"/>
      <c r="T20" s="30"/>
    </row>
    <row r="21" ht="21.75" customHeight="1">
      <c r="A21" s="73">
        <v>46250.0</v>
      </c>
      <c r="B21" s="74" t="s">
        <v>136</v>
      </c>
      <c r="C21" s="71"/>
      <c r="D21" s="71"/>
      <c r="E21" s="71"/>
      <c r="F21" s="71"/>
      <c r="G21" s="71"/>
      <c r="H21" s="71"/>
      <c r="I21" s="71"/>
      <c r="J21" s="71"/>
      <c r="K21" s="71"/>
      <c r="L21" s="72"/>
      <c r="M21" s="14" t="str">
        <f t="shared" si="1"/>
        <v/>
      </c>
      <c r="N21" s="14" t="str">
        <f t="shared" si="2"/>
        <v/>
      </c>
      <c r="O21" s="14" t="str">
        <f t="shared" si="3"/>
        <v/>
      </c>
      <c r="P21" s="14" t="str">
        <f t="shared" si="4"/>
        <v/>
      </c>
      <c r="Q21" s="32" t="str">
        <f t="shared" si="5"/>
        <v/>
      </c>
      <c r="R21" s="30"/>
      <c r="S21" s="30"/>
      <c r="T21" s="30"/>
    </row>
    <row r="22" ht="21.75" customHeight="1">
      <c r="A22" s="69">
        <v>46251.0</v>
      </c>
      <c r="B22" s="70" t="s">
        <v>130</v>
      </c>
      <c r="C22" s="71"/>
      <c r="D22" s="71"/>
      <c r="E22" s="71"/>
      <c r="F22" s="71"/>
      <c r="G22" s="71"/>
      <c r="H22" s="71"/>
      <c r="I22" s="71"/>
      <c r="J22" s="71"/>
      <c r="K22" s="71"/>
      <c r="L22" s="72"/>
      <c r="M22" s="14" t="str">
        <f t="shared" si="1"/>
        <v/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  <c r="Q22" s="32" t="str">
        <f t="shared" si="5"/>
        <v/>
      </c>
      <c r="R22" s="30"/>
      <c r="S22" s="30"/>
      <c r="T22" s="30"/>
    </row>
    <row r="23" ht="21.75" customHeight="1">
      <c r="A23" s="69">
        <v>46252.0</v>
      </c>
      <c r="B23" s="70" t="s">
        <v>131</v>
      </c>
      <c r="C23" s="71"/>
      <c r="D23" s="71"/>
      <c r="E23" s="71"/>
      <c r="F23" s="71"/>
      <c r="G23" s="71"/>
      <c r="H23" s="71"/>
      <c r="I23" s="71"/>
      <c r="J23" s="71"/>
      <c r="K23" s="71"/>
      <c r="L23" s="72"/>
      <c r="M23" s="14" t="str">
        <f t="shared" si="1"/>
        <v/>
      </c>
      <c r="N23" s="14" t="str">
        <f t="shared" si="2"/>
        <v/>
      </c>
      <c r="O23" s="14" t="str">
        <f t="shared" si="3"/>
        <v/>
      </c>
      <c r="P23" s="14" t="str">
        <f t="shared" si="4"/>
        <v/>
      </c>
      <c r="Q23" s="32" t="str">
        <f t="shared" si="5"/>
        <v/>
      </c>
      <c r="R23" s="30"/>
      <c r="S23" s="30"/>
      <c r="T23" s="30"/>
    </row>
    <row r="24" ht="21.75" customHeight="1">
      <c r="A24" s="69">
        <v>46253.0</v>
      </c>
      <c r="B24" s="70" t="s">
        <v>132</v>
      </c>
      <c r="C24" s="71"/>
      <c r="D24" s="71"/>
      <c r="E24" s="71"/>
      <c r="F24" s="71"/>
      <c r="G24" s="71"/>
      <c r="H24" s="71"/>
      <c r="I24" s="71"/>
      <c r="J24" s="71"/>
      <c r="K24" s="71"/>
      <c r="L24" s="72"/>
      <c r="M24" s="14" t="str">
        <f t="shared" si="1"/>
        <v/>
      </c>
      <c r="N24" s="14" t="str">
        <f t="shared" si="2"/>
        <v/>
      </c>
      <c r="O24" s="14" t="str">
        <f t="shared" si="3"/>
        <v/>
      </c>
      <c r="P24" s="14" t="str">
        <f t="shared" si="4"/>
        <v/>
      </c>
      <c r="Q24" s="32" t="str">
        <f t="shared" si="5"/>
        <v/>
      </c>
      <c r="R24" s="30"/>
      <c r="S24" s="30"/>
      <c r="T24" s="30"/>
    </row>
    <row r="25" ht="21.75" customHeight="1">
      <c r="A25" s="69">
        <v>46254.0</v>
      </c>
      <c r="B25" s="70" t="s">
        <v>133</v>
      </c>
      <c r="C25" s="71"/>
      <c r="D25" s="71"/>
      <c r="E25" s="71"/>
      <c r="F25" s="71"/>
      <c r="G25" s="71"/>
      <c r="H25" s="71"/>
      <c r="I25" s="71"/>
      <c r="J25" s="71"/>
      <c r="K25" s="71"/>
      <c r="L25" s="72"/>
      <c r="M25" s="14" t="str">
        <f t="shared" si="1"/>
        <v/>
      </c>
      <c r="N25" s="14" t="str">
        <f t="shared" si="2"/>
        <v/>
      </c>
      <c r="O25" s="14" t="str">
        <f t="shared" si="3"/>
        <v/>
      </c>
      <c r="P25" s="14" t="str">
        <f t="shared" si="4"/>
        <v/>
      </c>
      <c r="Q25" s="32" t="str">
        <f t="shared" si="5"/>
        <v/>
      </c>
      <c r="R25" s="30"/>
      <c r="S25" s="30"/>
      <c r="T25" s="30"/>
    </row>
    <row r="26" ht="21.75" customHeight="1">
      <c r="A26" s="69">
        <v>46255.0</v>
      </c>
      <c r="B26" s="70" t="s">
        <v>134</v>
      </c>
      <c r="C26" s="71"/>
      <c r="D26" s="71"/>
      <c r="E26" s="71"/>
      <c r="F26" s="71"/>
      <c r="G26" s="71"/>
      <c r="H26" s="71"/>
      <c r="I26" s="71"/>
      <c r="J26" s="71"/>
      <c r="K26" s="71"/>
      <c r="L26" s="72"/>
      <c r="M26" s="14" t="str">
        <f t="shared" si="1"/>
        <v/>
      </c>
      <c r="N26" s="14" t="str">
        <f t="shared" si="2"/>
        <v/>
      </c>
      <c r="O26" s="14" t="str">
        <f t="shared" si="3"/>
        <v/>
      </c>
      <c r="P26" s="14" t="str">
        <f t="shared" si="4"/>
        <v/>
      </c>
      <c r="Q26" s="32" t="str">
        <f t="shared" si="5"/>
        <v/>
      </c>
      <c r="R26" s="30"/>
      <c r="S26" s="30"/>
      <c r="T26" s="30"/>
    </row>
    <row r="27" ht="21.75" customHeight="1">
      <c r="A27" s="73">
        <v>46256.0</v>
      </c>
      <c r="B27" s="74" t="s">
        <v>135</v>
      </c>
      <c r="C27" s="71"/>
      <c r="D27" s="71"/>
      <c r="E27" s="71"/>
      <c r="F27" s="71"/>
      <c r="G27" s="71"/>
      <c r="H27" s="71"/>
      <c r="I27" s="71"/>
      <c r="J27" s="71"/>
      <c r="K27" s="71"/>
      <c r="L27" s="72"/>
      <c r="M27" s="14" t="str">
        <f t="shared" si="1"/>
        <v/>
      </c>
      <c r="N27" s="14" t="str">
        <f t="shared" si="2"/>
        <v/>
      </c>
      <c r="O27" s="14" t="str">
        <f t="shared" si="3"/>
        <v/>
      </c>
      <c r="P27" s="14" t="str">
        <f t="shared" si="4"/>
        <v/>
      </c>
      <c r="Q27" s="32" t="str">
        <f t="shared" si="5"/>
        <v/>
      </c>
      <c r="R27" s="30"/>
      <c r="S27" s="30"/>
      <c r="T27" s="30"/>
    </row>
    <row r="28" ht="21.75" customHeight="1">
      <c r="A28" s="73">
        <v>46257.0</v>
      </c>
      <c r="B28" s="74" t="s">
        <v>136</v>
      </c>
      <c r="C28" s="71"/>
      <c r="D28" s="71"/>
      <c r="E28" s="71"/>
      <c r="F28" s="71"/>
      <c r="G28" s="71"/>
      <c r="H28" s="71"/>
      <c r="I28" s="71"/>
      <c r="J28" s="71"/>
      <c r="K28" s="71"/>
      <c r="L28" s="72"/>
      <c r="M28" s="14" t="str">
        <f t="shared" si="1"/>
        <v/>
      </c>
      <c r="N28" s="14" t="str">
        <f t="shared" si="2"/>
        <v/>
      </c>
      <c r="O28" s="14" t="str">
        <f t="shared" si="3"/>
        <v/>
      </c>
      <c r="P28" s="14" t="str">
        <f t="shared" si="4"/>
        <v/>
      </c>
      <c r="Q28" s="32" t="str">
        <f t="shared" si="5"/>
        <v/>
      </c>
      <c r="R28" s="30"/>
      <c r="S28" s="30"/>
      <c r="T28" s="30"/>
    </row>
    <row r="29" ht="21.75" customHeight="1">
      <c r="A29" s="69">
        <v>46258.0</v>
      </c>
      <c r="B29" s="70" t="s">
        <v>130</v>
      </c>
      <c r="C29" s="71"/>
      <c r="D29" s="71"/>
      <c r="E29" s="71"/>
      <c r="F29" s="71"/>
      <c r="G29" s="71"/>
      <c r="H29" s="71"/>
      <c r="I29" s="71"/>
      <c r="J29" s="71"/>
      <c r="K29" s="71"/>
      <c r="L29" s="72"/>
      <c r="M29" s="14" t="str">
        <f t="shared" si="1"/>
        <v/>
      </c>
      <c r="N29" s="14" t="str">
        <f t="shared" si="2"/>
        <v/>
      </c>
      <c r="O29" s="14" t="str">
        <f t="shared" si="3"/>
        <v/>
      </c>
      <c r="P29" s="14" t="str">
        <f t="shared" si="4"/>
        <v/>
      </c>
      <c r="Q29" s="32" t="str">
        <f t="shared" si="5"/>
        <v/>
      </c>
      <c r="R29" s="30"/>
      <c r="S29" s="30"/>
      <c r="T29" s="30"/>
    </row>
    <row r="30" ht="21.75" customHeight="1">
      <c r="A30" s="69">
        <v>46259.0</v>
      </c>
      <c r="B30" s="70" t="s">
        <v>131</v>
      </c>
      <c r="C30" s="71"/>
      <c r="D30" s="71"/>
      <c r="E30" s="71"/>
      <c r="F30" s="71"/>
      <c r="G30" s="71"/>
      <c r="H30" s="71"/>
      <c r="I30" s="71"/>
      <c r="J30" s="71"/>
      <c r="K30" s="71"/>
      <c r="L30" s="72"/>
      <c r="M30" s="14" t="str">
        <f t="shared" si="1"/>
        <v/>
      </c>
      <c r="N30" s="14" t="str">
        <f t="shared" si="2"/>
        <v/>
      </c>
      <c r="O30" s="14" t="str">
        <f t="shared" si="3"/>
        <v/>
      </c>
      <c r="P30" s="14" t="str">
        <f t="shared" si="4"/>
        <v/>
      </c>
      <c r="Q30" s="32" t="str">
        <f t="shared" si="5"/>
        <v/>
      </c>
      <c r="R30" s="30"/>
      <c r="S30" s="30"/>
      <c r="T30" s="30"/>
    </row>
    <row r="31" ht="21.75" customHeight="1">
      <c r="A31" s="69">
        <v>46260.0</v>
      </c>
      <c r="B31" s="70" t="s">
        <v>132</v>
      </c>
      <c r="C31" s="71"/>
      <c r="D31" s="71"/>
      <c r="E31" s="71"/>
      <c r="F31" s="71"/>
      <c r="G31" s="71"/>
      <c r="H31" s="71"/>
      <c r="I31" s="71"/>
      <c r="J31" s="71"/>
      <c r="K31" s="71"/>
      <c r="L31" s="72"/>
      <c r="M31" s="14" t="str">
        <f t="shared" si="1"/>
        <v/>
      </c>
      <c r="N31" s="14" t="str">
        <f t="shared" si="2"/>
        <v/>
      </c>
      <c r="O31" s="14" t="str">
        <f t="shared" si="3"/>
        <v/>
      </c>
      <c r="P31" s="14" t="str">
        <f t="shared" si="4"/>
        <v/>
      </c>
      <c r="Q31" s="32" t="str">
        <f t="shared" si="5"/>
        <v/>
      </c>
      <c r="R31" s="30"/>
      <c r="S31" s="30"/>
      <c r="T31" s="30"/>
    </row>
    <row r="32" ht="21.75" customHeight="1">
      <c r="A32" s="69">
        <v>46261.0</v>
      </c>
      <c r="B32" s="70" t="s">
        <v>133</v>
      </c>
      <c r="C32" s="71"/>
      <c r="D32" s="71"/>
      <c r="E32" s="71"/>
      <c r="F32" s="71"/>
      <c r="G32" s="71"/>
      <c r="H32" s="71"/>
      <c r="I32" s="71"/>
      <c r="J32" s="71"/>
      <c r="K32" s="71"/>
      <c r="L32" s="72"/>
      <c r="M32" s="14" t="str">
        <f t="shared" si="1"/>
        <v/>
      </c>
      <c r="N32" s="14" t="str">
        <f t="shared" si="2"/>
        <v/>
      </c>
      <c r="O32" s="14" t="str">
        <f t="shared" si="3"/>
        <v/>
      </c>
      <c r="P32" s="14" t="str">
        <f t="shared" si="4"/>
        <v/>
      </c>
      <c r="Q32" s="32" t="str">
        <f t="shared" si="5"/>
        <v/>
      </c>
      <c r="R32" s="30"/>
      <c r="S32" s="30"/>
      <c r="T32" s="30"/>
    </row>
    <row r="33" ht="21.75" customHeight="1">
      <c r="A33" s="69">
        <v>46262.0</v>
      </c>
      <c r="B33" s="70" t="s">
        <v>134</v>
      </c>
      <c r="C33" s="71"/>
      <c r="D33" s="71"/>
      <c r="E33" s="71"/>
      <c r="F33" s="71"/>
      <c r="G33" s="71"/>
      <c r="H33" s="71"/>
      <c r="I33" s="71"/>
      <c r="J33" s="71"/>
      <c r="K33" s="71"/>
      <c r="L33" s="72"/>
      <c r="M33" s="14" t="str">
        <f t="shared" si="1"/>
        <v/>
      </c>
      <c r="N33" s="14" t="str">
        <f t="shared" si="2"/>
        <v/>
      </c>
      <c r="O33" s="14" t="str">
        <f t="shared" si="3"/>
        <v/>
      </c>
      <c r="P33" s="14" t="str">
        <f t="shared" si="4"/>
        <v/>
      </c>
      <c r="Q33" s="32" t="str">
        <f t="shared" si="5"/>
        <v/>
      </c>
      <c r="R33" s="30"/>
      <c r="S33" s="30"/>
      <c r="T33" s="30"/>
    </row>
    <row r="34" ht="21.75" customHeight="1">
      <c r="A34" s="73">
        <v>46263.0</v>
      </c>
      <c r="B34" s="74" t="s">
        <v>135</v>
      </c>
      <c r="C34" s="71"/>
      <c r="D34" s="71"/>
      <c r="E34" s="71"/>
      <c r="F34" s="71"/>
      <c r="G34" s="71"/>
      <c r="H34" s="71"/>
      <c r="I34" s="71"/>
      <c r="J34" s="71"/>
      <c r="K34" s="71"/>
      <c r="L34" s="72"/>
      <c r="M34" s="14" t="str">
        <f t="shared" si="1"/>
        <v/>
      </c>
      <c r="N34" s="14" t="str">
        <f t="shared" si="2"/>
        <v/>
      </c>
      <c r="O34" s="14" t="str">
        <f t="shared" si="3"/>
        <v/>
      </c>
      <c r="P34" s="14" t="str">
        <f t="shared" si="4"/>
        <v/>
      </c>
      <c r="Q34" s="32" t="str">
        <f t="shared" si="5"/>
        <v/>
      </c>
      <c r="R34" s="30"/>
      <c r="S34" s="30"/>
      <c r="T34" s="30"/>
    </row>
    <row r="35" ht="21.75" customHeight="1">
      <c r="A35" s="73">
        <v>46264.0</v>
      </c>
      <c r="B35" s="74" t="s">
        <v>136</v>
      </c>
      <c r="C35" s="71"/>
      <c r="D35" s="71"/>
      <c r="E35" s="71"/>
      <c r="F35" s="71"/>
      <c r="G35" s="71"/>
      <c r="H35" s="71"/>
      <c r="I35" s="71"/>
      <c r="J35" s="71"/>
      <c r="K35" s="71"/>
      <c r="L35" s="72"/>
      <c r="M35" s="14" t="str">
        <f t="shared" si="1"/>
        <v/>
      </c>
      <c r="N35" s="14" t="str">
        <f t="shared" si="2"/>
        <v/>
      </c>
      <c r="O35" s="14" t="str">
        <f t="shared" si="3"/>
        <v/>
      </c>
      <c r="P35" s="14" t="str">
        <f t="shared" si="4"/>
        <v/>
      </c>
      <c r="Q35" s="32" t="str">
        <f t="shared" si="5"/>
        <v/>
      </c>
      <c r="R35" s="30"/>
      <c r="S35" s="30"/>
      <c r="T35" s="30"/>
    </row>
    <row r="36" ht="21.75" customHeight="1">
      <c r="A36" s="69">
        <v>46265.0</v>
      </c>
      <c r="B36" s="70" t="s">
        <v>130</v>
      </c>
      <c r="C36" s="71"/>
      <c r="D36" s="71"/>
      <c r="E36" s="71"/>
      <c r="F36" s="71"/>
      <c r="G36" s="71"/>
      <c r="H36" s="71"/>
      <c r="I36" s="71"/>
      <c r="J36" s="71"/>
      <c r="K36" s="71"/>
      <c r="L36" s="72"/>
      <c r="M36" s="14" t="str">
        <f t="shared" si="1"/>
        <v/>
      </c>
      <c r="N36" s="14" t="str">
        <f t="shared" si="2"/>
        <v/>
      </c>
      <c r="O36" s="14" t="str">
        <f t="shared" si="3"/>
        <v/>
      </c>
      <c r="P36" s="14" t="str">
        <f t="shared" si="4"/>
        <v/>
      </c>
      <c r="Q36" s="32" t="str">
        <f t="shared" si="5"/>
        <v/>
      </c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9">
    <mergeCell ref="A3:B3"/>
    <mergeCell ref="A5:B5"/>
    <mergeCell ref="A1:Q1"/>
    <mergeCell ref="A2:Q2"/>
    <mergeCell ref="C3:D3"/>
    <mergeCell ref="E3:F3"/>
    <mergeCell ref="G3:J3"/>
    <mergeCell ref="M3:N3"/>
    <mergeCell ref="O3:P3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19.0"/>
    <col customWidth="1" min="4" max="4" width="12.0"/>
    <col customWidth="1" min="5" max="6" width="18.0"/>
    <col customWidth="1" min="7" max="7" width="12.0"/>
    <col customWidth="1" min="8" max="9" width="19.0"/>
    <col customWidth="1" min="10" max="11" width="17.0"/>
    <col customWidth="1" min="12" max="12" width="24.0"/>
    <col customWidth="1" min="13" max="26" width="14.0"/>
  </cols>
  <sheetData>
    <row r="1" ht="33.0" customHeight="1">
      <c r="A1" s="46" t="s">
        <v>169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0"/>
      <c r="N1" s="30"/>
      <c r="O1" s="30"/>
      <c r="P1" s="30"/>
      <c r="Q1" s="30"/>
      <c r="R1" s="30"/>
      <c r="S1" s="30"/>
      <c r="T1" s="30"/>
    </row>
    <row r="2" ht="18.75" customHeight="1">
      <c r="A2" s="4" t="s">
        <v>138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0"/>
      <c r="N2" s="30"/>
      <c r="O2" s="30"/>
      <c r="P2" s="30"/>
      <c r="Q2" s="30"/>
      <c r="R2" s="30"/>
      <c r="S2" s="30"/>
      <c r="T2" s="30"/>
    </row>
    <row r="3" ht="36.0" customHeight="1">
      <c r="A3" s="56" t="s">
        <v>139</v>
      </c>
      <c r="B3" s="56" t="s">
        <v>112</v>
      </c>
      <c r="C3" s="56" t="s">
        <v>114</v>
      </c>
      <c r="D3" s="56" t="s">
        <v>115</v>
      </c>
      <c r="E3" s="56" t="s">
        <v>140</v>
      </c>
      <c r="F3" s="57" t="s">
        <v>117</v>
      </c>
      <c r="G3" s="57" t="s">
        <v>141</v>
      </c>
      <c r="H3" s="58" t="s">
        <v>142</v>
      </c>
      <c r="I3" s="61" t="s">
        <v>143</v>
      </c>
      <c r="J3" s="61" t="s">
        <v>144</v>
      </c>
      <c r="K3" s="61" t="s">
        <v>145</v>
      </c>
      <c r="L3" s="60" t="s">
        <v>123</v>
      </c>
      <c r="M3" s="30"/>
      <c r="N3" s="30"/>
      <c r="O3" s="30"/>
      <c r="P3" s="30"/>
      <c r="Q3" s="30"/>
      <c r="R3" s="30"/>
      <c r="S3" s="30"/>
      <c r="T3" s="30"/>
    </row>
    <row r="4" ht="24.0" customHeight="1">
      <c r="A4" s="75" t="s">
        <v>146</v>
      </c>
      <c r="B4" s="76" t="s">
        <v>170</v>
      </c>
      <c r="C4" s="77">
        <f>IFERROR(SUM('📅 DAILY T8'!C6:C12),0)</f>
        <v>0</v>
      </c>
      <c r="D4" s="77">
        <f>IFERROR(SUM('📅 DAILY T8'!D6:D12),0)</f>
        <v>0</v>
      </c>
      <c r="E4" s="77" t="str">
        <f>IFERROR(SUM('📅 DAILY T8'!C6:C12)/SUM('📅 DAILY T8'!D6:D12),"")</f>
        <v/>
      </c>
      <c r="F4" s="78">
        <f>IFERROR(SUM('📅 DAILY T8'!F6:F12),0)</f>
        <v>0</v>
      </c>
      <c r="G4" s="79" t="str">
        <f>IFERROR(SUM('📅 DAILY T8'!C6:C12)/SUM('📅 DAILY T8'!F6:F12),"")</f>
        <v/>
      </c>
      <c r="H4" s="80">
        <f>IFERROR(SUM('📅 DAILY T8'!M6:M12),0)</f>
        <v>0</v>
      </c>
      <c r="I4" s="81">
        <f>IFERROR(SUM('📅 DAILY T8'!N6:N12),0)</f>
        <v>0</v>
      </c>
      <c r="J4" s="82">
        <f>IFERROR(SUM('📅 DAILY T8'!C6:C12)/1292244677,"")</f>
        <v>0</v>
      </c>
      <c r="K4" s="82">
        <f>IFERROR(SUM('📅 DAILY T8'!M6:M12)/730208327,"")</f>
        <v>0</v>
      </c>
      <c r="L4" s="83"/>
      <c r="M4" s="30"/>
      <c r="N4" s="30"/>
      <c r="O4" s="30"/>
      <c r="P4" s="30"/>
      <c r="Q4" s="30"/>
      <c r="R4" s="30"/>
      <c r="S4" s="30"/>
      <c r="T4" s="30"/>
    </row>
    <row r="5" ht="24.0" customHeight="1">
      <c r="A5" s="84" t="s">
        <v>148</v>
      </c>
      <c r="B5" s="85" t="s">
        <v>171</v>
      </c>
      <c r="C5" s="77">
        <f>IFERROR(SUM('📅 DAILY T8'!C13:C19),0)</f>
        <v>0</v>
      </c>
      <c r="D5" s="77">
        <f>IFERROR(SUM('📅 DAILY T8'!D13:D19),0)</f>
        <v>0</v>
      </c>
      <c r="E5" s="77" t="str">
        <f>IFERROR(SUM('📅 DAILY T8'!C13:C19)/SUM('📅 DAILY T8'!D13:D19),"")</f>
        <v/>
      </c>
      <c r="F5" s="78">
        <f>IFERROR(SUM('📅 DAILY T8'!F13:F19),0)</f>
        <v>0</v>
      </c>
      <c r="G5" s="79" t="str">
        <f>IFERROR(SUM('📅 DAILY T8'!C13:C19)/SUM('📅 DAILY T8'!F13:F19),"")</f>
        <v/>
      </c>
      <c r="H5" s="80">
        <f>IFERROR(SUM('📅 DAILY T8'!M13:M19),0)</f>
        <v>0</v>
      </c>
      <c r="I5" s="81">
        <f>IFERROR(SUM('📅 DAILY T8'!N13:N19),0)</f>
        <v>0</v>
      </c>
      <c r="J5" s="82">
        <f>IFERROR(SUM('📅 DAILY T8'!C6:C19)/1292244677,"")</f>
        <v>0</v>
      </c>
      <c r="K5" s="82">
        <f>IFERROR(SUM('📅 DAILY T8'!M6:M19)/730208327,"")</f>
        <v>0</v>
      </c>
      <c r="L5" s="83"/>
      <c r="M5" s="30"/>
      <c r="N5" s="30"/>
      <c r="O5" s="30"/>
      <c r="P5" s="30"/>
      <c r="Q5" s="30"/>
      <c r="R5" s="30"/>
      <c r="S5" s="30"/>
      <c r="T5" s="30"/>
    </row>
    <row r="6" ht="24.0" customHeight="1">
      <c r="A6" s="86" t="s">
        <v>150</v>
      </c>
      <c r="B6" s="87" t="s">
        <v>172</v>
      </c>
      <c r="C6" s="77">
        <f>IFERROR(SUM('📅 DAILY T8'!C20:C26),0)</f>
        <v>0</v>
      </c>
      <c r="D6" s="77">
        <f>IFERROR(SUM('📅 DAILY T8'!D20:D26),0)</f>
        <v>0</v>
      </c>
      <c r="E6" s="77" t="str">
        <f>IFERROR(SUM('📅 DAILY T8'!C20:C26)/SUM('📅 DAILY T8'!D20:D26),"")</f>
        <v/>
      </c>
      <c r="F6" s="78">
        <f>IFERROR(SUM('📅 DAILY T8'!F20:F26),0)</f>
        <v>0</v>
      </c>
      <c r="G6" s="79" t="str">
        <f>IFERROR(SUM('📅 DAILY T8'!C20:C26)/SUM('📅 DAILY T8'!F20:F26),"")</f>
        <v/>
      </c>
      <c r="H6" s="80">
        <f>IFERROR(SUM('📅 DAILY T8'!M20:M26),0)</f>
        <v>0</v>
      </c>
      <c r="I6" s="81">
        <f>IFERROR(SUM('📅 DAILY T8'!N20:N26),0)</f>
        <v>0</v>
      </c>
      <c r="J6" s="82">
        <f>IFERROR(SUM('📅 DAILY T8'!C6:C26)/1292244677,"")</f>
        <v>0</v>
      </c>
      <c r="K6" s="82">
        <f>IFERROR(SUM('📅 DAILY T8'!M6:M26)/730208327,"")</f>
        <v>0</v>
      </c>
      <c r="L6" s="83"/>
      <c r="M6" s="30"/>
      <c r="N6" s="30"/>
      <c r="O6" s="30"/>
      <c r="P6" s="30"/>
      <c r="Q6" s="30"/>
      <c r="R6" s="30"/>
      <c r="S6" s="30"/>
      <c r="T6" s="30"/>
    </row>
    <row r="7" ht="24.0" customHeight="1">
      <c r="A7" s="88" t="s">
        <v>152</v>
      </c>
      <c r="B7" s="89" t="s">
        <v>173</v>
      </c>
      <c r="C7" s="77">
        <f>IFERROR(SUM('📅 DAILY T8'!C27:C33),0)</f>
        <v>0</v>
      </c>
      <c r="D7" s="77">
        <f>IFERROR(SUM('📅 DAILY T8'!D27:D33),0)</f>
        <v>0</v>
      </c>
      <c r="E7" s="77" t="str">
        <f>IFERROR(SUM('📅 DAILY T8'!C27:C33)/SUM('📅 DAILY T8'!D27:D33),"")</f>
        <v/>
      </c>
      <c r="F7" s="78">
        <f>IFERROR(SUM('📅 DAILY T8'!F27:F33),0)</f>
        <v>0</v>
      </c>
      <c r="G7" s="79" t="str">
        <f>IFERROR(SUM('📅 DAILY T8'!C27:C33)/SUM('📅 DAILY T8'!F27:F33),"")</f>
        <v/>
      </c>
      <c r="H7" s="80">
        <f>IFERROR(SUM('📅 DAILY T8'!M27:M33),0)</f>
        <v>0</v>
      </c>
      <c r="I7" s="81">
        <f>IFERROR(SUM('📅 DAILY T8'!N27:N33),0)</f>
        <v>0</v>
      </c>
      <c r="J7" s="82">
        <f>IFERROR(SUM('📅 DAILY T8'!C6:C33)/1292244677,"")</f>
        <v>0</v>
      </c>
      <c r="K7" s="82">
        <f>IFERROR(SUM('📅 DAILY T8'!M6:M33)/730208327,"")</f>
        <v>0</v>
      </c>
      <c r="L7" s="83"/>
      <c r="M7" s="30"/>
      <c r="N7" s="30"/>
      <c r="O7" s="30"/>
      <c r="P7" s="30"/>
      <c r="Q7" s="30"/>
      <c r="R7" s="30"/>
      <c r="S7" s="30"/>
      <c r="T7" s="30"/>
    </row>
    <row r="8" ht="24.0" customHeight="1">
      <c r="A8" s="90" t="s">
        <v>154</v>
      </c>
      <c r="B8" s="91" t="s">
        <v>174</v>
      </c>
      <c r="C8" s="77">
        <f>IFERROR(SUM('📅 DAILY T8'!C34:C36),0)</f>
        <v>0</v>
      </c>
      <c r="D8" s="77">
        <f>IFERROR(SUM('📅 DAILY T8'!D34:D36),0)</f>
        <v>0</v>
      </c>
      <c r="E8" s="77" t="str">
        <f>IFERROR(SUM('📅 DAILY T8'!C34:C36)/SUM('📅 DAILY T8'!D34:D36),"")</f>
        <v/>
      </c>
      <c r="F8" s="78">
        <f>IFERROR(SUM('📅 DAILY T8'!F34:F36),0)</f>
        <v>0</v>
      </c>
      <c r="G8" s="79" t="str">
        <f>IFERROR(SUM('📅 DAILY T8'!C34:C36)/SUM('📅 DAILY T8'!F34:F36),"")</f>
        <v/>
      </c>
      <c r="H8" s="80">
        <f>IFERROR(SUM('📅 DAILY T8'!M34:M36),0)</f>
        <v>0</v>
      </c>
      <c r="I8" s="81">
        <f>IFERROR(SUM('📅 DAILY T8'!N34:N36),0)</f>
        <v>0</v>
      </c>
      <c r="J8" s="82">
        <f>IFERROR(SUM('📅 DAILY T8'!C6:C36)/1292244677,"")</f>
        <v>0</v>
      </c>
      <c r="K8" s="82">
        <f>IFERROR(SUM('📅 DAILY T8'!M6:M36)/730208327,"")</f>
        <v>0</v>
      </c>
      <c r="L8" s="83"/>
      <c r="M8" s="30"/>
      <c r="N8" s="30"/>
      <c r="O8" s="30"/>
      <c r="P8" s="30"/>
      <c r="Q8" s="30"/>
      <c r="R8" s="30"/>
      <c r="S8" s="30"/>
      <c r="T8" s="30"/>
    </row>
    <row r="9" ht="4.5" customHeight="1">
      <c r="A9" s="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</row>
    <row r="10" ht="18.75" customHeight="1">
      <c r="A10" s="30"/>
      <c r="B10" s="92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</row>
    <row r="11" ht="18.75" customHeight="1">
      <c r="A11" s="30"/>
      <c r="B11" s="30"/>
      <c r="C11" s="92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</row>
    <row r="12" ht="18.75" customHeight="1">
      <c r="A12" s="30"/>
      <c r="B12" s="30"/>
      <c r="C12" s="30"/>
      <c r="D12" s="92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</row>
    <row r="13" ht="18.75" customHeight="1">
      <c r="A13" s="30"/>
      <c r="B13" s="30"/>
      <c r="C13" s="30"/>
      <c r="D13" s="30"/>
      <c r="E13" s="9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4" ht="18.75" customHeight="1">
      <c r="A14" s="30"/>
      <c r="B14" s="30"/>
      <c r="C14" s="30"/>
      <c r="D14" s="30"/>
      <c r="E14" s="30"/>
      <c r="F14" s="9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</row>
    <row r="15" ht="18.75" customHeight="1">
      <c r="A15" s="30"/>
      <c r="B15" s="30"/>
      <c r="C15" s="30"/>
      <c r="D15" s="30"/>
      <c r="E15" s="30"/>
      <c r="F15" s="30"/>
      <c r="G15" s="92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ht="18.75" customHeight="1">
      <c r="A16" s="30"/>
      <c r="B16" s="30"/>
      <c r="C16" s="30"/>
      <c r="D16" s="30"/>
      <c r="E16" s="30"/>
      <c r="F16" s="30"/>
      <c r="G16" s="30"/>
      <c r="H16" s="92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</row>
    <row r="17" ht="18.75" customHeight="1">
      <c r="A17" s="30"/>
      <c r="B17" s="30"/>
      <c r="C17" s="30"/>
      <c r="D17" s="30"/>
      <c r="E17" s="30"/>
      <c r="F17" s="30"/>
      <c r="G17" s="30"/>
      <c r="H17" s="30"/>
      <c r="I17" s="9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ht="18.75" customHeight="1">
      <c r="A18" s="30"/>
      <c r="B18" s="30"/>
      <c r="C18" s="30"/>
      <c r="D18" s="30"/>
      <c r="E18" s="30"/>
      <c r="F18" s="30"/>
      <c r="G18" s="30"/>
      <c r="H18" s="30"/>
      <c r="I18" s="30"/>
      <c r="J18" s="92"/>
      <c r="K18" s="30"/>
      <c r="L18" s="30"/>
      <c r="M18" s="30"/>
      <c r="N18" s="30"/>
      <c r="O18" s="30"/>
      <c r="P18" s="30"/>
      <c r="Q18" s="30"/>
      <c r="R18" s="30"/>
      <c r="S18" s="30"/>
      <c r="T18" s="30"/>
    </row>
    <row r="19" ht="18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92"/>
      <c r="L19" s="30"/>
      <c r="M19" s="30"/>
      <c r="N19" s="30"/>
      <c r="O19" s="30"/>
      <c r="P19" s="30"/>
      <c r="Q19" s="30"/>
      <c r="R19" s="30"/>
      <c r="S19" s="30"/>
      <c r="T19" s="30"/>
    </row>
    <row r="20" ht="18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92"/>
      <c r="M20" s="30"/>
      <c r="N20" s="30"/>
      <c r="O20" s="30"/>
      <c r="P20" s="30"/>
      <c r="Q20" s="30"/>
      <c r="R20" s="30"/>
      <c r="S20" s="30"/>
      <c r="T20" s="30"/>
    </row>
    <row r="21" ht="25.5" customHeight="1">
      <c r="A21" s="93" t="s">
        <v>156</v>
      </c>
      <c r="B21" s="94" t="s">
        <v>175</v>
      </c>
      <c r="C21" s="95">
        <f>IFERROR(SUM('📅 DAILY T8'!C6:C36),0)</f>
        <v>0</v>
      </c>
      <c r="D21" s="95">
        <f>IFERROR(SUM('📅 DAILY T8'!D6:D36),0)</f>
        <v>0</v>
      </c>
      <c r="E21" s="95" t="str">
        <f>IFERROR(SUM('📅 DAILY T8'!C6:C36)/SUM('📅 DAILY T8'!D6:D36),"")</f>
        <v/>
      </c>
      <c r="F21" s="95">
        <f>IFERROR(SUM('📅 DAILY T8'!F6:F36),0)</f>
        <v>0</v>
      </c>
      <c r="G21" s="96" t="str">
        <f>IFERROR(SUM('📅 DAILY T8'!C6:C36)/SUM('📅 DAILY T8'!F6:F36),"")</f>
        <v/>
      </c>
      <c r="H21" s="95">
        <f>IFERROR(SUM('📅 DAILY T8'!M6:M36),0)</f>
        <v>0</v>
      </c>
      <c r="I21" s="95">
        <f>IFERROR(SUM('📅 DAILY T8'!N6:N36),0)</f>
        <v>0</v>
      </c>
      <c r="J21" s="97">
        <f>IFERROR(SUM('📅 DAILY T8'!C6:C36)/1292244677,"")</f>
        <v>0</v>
      </c>
      <c r="K21" s="97">
        <f>IFERROR(SUM('📅 DAILY T8'!M6:M36)/730208327,"")</f>
        <v>0</v>
      </c>
      <c r="L21" s="92"/>
      <c r="M21" s="30"/>
      <c r="N21" s="30"/>
      <c r="O21" s="30"/>
      <c r="P21" s="30"/>
      <c r="Q21" s="30"/>
      <c r="R21" s="30"/>
      <c r="S21" s="30"/>
      <c r="T21" s="30"/>
    </row>
    <row r="22" ht="18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ht="21.75" customHeight="1">
      <c r="A23" s="98" t="s">
        <v>158</v>
      </c>
      <c r="B23" s="3"/>
      <c r="C23" s="99">
        <v>1.292244677E9</v>
      </c>
      <c r="D23" s="64"/>
      <c r="E23" s="64"/>
      <c r="F23" s="64"/>
      <c r="G23" s="64"/>
      <c r="H23" s="100">
        <v>7.30208327E8</v>
      </c>
      <c r="I23" s="101">
        <v>2.022453004E9</v>
      </c>
      <c r="J23" s="64"/>
      <c r="K23" s="64"/>
      <c r="L23" s="64"/>
      <c r="M23" s="30"/>
      <c r="N23" s="30"/>
      <c r="O23" s="30"/>
      <c r="P23" s="30"/>
      <c r="Q23" s="30"/>
      <c r="R23" s="30"/>
      <c r="S23" s="30"/>
      <c r="T23" s="30"/>
    </row>
    <row r="24" ht="18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</row>
    <row r="25" ht="18.75" customHeight="1">
      <c r="A25" s="102" t="s">
        <v>159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3"/>
      <c r="M25" s="30"/>
      <c r="N25" s="30"/>
      <c r="O25" s="30"/>
      <c r="P25" s="30"/>
      <c r="Q25" s="30"/>
      <c r="R25" s="30"/>
      <c r="S25" s="30"/>
      <c r="T25" s="30"/>
    </row>
    <row r="26" ht="18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ht="18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ht="18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ht="18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ht="18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ht="18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ht="18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ht="18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ht="18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ht="18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4">
    <mergeCell ref="A1:L1"/>
    <mergeCell ref="A2:L2"/>
    <mergeCell ref="A23:B23"/>
    <mergeCell ref="A25:L25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5.0"/>
    <col customWidth="1" min="2" max="2" width="6.0"/>
    <col customWidth="1" min="3" max="3" width="19.0"/>
    <col customWidth="1" min="4" max="4" width="11.0"/>
    <col customWidth="1" min="5" max="5" width="15.0"/>
    <col customWidth="1" min="6" max="9" width="17.0"/>
    <col customWidth="1" min="10" max="10" width="12.0"/>
    <col customWidth="1" min="11" max="11" width="16.0"/>
    <col customWidth="1" min="12" max="12" width="27.0"/>
    <col customWidth="1" min="13" max="14" width="18.0"/>
    <col customWidth="1" min="15" max="16" width="15.0"/>
    <col customWidth="1" min="17" max="17" width="12.0"/>
    <col customWidth="1" min="18" max="26" width="14.0"/>
  </cols>
  <sheetData>
    <row r="1" ht="33.0" customHeight="1">
      <c r="A1" s="46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0"/>
      <c r="S1" s="30"/>
      <c r="T1" s="30"/>
    </row>
    <row r="2" ht="21.75" customHeight="1">
      <c r="A2" s="4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30"/>
      <c r="S2" s="30"/>
      <c r="T2" s="30"/>
    </row>
    <row r="3" ht="21.75" customHeight="1">
      <c r="A3" s="47" t="s">
        <v>104</v>
      </c>
      <c r="B3" s="3"/>
      <c r="C3" s="48" t="s">
        <v>105</v>
      </c>
      <c r="D3" s="3"/>
      <c r="E3" s="49" t="s">
        <v>106</v>
      </c>
      <c r="F3" s="3"/>
      <c r="G3" s="50" t="s">
        <v>107</v>
      </c>
      <c r="H3" s="2"/>
      <c r="I3" s="2"/>
      <c r="J3" s="3"/>
      <c r="K3" s="51" t="s">
        <v>108</v>
      </c>
      <c r="L3" s="52" t="s">
        <v>109</v>
      </c>
      <c r="M3" s="53" t="s">
        <v>110</v>
      </c>
      <c r="N3" s="3"/>
      <c r="O3" s="53" t="s">
        <v>110</v>
      </c>
      <c r="P3" s="3"/>
      <c r="Q3" s="54" t="s">
        <v>111</v>
      </c>
      <c r="R3" s="30"/>
      <c r="S3" s="30"/>
      <c r="T3" s="30"/>
    </row>
    <row r="4" ht="36.0" customHeight="1">
      <c r="A4" s="55" t="s">
        <v>112</v>
      </c>
      <c r="B4" s="55" t="s">
        <v>113</v>
      </c>
      <c r="C4" s="56" t="s">
        <v>114</v>
      </c>
      <c r="D4" s="56" t="s">
        <v>115</v>
      </c>
      <c r="E4" s="57" t="s">
        <v>116</v>
      </c>
      <c r="F4" s="57" t="s">
        <v>117</v>
      </c>
      <c r="G4" s="58" t="s">
        <v>118</v>
      </c>
      <c r="H4" s="58" t="s">
        <v>119</v>
      </c>
      <c r="I4" s="58" t="s">
        <v>120</v>
      </c>
      <c r="J4" s="58" t="s">
        <v>121</v>
      </c>
      <c r="K4" s="59" t="s">
        <v>122</v>
      </c>
      <c r="L4" s="60" t="s">
        <v>123</v>
      </c>
      <c r="M4" s="61" t="s">
        <v>124</v>
      </c>
      <c r="N4" s="61" t="s">
        <v>125</v>
      </c>
      <c r="O4" s="61" t="s">
        <v>126</v>
      </c>
      <c r="P4" s="61" t="s">
        <v>127</v>
      </c>
      <c r="Q4" s="61" t="s">
        <v>128</v>
      </c>
      <c r="R4" s="30"/>
      <c r="S4" s="30"/>
      <c r="T4" s="30"/>
    </row>
    <row r="5" ht="21.75" customHeight="1">
      <c r="A5" s="62" t="s">
        <v>129</v>
      </c>
      <c r="B5" s="3"/>
      <c r="C5" s="63">
        <v>1.145398691E9</v>
      </c>
      <c r="D5" s="64"/>
      <c r="E5" s="64"/>
      <c r="F5" s="64"/>
      <c r="G5" s="65">
        <v>2.91253549E8</v>
      </c>
      <c r="H5" s="65">
        <v>1.94169032E8</v>
      </c>
      <c r="I5" s="65">
        <v>1.61807527E8</v>
      </c>
      <c r="J5" s="64"/>
      <c r="K5" s="64"/>
      <c r="L5" s="64"/>
      <c r="M5" s="66">
        <v>6.47230108E8</v>
      </c>
      <c r="N5" s="66">
        <v>1.792628799E9</v>
      </c>
      <c r="O5" s="67">
        <v>450000.0</v>
      </c>
      <c r="P5" s="67">
        <v>330000.0</v>
      </c>
      <c r="Q5" s="68"/>
      <c r="R5" s="30"/>
      <c r="S5" s="30"/>
      <c r="T5" s="30"/>
    </row>
    <row r="6" ht="21.75" customHeight="1">
      <c r="A6" s="69">
        <v>46266.0</v>
      </c>
      <c r="B6" s="70" t="s">
        <v>131</v>
      </c>
      <c r="C6" s="71"/>
      <c r="D6" s="71"/>
      <c r="E6" s="71"/>
      <c r="F6" s="71"/>
      <c r="G6" s="71"/>
      <c r="H6" s="71"/>
      <c r="I6" s="71"/>
      <c r="J6" s="71"/>
      <c r="K6" s="71"/>
      <c r="L6" s="72"/>
      <c r="M6" s="14" t="str">
        <f t="shared" ref="M6:M35" si="1">IF(SUM(G6:I6)&gt;0,SUM(G6:I6),"")</f>
        <v/>
      </c>
      <c r="N6" s="14" t="str">
        <f t="shared" ref="N6:N35" si="2">IF(N(C6)+N(M6)&gt;0,N(C6)+N(M6),"")</f>
        <v/>
      </c>
      <c r="O6" s="14" t="str">
        <f t="shared" ref="O6:O35" si="3">IFERROR(IF(D6&gt;0,C6/D6,""),"")</f>
        <v/>
      </c>
      <c r="P6" s="14" t="str">
        <f t="shared" ref="P6:P35" si="4">IFERROR(IF(J6&gt;0,M6/J6,""),"")</f>
        <v/>
      </c>
      <c r="Q6" s="32" t="str">
        <f t="shared" ref="Q6:Q35" si="5">IFERROR(IF(E6&gt;0,D6/E6,""),"")</f>
        <v/>
      </c>
      <c r="R6" s="30"/>
      <c r="S6" s="30"/>
      <c r="T6" s="30"/>
    </row>
    <row r="7" ht="21.75" customHeight="1">
      <c r="A7" s="69">
        <v>46267.0</v>
      </c>
      <c r="B7" s="70" t="s">
        <v>132</v>
      </c>
      <c r="C7" s="71"/>
      <c r="D7" s="71"/>
      <c r="E7" s="71"/>
      <c r="F7" s="71"/>
      <c r="G7" s="71"/>
      <c r="H7" s="71"/>
      <c r="I7" s="71"/>
      <c r="J7" s="71"/>
      <c r="K7" s="71"/>
      <c r="L7" s="72"/>
      <c r="M7" s="14" t="str">
        <f t="shared" si="1"/>
        <v/>
      </c>
      <c r="N7" s="14" t="str">
        <f t="shared" si="2"/>
        <v/>
      </c>
      <c r="O7" s="14" t="str">
        <f t="shared" si="3"/>
        <v/>
      </c>
      <c r="P7" s="14" t="str">
        <f t="shared" si="4"/>
        <v/>
      </c>
      <c r="Q7" s="32" t="str">
        <f t="shared" si="5"/>
        <v/>
      </c>
      <c r="R7" s="30"/>
      <c r="S7" s="30"/>
      <c r="T7" s="30"/>
    </row>
    <row r="8" ht="21.75" customHeight="1">
      <c r="A8" s="69">
        <v>46268.0</v>
      </c>
      <c r="B8" s="70" t="s">
        <v>133</v>
      </c>
      <c r="C8" s="71"/>
      <c r="D8" s="71"/>
      <c r="E8" s="71"/>
      <c r="F8" s="71"/>
      <c r="G8" s="71"/>
      <c r="H8" s="71"/>
      <c r="I8" s="71"/>
      <c r="J8" s="71"/>
      <c r="K8" s="71"/>
      <c r="L8" s="72"/>
      <c r="M8" s="14" t="str">
        <f t="shared" si="1"/>
        <v/>
      </c>
      <c r="N8" s="14" t="str">
        <f t="shared" si="2"/>
        <v/>
      </c>
      <c r="O8" s="14" t="str">
        <f t="shared" si="3"/>
        <v/>
      </c>
      <c r="P8" s="14" t="str">
        <f t="shared" si="4"/>
        <v/>
      </c>
      <c r="Q8" s="32" t="str">
        <f t="shared" si="5"/>
        <v/>
      </c>
      <c r="R8" s="30"/>
      <c r="S8" s="30"/>
      <c r="T8" s="30"/>
    </row>
    <row r="9" ht="21.75" customHeight="1">
      <c r="A9" s="69">
        <v>46269.0</v>
      </c>
      <c r="B9" s="70" t="s">
        <v>134</v>
      </c>
      <c r="C9" s="71"/>
      <c r="D9" s="71"/>
      <c r="E9" s="71"/>
      <c r="F9" s="71"/>
      <c r="G9" s="71"/>
      <c r="H9" s="71"/>
      <c r="I9" s="71"/>
      <c r="J9" s="71"/>
      <c r="K9" s="71"/>
      <c r="L9" s="72"/>
      <c r="M9" s="14" t="str">
        <f t="shared" si="1"/>
        <v/>
      </c>
      <c r="N9" s="14" t="str">
        <f t="shared" si="2"/>
        <v/>
      </c>
      <c r="O9" s="14" t="str">
        <f t="shared" si="3"/>
        <v/>
      </c>
      <c r="P9" s="14" t="str">
        <f t="shared" si="4"/>
        <v/>
      </c>
      <c r="Q9" s="32" t="str">
        <f t="shared" si="5"/>
        <v/>
      </c>
      <c r="R9" s="30"/>
      <c r="S9" s="30"/>
      <c r="T9" s="30"/>
    </row>
    <row r="10" ht="21.75" customHeight="1">
      <c r="A10" s="73">
        <v>46270.0</v>
      </c>
      <c r="B10" s="74" t="s">
        <v>135</v>
      </c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14" t="str">
        <f t="shared" si="1"/>
        <v/>
      </c>
      <c r="N10" s="14" t="str">
        <f t="shared" si="2"/>
        <v/>
      </c>
      <c r="O10" s="14" t="str">
        <f t="shared" si="3"/>
        <v/>
      </c>
      <c r="P10" s="14" t="str">
        <f t="shared" si="4"/>
        <v/>
      </c>
      <c r="Q10" s="32" t="str">
        <f t="shared" si="5"/>
        <v/>
      </c>
      <c r="R10" s="30"/>
      <c r="S10" s="30"/>
      <c r="T10" s="30"/>
    </row>
    <row r="11" ht="21.75" customHeight="1">
      <c r="A11" s="73">
        <v>46271.0</v>
      </c>
      <c r="B11" s="74" t="s">
        <v>136</v>
      </c>
      <c r="C11" s="71"/>
      <c r="D11" s="71"/>
      <c r="E11" s="71"/>
      <c r="F11" s="71"/>
      <c r="G11" s="71"/>
      <c r="H11" s="71"/>
      <c r="I11" s="71"/>
      <c r="J11" s="71"/>
      <c r="K11" s="71"/>
      <c r="L11" s="72"/>
      <c r="M11" s="14" t="str">
        <f t="shared" si="1"/>
        <v/>
      </c>
      <c r="N11" s="14" t="str">
        <f t="shared" si="2"/>
        <v/>
      </c>
      <c r="O11" s="14" t="str">
        <f t="shared" si="3"/>
        <v/>
      </c>
      <c r="P11" s="14" t="str">
        <f t="shared" si="4"/>
        <v/>
      </c>
      <c r="Q11" s="32" t="str">
        <f t="shared" si="5"/>
        <v/>
      </c>
      <c r="R11" s="30"/>
      <c r="S11" s="30"/>
      <c r="T11" s="30"/>
    </row>
    <row r="12" ht="21.75" customHeight="1">
      <c r="A12" s="69">
        <v>46272.0</v>
      </c>
      <c r="B12" s="70" t="s">
        <v>130</v>
      </c>
      <c r="C12" s="71"/>
      <c r="D12" s="71"/>
      <c r="E12" s="71"/>
      <c r="F12" s="71"/>
      <c r="G12" s="71"/>
      <c r="H12" s="71"/>
      <c r="I12" s="71"/>
      <c r="J12" s="71"/>
      <c r="K12" s="71"/>
      <c r="L12" s="72"/>
      <c r="M12" s="14" t="str">
        <f t="shared" si="1"/>
        <v/>
      </c>
      <c r="N12" s="14" t="str">
        <f t="shared" si="2"/>
        <v/>
      </c>
      <c r="O12" s="14" t="str">
        <f t="shared" si="3"/>
        <v/>
      </c>
      <c r="P12" s="14" t="str">
        <f t="shared" si="4"/>
        <v/>
      </c>
      <c r="Q12" s="32" t="str">
        <f t="shared" si="5"/>
        <v/>
      </c>
      <c r="R12" s="30"/>
      <c r="S12" s="30"/>
      <c r="T12" s="30"/>
    </row>
    <row r="13" ht="21.75" customHeight="1">
      <c r="A13" s="69">
        <v>46273.0</v>
      </c>
      <c r="B13" s="70" t="s">
        <v>131</v>
      </c>
      <c r="C13" s="71"/>
      <c r="D13" s="71"/>
      <c r="E13" s="71"/>
      <c r="F13" s="71"/>
      <c r="G13" s="71"/>
      <c r="H13" s="71"/>
      <c r="I13" s="71"/>
      <c r="J13" s="71"/>
      <c r="K13" s="71"/>
      <c r="L13" s="72"/>
      <c r="M13" s="14" t="str">
        <f t="shared" si="1"/>
        <v/>
      </c>
      <c r="N13" s="14" t="str">
        <f t="shared" si="2"/>
        <v/>
      </c>
      <c r="O13" s="14" t="str">
        <f t="shared" si="3"/>
        <v/>
      </c>
      <c r="P13" s="14" t="str">
        <f t="shared" si="4"/>
        <v/>
      </c>
      <c r="Q13" s="32" t="str">
        <f t="shared" si="5"/>
        <v/>
      </c>
      <c r="R13" s="30"/>
      <c r="S13" s="30"/>
      <c r="T13" s="30"/>
    </row>
    <row r="14" ht="21.75" customHeight="1">
      <c r="A14" s="69">
        <v>46274.0</v>
      </c>
      <c r="B14" s="70" t="s">
        <v>132</v>
      </c>
      <c r="C14" s="71"/>
      <c r="D14" s="71"/>
      <c r="E14" s="71"/>
      <c r="F14" s="71"/>
      <c r="G14" s="71"/>
      <c r="H14" s="71"/>
      <c r="I14" s="71"/>
      <c r="J14" s="71"/>
      <c r="K14" s="71"/>
      <c r="L14" s="72"/>
      <c r="M14" s="14" t="str">
        <f t="shared" si="1"/>
        <v/>
      </c>
      <c r="N14" s="14" t="str">
        <f t="shared" si="2"/>
        <v/>
      </c>
      <c r="O14" s="14" t="str">
        <f t="shared" si="3"/>
        <v/>
      </c>
      <c r="P14" s="14" t="str">
        <f t="shared" si="4"/>
        <v/>
      </c>
      <c r="Q14" s="32" t="str">
        <f t="shared" si="5"/>
        <v/>
      </c>
      <c r="R14" s="30"/>
      <c r="S14" s="30"/>
      <c r="T14" s="30"/>
    </row>
    <row r="15" ht="21.75" customHeight="1">
      <c r="A15" s="69">
        <v>46275.0</v>
      </c>
      <c r="B15" s="70" t="s">
        <v>133</v>
      </c>
      <c r="C15" s="71"/>
      <c r="D15" s="71"/>
      <c r="E15" s="71"/>
      <c r="F15" s="71"/>
      <c r="G15" s="71"/>
      <c r="H15" s="71"/>
      <c r="I15" s="71"/>
      <c r="J15" s="71"/>
      <c r="K15" s="71"/>
      <c r="L15" s="72"/>
      <c r="M15" s="14" t="str">
        <f t="shared" si="1"/>
        <v/>
      </c>
      <c r="N15" s="14" t="str">
        <f t="shared" si="2"/>
        <v/>
      </c>
      <c r="O15" s="14" t="str">
        <f t="shared" si="3"/>
        <v/>
      </c>
      <c r="P15" s="14" t="str">
        <f t="shared" si="4"/>
        <v/>
      </c>
      <c r="Q15" s="32" t="str">
        <f t="shared" si="5"/>
        <v/>
      </c>
      <c r="R15" s="30"/>
      <c r="S15" s="30"/>
      <c r="T15" s="30"/>
    </row>
    <row r="16" ht="21.75" customHeight="1">
      <c r="A16" s="69">
        <v>46276.0</v>
      </c>
      <c r="B16" s="70" t="s">
        <v>134</v>
      </c>
      <c r="C16" s="71"/>
      <c r="D16" s="71"/>
      <c r="E16" s="71"/>
      <c r="F16" s="71"/>
      <c r="G16" s="71"/>
      <c r="H16" s="71"/>
      <c r="I16" s="71"/>
      <c r="J16" s="71"/>
      <c r="K16" s="71"/>
      <c r="L16" s="72"/>
      <c r="M16" s="14" t="str">
        <f t="shared" si="1"/>
        <v/>
      </c>
      <c r="N16" s="14" t="str">
        <f t="shared" si="2"/>
        <v/>
      </c>
      <c r="O16" s="14" t="str">
        <f t="shared" si="3"/>
        <v/>
      </c>
      <c r="P16" s="14" t="str">
        <f t="shared" si="4"/>
        <v/>
      </c>
      <c r="Q16" s="32" t="str">
        <f t="shared" si="5"/>
        <v/>
      </c>
      <c r="R16" s="30"/>
      <c r="S16" s="30"/>
      <c r="T16" s="30"/>
    </row>
    <row r="17" ht="21.75" customHeight="1">
      <c r="A17" s="73">
        <v>46277.0</v>
      </c>
      <c r="B17" s="74" t="s">
        <v>135</v>
      </c>
      <c r="C17" s="71"/>
      <c r="D17" s="71"/>
      <c r="E17" s="71"/>
      <c r="F17" s="71"/>
      <c r="G17" s="71"/>
      <c r="H17" s="71"/>
      <c r="I17" s="71"/>
      <c r="J17" s="71"/>
      <c r="K17" s="71"/>
      <c r="L17" s="72"/>
      <c r="M17" s="14" t="str">
        <f t="shared" si="1"/>
        <v/>
      </c>
      <c r="N17" s="14" t="str">
        <f t="shared" si="2"/>
        <v/>
      </c>
      <c r="O17" s="14" t="str">
        <f t="shared" si="3"/>
        <v/>
      </c>
      <c r="P17" s="14" t="str">
        <f t="shared" si="4"/>
        <v/>
      </c>
      <c r="Q17" s="32" t="str">
        <f t="shared" si="5"/>
        <v/>
      </c>
      <c r="R17" s="30"/>
      <c r="S17" s="30"/>
      <c r="T17" s="30"/>
    </row>
    <row r="18" ht="21.75" customHeight="1">
      <c r="A18" s="73">
        <v>46278.0</v>
      </c>
      <c r="B18" s="74" t="s">
        <v>136</v>
      </c>
      <c r="C18" s="71"/>
      <c r="D18" s="71"/>
      <c r="E18" s="71"/>
      <c r="F18" s="71"/>
      <c r="G18" s="71"/>
      <c r="H18" s="71"/>
      <c r="I18" s="71"/>
      <c r="J18" s="71"/>
      <c r="K18" s="71"/>
      <c r="L18" s="72"/>
      <c r="M18" s="14" t="str">
        <f t="shared" si="1"/>
        <v/>
      </c>
      <c r="N18" s="14" t="str">
        <f t="shared" si="2"/>
        <v/>
      </c>
      <c r="O18" s="14" t="str">
        <f t="shared" si="3"/>
        <v/>
      </c>
      <c r="P18" s="14" t="str">
        <f t="shared" si="4"/>
        <v/>
      </c>
      <c r="Q18" s="32" t="str">
        <f t="shared" si="5"/>
        <v/>
      </c>
      <c r="R18" s="30"/>
      <c r="S18" s="30"/>
      <c r="T18" s="30"/>
    </row>
    <row r="19" ht="21.75" customHeight="1">
      <c r="A19" s="69">
        <v>46279.0</v>
      </c>
      <c r="B19" s="70" t="s">
        <v>130</v>
      </c>
      <c r="C19" s="71"/>
      <c r="D19" s="71"/>
      <c r="E19" s="71"/>
      <c r="F19" s="71"/>
      <c r="G19" s="71"/>
      <c r="H19" s="71"/>
      <c r="I19" s="71"/>
      <c r="J19" s="71"/>
      <c r="K19" s="71"/>
      <c r="L19" s="72"/>
      <c r="M19" s="14" t="str">
        <f t="shared" si="1"/>
        <v/>
      </c>
      <c r="N19" s="14" t="str">
        <f t="shared" si="2"/>
        <v/>
      </c>
      <c r="O19" s="14" t="str">
        <f t="shared" si="3"/>
        <v/>
      </c>
      <c r="P19" s="14" t="str">
        <f t="shared" si="4"/>
        <v/>
      </c>
      <c r="Q19" s="32" t="str">
        <f t="shared" si="5"/>
        <v/>
      </c>
      <c r="R19" s="30"/>
      <c r="S19" s="30"/>
      <c r="T19" s="30"/>
    </row>
    <row r="20" ht="21.75" customHeight="1">
      <c r="A20" s="69">
        <v>46280.0</v>
      </c>
      <c r="B20" s="70" t="s">
        <v>131</v>
      </c>
      <c r="C20" s="71"/>
      <c r="D20" s="71"/>
      <c r="E20" s="71"/>
      <c r="F20" s="71"/>
      <c r="G20" s="71"/>
      <c r="H20" s="71"/>
      <c r="I20" s="71"/>
      <c r="J20" s="71"/>
      <c r="K20" s="71"/>
      <c r="L20" s="72"/>
      <c r="M20" s="14" t="str">
        <f t="shared" si="1"/>
        <v/>
      </c>
      <c r="N20" s="14" t="str">
        <f t="shared" si="2"/>
        <v/>
      </c>
      <c r="O20" s="14" t="str">
        <f t="shared" si="3"/>
        <v/>
      </c>
      <c r="P20" s="14" t="str">
        <f t="shared" si="4"/>
        <v/>
      </c>
      <c r="Q20" s="32" t="str">
        <f t="shared" si="5"/>
        <v/>
      </c>
      <c r="R20" s="30"/>
      <c r="S20" s="30"/>
      <c r="T20" s="30"/>
    </row>
    <row r="21" ht="21.75" customHeight="1">
      <c r="A21" s="69">
        <v>46281.0</v>
      </c>
      <c r="B21" s="70" t="s">
        <v>132</v>
      </c>
      <c r="C21" s="71"/>
      <c r="D21" s="71"/>
      <c r="E21" s="71"/>
      <c r="F21" s="71"/>
      <c r="G21" s="71"/>
      <c r="H21" s="71"/>
      <c r="I21" s="71"/>
      <c r="J21" s="71"/>
      <c r="K21" s="71"/>
      <c r="L21" s="72"/>
      <c r="M21" s="14" t="str">
        <f t="shared" si="1"/>
        <v/>
      </c>
      <c r="N21" s="14" t="str">
        <f t="shared" si="2"/>
        <v/>
      </c>
      <c r="O21" s="14" t="str">
        <f t="shared" si="3"/>
        <v/>
      </c>
      <c r="P21" s="14" t="str">
        <f t="shared" si="4"/>
        <v/>
      </c>
      <c r="Q21" s="32" t="str">
        <f t="shared" si="5"/>
        <v/>
      </c>
      <c r="R21" s="30"/>
      <c r="S21" s="30"/>
      <c r="T21" s="30"/>
    </row>
    <row r="22" ht="21.75" customHeight="1">
      <c r="A22" s="69">
        <v>46282.0</v>
      </c>
      <c r="B22" s="70" t="s">
        <v>133</v>
      </c>
      <c r="C22" s="71"/>
      <c r="D22" s="71"/>
      <c r="E22" s="71"/>
      <c r="F22" s="71"/>
      <c r="G22" s="71"/>
      <c r="H22" s="71"/>
      <c r="I22" s="71"/>
      <c r="J22" s="71"/>
      <c r="K22" s="71"/>
      <c r="L22" s="72"/>
      <c r="M22" s="14" t="str">
        <f t="shared" si="1"/>
        <v/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  <c r="Q22" s="32" t="str">
        <f t="shared" si="5"/>
        <v/>
      </c>
      <c r="R22" s="30"/>
      <c r="S22" s="30"/>
      <c r="T22" s="30"/>
    </row>
    <row r="23" ht="21.75" customHeight="1">
      <c r="A23" s="69">
        <v>46283.0</v>
      </c>
      <c r="B23" s="70" t="s">
        <v>134</v>
      </c>
      <c r="C23" s="71"/>
      <c r="D23" s="71"/>
      <c r="E23" s="71"/>
      <c r="F23" s="71"/>
      <c r="G23" s="71"/>
      <c r="H23" s="71"/>
      <c r="I23" s="71"/>
      <c r="J23" s="71"/>
      <c r="K23" s="71"/>
      <c r="L23" s="72"/>
      <c r="M23" s="14" t="str">
        <f t="shared" si="1"/>
        <v/>
      </c>
      <c r="N23" s="14" t="str">
        <f t="shared" si="2"/>
        <v/>
      </c>
      <c r="O23" s="14" t="str">
        <f t="shared" si="3"/>
        <v/>
      </c>
      <c r="P23" s="14" t="str">
        <f t="shared" si="4"/>
        <v/>
      </c>
      <c r="Q23" s="32" t="str">
        <f t="shared" si="5"/>
        <v/>
      </c>
      <c r="R23" s="30"/>
      <c r="S23" s="30"/>
      <c r="T23" s="30"/>
    </row>
    <row r="24" ht="21.75" customHeight="1">
      <c r="A24" s="73">
        <v>46284.0</v>
      </c>
      <c r="B24" s="74" t="s">
        <v>135</v>
      </c>
      <c r="C24" s="71"/>
      <c r="D24" s="71"/>
      <c r="E24" s="71"/>
      <c r="F24" s="71"/>
      <c r="G24" s="71"/>
      <c r="H24" s="71"/>
      <c r="I24" s="71"/>
      <c r="J24" s="71"/>
      <c r="K24" s="71"/>
      <c r="L24" s="72"/>
      <c r="M24" s="14" t="str">
        <f t="shared" si="1"/>
        <v/>
      </c>
      <c r="N24" s="14" t="str">
        <f t="shared" si="2"/>
        <v/>
      </c>
      <c r="O24" s="14" t="str">
        <f t="shared" si="3"/>
        <v/>
      </c>
      <c r="P24" s="14" t="str">
        <f t="shared" si="4"/>
        <v/>
      </c>
      <c r="Q24" s="32" t="str">
        <f t="shared" si="5"/>
        <v/>
      </c>
      <c r="R24" s="30"/>
      <c r="S24" s="30"/>
      <c r="T24" s="30"/>
    </row>
    <row r="25" ht="21.75" customHeight="1">
      <c r="A25" s="73">
        <v>46285.0</v>
      </c>
      <c r="B25" s="74" t="s">
        <v>136</v>
      </c>
      <c r="C25" s="71"/>
      <c r="D25" s="71"/>
      <c r="E25" s="71"/>
      <c r="F25" s="71"/>
      <c r="G25" s="71"/>
      <c r="H25" s="71"/>
      <c r="I25" s="71"/>
      <c r="J25" s="71"/>
      <c r="K25" s="71"/>
      <c r="L25" s="72"/>
      <c r="M25" s="14" t="str">
        <f t="shared" si="1"/>
        <v/>
      </c>
      <c r="N25" s="14" t="str">
        <f t="shared" si="2"/>
        <v/>
      </c>
      <c r="O25" s="14" t="str">
        <f t="shared" si="3"/>
        <v/>
      </c>
      <c r="P25" s="14" t="str">
        <f t="shared" si="4"/>
        <v/>
      </c>
      <c r="Q25" s="32" t="str">
        <f t="shared" si="5"/>
        <v/>
      </c>
      <c r="R25" s="30"/>
      <c r="S25" s="30"/>
      <c r="T25" s="30"/>
    </row>
    <row r="26" ht="21.75" customHeight="1">
      <c r="A26" s="69">
        <v>46286.0</v>
      </c>
      <c r="B26" s="70" t="s">
        <v>130</v>
      </c>
      <c r="C26" s="71"/>
      <c r="D26" s="71"/>
      <c r="E26" s="71"/>
      <c r="F26" s="71"/>
      <c r="G26" s="71"/>
      <c r="H26" s="71"/>
      <c r="I26" s="71"/>
      <c r="J26" s="71"/>
      <c r="K26" s="71"/>
      <c r="L26" s="72"/>
      <c r="M26" s="14" t="str">
        <f t="shared" si="1"/>
        <v/>
      </c>
      <c r="N26" s="14" t="str">
        <f t="shared" si="2"/>
        <v/>
      </c>
      <c r="O26" s="14" t="str">
        <f t="shared" si="3"/>
        <v/>
      </c>
      <c r="P26" s="14" t="str">
        <f t="shared" si="4"/>
        <v/>
      </c>
      <c r="Q26" s="32" t="str">
        <f t="shared" si="5"/>
        <v/>
      </c>
      <c r="R26" s="30"/>
      <c r="S26" s="30"/>
      <c r="T26" s="30"/>
    </row>
    <row r="27" ht="21.75" customHeight="1">
      <c r="A27" s="69">
        <v>46287.0</v>
      </c>
      <c r="B27" s="70" t="s">
        <v>131</v>
      </c>
      <c r="C27" s="71"/>
      <c r="D27" s="71"/>
      <c r="E27" s="71"/>
      <c r="F27" s="71"/>
      <c r="G27" s="71"/>
      <c r="H27" s="71"/>
      <c r="I27" s="71"/>
      <c r="J27" s="71"/>
      <c r="K27" s="71"/>
      <c r="L27" s="72"/>
      <c r="M27" s="14" t="str">
        <f t="shared" si="1"/>
        <v/>
      </c>
      <c r="N27" s="14" t="str">
        <f t="shared" si="2"/>
        <v/>
      </c>
      <c r="O27" s="14" t="str">
        <f t="shared" si="3"/>
        <v/>
      </c>
      <c r="P27" s="14" t="str">
        <f t="shared" si="4"/>
        <v/>
      </c>
      <c r="Q27" s="32" t="str">
        <f t="shared" si="5"/>
        <v/>
      </c>
      <c r="R27" s="30"/>
      <c r="S27" s="30"/>
      <c r="T27" s="30"/>
    </row>
    <row r="28" ht="21.75" customHeight="1">
      <c r="A28" s="69">
        <v>46288.0</v>
      </c>
      <c r="B28" s="70" t="s">
        <v>132</v>
      </c>
      <c r="C28" s="71"/>
      <c r="D28" s="71"/>
      <c r="E28" s="71"/>
      <c r="F28" s="71"/>
      <c r="G28" s="71"/>
      <c r="H28" s="71"/>
      <c r="I28" s="71"/>
      <c r="J28" s="71"/>
      <c r="K28" s="71"/>
      <c r="L28" s="72"/>
      <c r="M28" s="14" t="str">
        <f t="shared" si="1"/>
        <v/>
      </c>
      <c r="N28" s="14" t="str">
        <f t="shared" si="2"/>
        <v/>
      </c>
      <c r="O28" s="14" t="str">
        <f t="shared" si="3"/>
        <v/>
      </c>
      <c r="P28" s="14" t="str">
        <f t="shared" si="4"/>
        <v/>
      </c>
      <c r="Q28" s="32" t="str">
        <f t="shared" si="5"/>
        <v/>
      </c>
      <c r="R28" s="30"/>
      <c r="S28" s="30"/>
      <c r="T28" s="30"/>
    </row>
    <row r="29" ht="21.75" customHeight="1">
      <c r="A29" s="69">
        <v>46289.0</v>
      </c>
      <c r="B29" s="70" t="s">
        <v>133</v>
      </c>
      <c r="C29" s="71"/>
      <c r="D29" s="71"/>
      <c r="E29" s="71"/>
      <c r="F29" s="71"/>
      <c r="G29" s="71"/>
      <c r="H29" s="71"/>
      <c r="I29" s="71"/>
      <c r="J29" s="71"/>
      <c r="K29" s="71"/>
      <c r="L29" s="72"/>
      <c r="M29" s="14" t="str">
        <f t="shared" si="1"/>
        <v/>
      </c>
      <c r="N29" s="14" t="str">
        <f t="shared" si="2"/>
        <v/>
      </c>
      <c r="O29" s="14" t="str">
        <f t="shared" si="3"/>
        <v/>
      </c>
      <c r="P29" s="14" t="str">
        <f t="shared" si="4"/>
        <v/>
      </c>
      <c r="Q29" s="32" t="str">
        <f t="shared" si="5"/>
        <v/>
      </c>
      <c r="R29" s="30"/>
      <c r="S29" s="30"/>
      <c r="T29" s="30"/>
    </row>
    <row r="30" ht="21.75" customHeight="1">
      <c r="A30" s="69">
        <v>46290.0</v>
      </c>
      <c r="B30" s="70" t="s">
        <v>134</v>
      </c>
      <c r="C30" s="71"/>
      <c r="D30" s="71"/>
      <c r="E30" s="71"/>
      <c r="F30" s="71"/>
      <c r="G30" s="71"/>
      <c r="H30" s="71"/>
      <c r="I30" s="71"/>
      <c r="J30" s="71"/>
      <c r="K30" s="71"/>
      <c r="L30" s="72"/>
      <c r="M30" s="14" t="str">
        <f t="shared" si="1"/>
        <v/>
      </c>
      <c r="N30" s="14" t="str">
        <f t="shared" si="2"/>
        <v/>
      </c>
      <c r="O30" s="14" t="str">
        <f t="shared" si="3"/>
        <v/>
      </c>
      <c r="P30" s="14" t="str">
        <f t="shared" si="4"/>
        <v/>
      </c>
      <c r="Q30" s="32" t="str">
        <f t="shared" si="5"/>
        <v/>
      </c>
      <c r="R30" s="30"/>
      <c r="S30" s="30"/>
      <c r="T30" s="30"/>
    </row>
    <row r="31" ht="21.75" customHeight="1">
      <c r="A31" s="73">
        <v>46291.0</v>
      </c>
      <c r="B31" s="74" t="s">
        <v>135</v>
      </c>
      <c r="C31" s="71"/>
      <c r="D31" s="71"/>
      <c r="E31" s="71"/>
      <c r="F31" s="71"/>
      <c r="G31" s="71"/>
      <c r="H31" s="71"/>
      <c r="I31" s="71"/>
      <c r="J31" s="71"/>
      <c r="K31" s="71"/>
      <c r="L31" s="72"/>
      <c r="M31" s="14" t="str">
        <f t="shared" si="1"/>
        <v/>
      </c>
      <c r="N31" s="14" t="str">
        <f t="shared" si="2"/>
        <v/>
      </c>
      <c r="O31" s="14" t="str">
        <f t="shared" si="3"/>
        <v/>
      </c>
      <c r="P31" s="14" t="str">
        <f t="shared" si="4"/>
        <v/>
      </c>
      <c r="Q31" s="32" t="str">
        <f t="shared" si="5"/>
        <v/>
      </c>
      <c r="R31" s="30"/>
      <c r="S31" s="30"/>
      <c r="T31" s="30"/>
    </row>
    <row r="32" ht="21.75" customHeight="1">
      <c r="A32" s="73">
        <v>46292.0</v>
      </c>
      <c r="B32" s="74" t="s">
        <v>136</v>
      </c>
      <c r="C32" s="71"/>
      <c r="D32" s="71"/>
      <c r="E32" s="71"/>
      <c r="F32" s="71"/>
      <c r="G32" s="71"/>
      <c r="H32" s="71"/>
      <c r="I32" s="71"/>
      <c r="J32" s="71"/>
      <c r="K32" s="71"/>
      <c r="L32" s="72"/>
      <c r="M32" s="14" t="str">
        <f t="shared" si="1"/>
        <v/>
      </c>
      <c r="N32" s="14" t="str">
        <f t="shared" si="2"/>
        <v/>
      </c>
      <c r="O32" s="14" t="str">
        <f t="shared" si="3"/>
        <v/>
      </c>
      <c r="P32" s="14" t="str">
        <f t="shared" si="4"/>
        <v/>
      </c>
      <c r="Q32" s="32" t="str">
        <f t="shared" si="5"/>
        <v/>
      </c>
      <c r="R32" s="30"/>
      <c r="S32" s="30"/>
      <c r="T32" s="30"/>
    </row>
    <row r="33" ht="21.75" customHeight="1">
      <c r="A33" s="69">
        <v>46293.0</v>
      </c>
      <c r="B33" s="70" t="s">
        <v>130</v>
      </c>
      <c r="C33" s="71"/>
      <c r="D33" s="71"/>
      <c r="E33" s="71"/>
      <c r="F33" s="71"/>
      <c r="G33" s="71"/>
      <c r="H33" s="71"/>
      <c r="I33" s="71"/>
      <c r="J33" s="71"/>
      <c r="K33" s="71"/>
      <c r="L33" s="72"/>
      <c r="M33" s="14" t="str">
        <f t="shared" si="1"/>
        <v/>
      </c>
      <c r="N33" s="14" t="str">
        <f t="shared" si="2"/>
        <v/>
      </c>
      <c r="O33" s="14" t="str">
        <f t="shared" si="3"/>
        <v/>
      </c>
      <c r="P33" s="14" t="str">
        <f t="shared" si="4"/>
        <v/>
      </c>
      <c r="Q33" s="32" t="str">
        <f t="shared" si="5"/>
        <v/>
      </c>
      <c r="R33" s="30"/>
      <c r="S33" s="30"/>
      <c r="T33" s="30"/>
    </row>
    <row r="34" ht="21.75" customHeight="1">
      <c r="A34" s="69">
        <v>46294.0</v>
      </c>
      <c r="B34" s="70" t="s">
        <v>131</v>
      </c>
      <c r="C34" s="71"/>
      <c r="D34" s="71"/>
      <c r="E34" s="71"/>
      <c r="F34" s="71"/>
      <c r="G34" s="71"/>
      <c r="H34" s="71"/>
      <c r="I34" s="71"/>
      <c r="J34" s="71"/>
      <c r="K34" s="71"/>
      <c r="L34" s="72"/>
      <c r="M34" s="14" t="str">
        <f t="shared" si="1"/>
        <v/>
      </c>
      <c r="N34" s="14" t="str">
        <f t="shared" si="2"/>
        <v/>
      </c>
      <c r="O34" s="14" t="str">
        <f t="shared" si="3"/>
        <v/>
      </c>
      <c r="P34" s="14" t="str">
        <f t="shared" si="4"/>
        <v/>
      </c>
      <c r="Q34" s="32" t="str">
        <f t="shared" si="5"/>
        <v/>
      </c>
      <c r="R34" s="30"/>
      <c r="S34" s="30"/>
      <c r="T34" s="30"/>
    </row>
    <row r="35" ht="21.75" customHeight="1">
      <c r="A35" s="69">
        <v>46295.0</v>
      </c>
      <c r="B35" s="70" t="s">
        <v>132</v>
      </c>
      <c r="C35" s="71"/>
      <c r="D35" s="71"/>
      <c r="E35" s="71"/>
      <c r="F35" s="71"/>
      <c r="G35" s="71"/>
      <c r="H35" s="71"/>
      <c r="I35" s="71"/>
      <c r="J35" s="71"/>
      <c r="K35" s="71"/>
      <c r="L35" s="72"/>
      <c r="M35" s="14" t="str">
        <f t="shared" si="1"/>
        <v/>
      </c>
      <c r="N35" s="14" t="str">
        <f t="shared" si="2"/>
        <v/>
      </c>
      <c r="O35" s="14" t="str">
        <f t="shared" si="3"/>
        <v/>
      </c>
      <c r="P35" s="14" t="str">
        <f t="shared" si="4"/>
        <v/>
      </c>
      <c r="Q35" s="32" t="str">
        <f t="shared" si="5"/>
        <v/>
      </c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9">
    <mergeCell ref="A3:B3"/>
    <mergeCell ref="A5:B5"/>
    <mergeCell ref="A1:Q1"/>
    <mergeCell ref="A2:Q2"/>
    <mergeCell ref="C3:D3"/>
    <mergeCell ref="E3:F3"/>
    <mergeCell ref="G3:J3"/>
    <mergeCell ref="M3:N3"/>
    <mergeCell ref="O3:P3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19.0"/>
    <col customWidth="1" min="4" max="4" width="12.0"/>
    <col customWidth="1" min="5" max="6" width="18.0"/>
    <col customWidth="1" min="7" max="7" width="12.0"/>
    <col customWidth="1" min="8" max="9" width="19.0"/>
    <col customWidth="1" min="10" max="11" width="17.0"/>
    <col customWidth="1" min="12" max="12" width="24.0"/>
    <col customWidth="1" min="13" max="26" width="14.0"/>
  </cols>
  <sheetData>
    <row r="1" ht="33.0" customHeight="1">
      <c r="A1" s="46" t="s">
        <v>177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0"/>
      <c r="N1" s="30"/>
      <c r="O1" s="30"/>
      <c r="P1" s="30"/>
      <c r="Q1" s="30"/>
      <c r="R1" s="30"/>
      <c r="S1" s="30"/>
      <c r="T1" s="30"/>
    </row>
    <row r="2" ht="18.75" customHeight="1">
      <c r="A2" s="4" t="s">
        <v>138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0"/>
      <c r="N2" s="30"/>
      <c r="O2" s="30"/>
      <c r="P2" s="30"/>
      <c r="Q2" s="30"/>
      <c r="R2" s="30"/>
      <c r="S2" s="30"/>
      <c r="T2" s="30"/>
    </row>
    <row r="3" ht="36.0" customHeight="1">
      <c r="A3" s="56" t="s">
        <v>139</v>
      </c>
      <c r="B3" s="56" t="s">
        <v>112</v>
      </c>
      <c r="C3" s="56" t="s">
        <v>114</v>
      </c>
      <c r="D3" s="56" t="s">
        <v>115</v>
      </c>
      <c r="E3" s="56" t="s">
        <v>140</v>
      </c>
      <c r="F3" s="57" t="s">
        <v>117</v>
      </c>
      <c r="G3" s="57" t="s">
        <v>141</v>
      </c>
      <c r="H3" s="58" t="s">
        <v>142</v>
      </c>
      <c r="I3" s="61" t="s">
        <v>143</v>
      </c>
      <c r="J3" s="61" t="s">
        <v>144</v>
      </c>
      <c r="K3" s="61" t="s">
        <v>145</v>
      </c>
      <c r="L3" s="60" t="s">
        <v>123</v>
      </c>
      <c r="M3" s="30"/>
      <c r="N3" s="30"/>
      <c r="O3" s="30"/>
      <c r="P3" s="30"/>
      <c r="Q3" s="30"/>
      <c r="R3" s="30"/>
      <c r="S3" s="30"/>
      <c r="T3" s="30"/>
    </row>
    <row r="4" ht="24.0" customHeight="1">
      <c r="A4" s="75" t="s">
        <v>146</v>
      </c>
      <c r="B4" s="76" t="s">
        <v>178</v>
      </c>
      <c r="C4" s="77">
        <f>IFERROR(SUM('📅 DAILY T9'!C6:C12),0)</f>
        <v>0</v>
      </c>
      <c r="D4" s="77">
        <f>IFERROR(SUM('📅 DAILY T9'!D6:D12),0)</f>
        <v>0</v>
      </c>
      <c r="E4" s="77" t="str">
        <f>IFERROR(SUM('📅 DAILY T9'!C6:C12)/SUM('📅 DAILY T9'!D6:D12),"")</f>
        <v/>
      </c>
      <c r="F4" s="78">
        <f>IFERROR(SUM('📅 DAILY T9'!F6:F12),0)</f>
        <v>0</v>
      </c>
      <c r="G4" s="79" t="str">
        <f>IFERROR(SUM('📅 DAILY T9'!C6:C12)/SUM('📅 DAILY T9'!F6:F12),"")</f>
        <v/>
      </c>
      <c r="H4" s="80">
        <f>IFERROR(SUM('📅 DAILY T9'!M6:M12),0)</f>
        <v>0</v>
      </c>
      <c r="I4" s="81">
        <f>IFERROR(SUM('📅 DAILY T9'!N6:N12),0)</f>
        <v>0</v>
      </c>
      <c r="J4" s="82">
        <f>IFERROR(SUM('📅 DAILY T9'!C6:C12)/1145398691,"")</f>
        <v>0</v>
      </c>
      <c r="K4" s="82">
        <f>IFERROR(SUM('📅 DAILY T9'!M6:M12)/647230108,"")</f>
        <v>0</v>
      </c>
      <c r="L4" s="83"/>
      <c r="M4" s="30"/>
      <c r="N4" s="30"/>
      <c r="O4" s="30"/>
      <c r="P4" s="30"/>
      <c r="Q4" s="30"/>
      <c r="R4" s="30"/>
      <c r="S4" s="30"/>
      <c r="T4" s="30"/>
    </row>
    <row r="5" ht="24.0" customHeight="1">
      <c r="A5" s="84" t="s">
        <v>148</v>
      </c>
      <c r="B5" s="85" t="s">
        <v>179</v>
      </c>
      <c r="C5" s="77">
        <f>IFERROR(SUM('📅 DAILY T9'!C13:C19),0)</f>
        <v>0</v>
      </c>
      <c r="D5" s="77">
        <f>IFERROR(SUM('📅 DAILY T9'!D13:D19),0)</f>
        <v>0</v>
      </c>
      <c r="E5" s="77" t="str">
        <f>IFERROR(SUM('📅 DAILY T9'!C13:C19)/SUM('📅 DAILY T9'!D13:D19),"")</f>
        <v/>
      </c>
      <c r="F5" s="78">
        <f>IFERROR(SUM('📅 DAILY T9'!F13:F19),0)</f>
        <v>0</v>
      </c>
      <c r="G5" s="79" t="str">
        <f>IFERROR(SUM('📅 DAILY T9'!C13:C19)/SUM('📅 DAILY T9'!F13:F19),"")</f>
        <v/>
      </c>
      <c r="H5" s="80">
        <f>IFERROR(SUM('📅 DAILY T9'!M13:M19),0)</f>
        <v>0</v>
      </c>
      <c r="I5" s="81">
        <f>IFERROR(SUM('📅 DAILY T9'!N13:N19),0)</f>
        <v>0</v>
      </c>
      <c r="J5" s="82">
        <f>IFERROR(SUM('📅 DAILY T9'!C6:C19)/1145398691,"")</f>
        <v>0</v>
      </c>
      <c r="K5" s="82">
        <f>IFERROR(SUM('📅 DAILY T9'!M6:M19)/647230108,"")</f>
        <v>0</v>
      </c>
      <c r="L5" s="83"/>
      <c r="M5" s="30"/>
      <c r="N5" s="30"/>
      <c r="O5" s="30"/>
      <c r="P5" s="30"/>
      <c r="Q5" s="30"/>
      <c r="R5" s="30"/>
      <c r="S5" s="30"/>
      <c r="T5" s="30"/>
    </row>
    <row r="6" ht="24.0" customHeight="1">
      <c r="A6" s="86" t="s">
        <v>150</v>
      </c>
      <c r="B6" s="87" t="s">
        <v>180</v>
      </c>
      <c r="C6" s="77">
        <f>IFERROR(SUM('📅 DAILY T9'!C20:C26),0)</f>
        <v>0</v>
      </c>
      <c r="D6" s="77">
        <f>IFERROR(SUM('📅 DAILY T9'!D20:D26),0)</f>
        <v>0</v>
      </c>
      <c r="E6" s="77" t="str">
        <f>IFERROR(SUM('📅 DAILY T9'!C20:C26)/SUM('📅 DAILY T9'!D20:D26),"")</f>
        <v/>
      </c>
      <c r="F6" s="78">
        <f>IFERROR(SUM('📅 DAILY T9'!F20:F26),0)</f>
        <v>0</v>
      </c>
      <c r="G6" s="79" t="str">
        <f>IFERROR(SUM('📅 DAILY T9'!C20:C26)/SUM('📅 DAILY T9'!F20:F26),"")</f>
        <v/>
      </c>
      <c r="H6" s="80">
        <f>IFERROR(SUM('📅 DAILY T9'!M20:M26),0)</f>
        <v>0</v>
      </c>
      <c r="I6" s="81">
        <f>IFERROR(SUM('📅 DAILY T9'!N20:N26),0)</f>
        <v>0</v>
      </c>
      <c r="J6" s="82">
        <f>IFERROR(SUM('📅 DAILY T9'!C6:C26)/1145398691,"")</f>
        <v>0</v>
      </c>
      <c r="K6" s="82">
        <f>IFERROR(SUM('📅 DAILY T9'!M6:M26)/647230108,"")</f>
        <v>0</v>
      </c>
      <c r="L6" s="83"/>
      <c r="M6" s="30"/>
      <c r="N6" s="30"/>
      <c r="O6" s="30"/>
      <c r="P6" s="30"/>
      <c r="Q6" s="30"/>
      <c r="R6" s="30"/>
      <c r="S6" s="30"/>
      <c r="T6" s="30"/>
    </row>
    <row r="7" ht="24.0" customHeight="1">
      <c r="A7" s="88" t="s">
        <v>152</v>
      </c>
      <c r="B7" s="89" t="s">
        <v>181</v>
      </c>
      <c r="C7" s="77">
        <f>IFERROR(SUM('📅 DAILY T9'!C27:C33),0)</f>
        <v>0</v>
      </c>
      <c r="D7" s="77">
        <f>IFERROR(SUM('📅 DAILY T9'!D27:D33),0)</f>
        <v>0</v>
      </c>
      <c r="E7" s="77" t="str">
        <f>IFERROR(SUM('📅 DAILY T9'!C27:C33)/SUM('📅 DAILY T9'!D27:D33),"")</f>
        <v/>
      </c>
      <c r="F7" s="78">
        <f>IFERROR(SUM('📅 DAILY T9'!F27:F33),0)</f>
        <v>0</v>
      </c>
      <c r="G7" s="79" t="str">
        <f>IFERROR(SUM('📅 DAILY T9'!C27:C33)/SUM('📅 DAILY T9'!F27:F33),"")</f>
        <v/>
      </c>
      <c r="H7" s="80">
        <f>IFERROR(SUM('📅 DAILY T9'!M27:M33),0)</f>
        <v>0</v>
      </c>
      <c r="I7" s="81">
        <f>IFERROR(SUM('📅 DAILY T9'!N27:N33),0)</f>
        <v>0</v>
      </c>
      <c r="J7" s="82">
        <f>IFERROR(SUM('📅 DAILY T9'!C6:C33)/1145398691,"")</f>
        <v>0</v>
      </c>
      <c r="K7" s="82">
        <f>IFERROR(SUM('📅 DAILY T9'!M6:M33)/647230108,"")</f>
        <v>0</v>
      </c>
      <c r="L7" s="83"/>
      <c r="M7" s="30"/>
      <c r="N7" s="30"/>
      <c r="O7" s="30"/>
      <c r="P7" s="30"/>
      <c r="Q7" s="30"/>
      <c r="R7" s="30"/>
      <c r="S7" s="30"/>
      <c r="T7" s="30"/>
    </row>
    <row r="8" ht="24.0" customHeight="1">
      <c r="A8" s="90" t="s">
        <v>154</v>
      </c>
      <c r="B8" s="91" t="s">
        <v>182</v>
      </c>
      <c r="C8" s="77">
        <f>IFERROR(SUM('📅 DAILY T9'!C34:C35),0)</f>
        <v>0</v>
      </c>
      <c r="D8" s="77">
        <f>IFERROR(SUM('📅 DAILY T9'!D34:D35),0)</f>
        <v>0</v>
      </c>
      <c r="E8" s="77" t="str">
        <f>IFERROR(SUM('📅 DAILY T9'!C34:C35)/SUM('📅 DAILY T9'!D34:D35),"")</f>
        <v/>
      </c>
      <c r="F8" s="78">
        <f>IFERROR(SUM('📅 DAILY T9'!F34:F35),0)</f>
        <v>0</v>
      </c>
      <c r="G8" s="79" t="str">
        <f>IFERROR(SUM('📅 DAILY T9'!C34:C35)/SUM('📅 DAILY T9'!F34:F35),"")</f>
        <v/>
      </c>
      <c r="H8" s="80">
        <f>IFERROR(SUM('📅 DAILY T9'!M34:M35),0)</f>
        <v>0</v>
      </c>
      <c r="I8" s="81">
        <f>IFERROR(SUM('📅 DAILY T9'!N34:N35),0)</f>
        <v>0</v>
      </c>
      <c r="J8" s="82">
        <f>IFERROR(SUM('📅 DAILY T9'!C6:C35)/1145398691,"")</f>
        <v>0</v>
      </c>
      <c r="K8" s="82">
        <f>IFERROR(SUM('📅 DAILY T9'!M6:M35)/647230108,"")</f>
        <v>0</v>
      </c>
      <c r="L8" s="83"/>
      <c r="M8" s="30"/>
      <c r="N8" s="30"/>
      <c r="O8" s="30"/>
      <c r="P8" s="30"/>
      <c r="Q8" s="30"/>
      <c r="R8" s="30"/>
      <c r="S8" s="30"/>
      <c r="T8" s="30"/>
    </row>
    <row r="9" ht="4.5" customHeight="1">
      <c r="A9" s="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</row>
    <row r="10" ht="18.75" customHeight="1">
      <c r="A10" s="30"/>
      <c r="B10" s="92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</row>
    <row r="11" ht="18.75" customHeight="1">
      <c r="A11" s="30"/>
      <c r="B11" s="30"/>
      <c r="C11" s="92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</row>
    <row r="12" ht="18.75" customHeight="1">
      <c r="A12" s="30"/>
      <c r="B12" s="30"/>
      <c r="C12" s="30"/>
      <c r="D12" s="92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</row>
    <row r="13" ht="18.75" customHeight="1">
      <c r="A13" s="30"/>
      <c r="B13" s="30"/>
      <c r="C13" s="30"/>
      <c r="D13" s="30"/>
      <c r="E13" s="9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4" ht="18.75" customHeight="1">
      <c r="A14" s="30"/>
      <c r="B14" s="30"/>
      <c r="C14" s="30"/>
      <c r="D14" s="30"/>
      <c r="E14" s="30"/>
      <c r="F14" s="9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</row>
    <row r="15" ht="18.75" customHeight="1">
      <c r="A15" s="30"/>
      <c r="B15" s="30"/>
      <c r="C15" s="30"/>
      <c r="D15" s="30"/>
      <c r="E15" s="30"/>
      <c r="F15" s="30"/>
      <c r="G15" s="92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ht="18.75" customHeight="1">
      <c r="A16" s="30"/>
      <c r="B16" s="30"/>
      <c r="C16" s="30"/>
      <c r="D16" s="30"/>
      <c r="E16" s="30"/>
      <c r="F16" s="30"/>
      <c r="G16" s="30"/>
      <c r="H16" s="92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</row>
    <row r="17" ht="18.75" customHeight="1">
      <c r="A17" s="30"/>
      <c r="B17" s="30"/>
      <c r="C17" s="30"/>
      <c r="D17" s="30"/>
      <c r="E17" s="30"/>
      <c r="F17" s="30"/>
      <c r="G17" s="30"/>
      <c r="H17" s="30"/>
      <c r="I17" s="9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ht="18.75" customHeight="1">
      <c r="A18" s="30"/>
      <c r="B18" s="30"/>
      <c r="C18" s="30"/>
      <c r="D18" s="30"/>
      <c r="E18" s="30"/>
      <c r="F18" s="30"/>
      <c r="G18" s="30"/>
      <c r="H18" s="30"/>
      <c r="I18" s="30"/>
      <c r="J18" s="92"/>
      <c r="K18" s="30"/>
      <c r="L18" s="30"/>
      <c r="M18" s="30"/>
      <c r="N18" s="30"/>
      <c r="O18" s="30"/>
      <c r="P18" s="30"/>
      <c r="Q18" s="30"/>
      <c r="R18" s="30"/>
      <c r="S18" s="30"/>
      <c r="T18" s="30"/>
    </row>
    <row r="19" ht="18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92"/>
      <c r="L19" s="30"/>
      <c r="M19" s="30"/>
      <c r="N19" s="30"/>
      <c r="O19" s="30"/>
      <c r="P19" s="30"/>
      <c r="Q19" s="30"/>
      <c r="R19" s="30"/>
      <c r="S19" s="30"/>
      <c r="T19" s="30"/>
    </row>
    <row r="20" ht="18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92"/>
      <c r="M20" s="30"/>
      <c r="N20" s="30"/>
      <c r="O20" s="30"/>
      <c r="P20" s="30"/>
      <c r="Q20" s="30"/>
      <c r="R20" s="30"/>
      <c r="S20" s="30"/>
      <c r="T20" s="30"/>
    </row>
    <row r="21" ht="25.5" customHeight="1">
      <c r="A21" s="93" t="s">
        <v>156</v>
      </c>
      <c r="B21" s="94" t="s">
        <v>183</v>
      </c>
      <c r="C21" s="95">
        <f>IFERROR(SUM('📅 DAILY T9'!C6:C35),0)</f>
        <v>0</v>
      </c>
      <c r="D21" s="95">
        <f>IFERROR(SUM('📅 DAILY T9'!D6:D35),0)</f>
        <v>0</v>
      </c>
      <c r="E21" s="95" t="str">
        <f>IFERROR(SUM('📅 DAILY T9'!C6:C35)/SUM('📅 DAILY T9'!D6:D35),"")</f>
        <v/>
      </c>
      <c r="F21" s="95">
        <f>IFERROR(SUM('📅 DAILY T9'!F6:F35),0)</f>
        <v>0</v>
      </c>
      <c r="G21" s="96" t="str">
        <f>IFERROR(SUM('📅 DAILY T9'!C6:C35)/SUM('📅 DAILY T9'!F6:F35),"")</f>
        <v/>
      </c>
      <c r="H21" s="95">
        <f>IFERROR(SUM('📅 DAILY T9'!M6:M35),0)</f>
        <v>0</v>
      </c>
      <c r="I21" s="95">
        <f>IFERROR(SUM('📅 DAILY T9'!N6:N35),0)</f>
        <v>0</v>
      </c>
      <c r="J21" s="97">
        <f>IFERROR(SUM('📅 DAILY T9'!C6:C35)/1145398691,"")</f>
        <v>0</v>
      </c>
      <c r="K21" s="97">
        <f>IFERROR(SUM('📅 DAILY T9'!M6:M35)/647230108,"")</f>
        <v>0</v>
      </c>
      <c r="L21" s="92"/>
      <c r="M21" s="30"/>
      <c r="N21" s="30"/>
      <c r="O21" s="30"/>
      <c r="P21" s="30"/>
      <c r="Q21" s="30"/>
      <c r="R21" s="30"/>
      <c r="S21" s="30"/>
      <c r="T21" s="30"/>
    </row>
    <row r="22" ht="18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ht="21.75" customHeight="1">
      <c r="A23" s="98" t="s">
        <v>158</v>
      </c>
      <c r="B23" s="3"/>
      <c r="C23" s="99">
        <v>1.145398691E9</v>
      </c>
      <c r="D23" s="64"/>
      <c r="E23" s="64"/>
      <c r="F23" s="64"/>
      <c r="G23" s="64"/>
      <c r="H23" s="100">
        <v>6.47230108E8</v>
      </c>
      <c r="I23" s="101">
        <v>1.792628799E9</v>
      </c>
      <c r="J23" s="64"/>
      <c r="K23" s="64"/>
      <c r="L23" s="64"/>
      <c r="M23" s="30"/>
      <c r="N23" s="30"/>
      <c r="O23" s="30"/>
      <c r="P23" s="30"/>
      <c r="Q23" s="30"/>
      <c r="R23" s="30"/>
      <c r="S23" s="30"/>
      <c r="T23" s="30"/>
    </row>
    <row r="24" ht="18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</row>
    <row r="25" ht="18.75" customHeight="1">
      <c r="A25" s="102" t="s">
        <v>159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3"/>
      <c r="M25" s="30"/>
      <c r="N25" s="30"/>
      <c r="O25" s="30"/>
      <c r="P25" s="30"/>
      <c r="Q25" s="30"/>
      <c r="R25" s="30"/>
      <c r="S25" s="30"/>
      <c r="T25" s="30"/>
    </row>
    <row r="26" ht="18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ht="18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ht="18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ht="18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ht="18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ht="18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ht="18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ht="18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ht="18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ht="18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4">
    <mergeCell ref="A1:L1"/>
    <mergeCell ref="A2:L2"/>
    <mergeCell ref="A23:B23"/>
    <mergeCell ref="A25:L25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34.0"/>
    <col customWidth="1" min="3" max="3" width="62.0"/>
    <col customWidth="1" min="4" max="6" width="11.0"/>
    <col customWidth="1" min="7" max="26" width="14.0"/>
  </cols>
  <sheetData>
    <row r="1" ht="33.0" customHeight="1">
      <c r="A1" s="46" t="s">
        <v>184</v>
      </c>
      <c r="B1" s="2"/>
      <c r="C1" s="3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</row>
    <row r="2" ht="18.75" customHeight="1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</row>
    <row r="3" ht="28.5" customHeight="1">
      <c r="A3" s="103" t="s">
        <v>185</v>
      </c>
      <c r="B3" s="2"/>
      <c r="C3" s="3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</row>
    <row r="4" ht="24.0" customHeight="1">
      <c r="A4" s="104"/>
      <c r="B4" s="105" t="s">
        <v>186</v>
      </c>
      <c r="C4" s="106" t="s">
        <v>187</v>
      </c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</row>
    <row r="5" ht="24.0" customHeight="1">
      <c r="A5" s="83"/>
      <c r="B5" s="15" t="s">
        <v>188</v>
      </c>
      <c r="C5" s="107" t="s">
        <v>189</v>
      </c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</row>
    <row r="6" ht="24.0" customHeight="1">
      <c r="A6" s="104"/>
      <c r="B6" s="105" t="s">
        <v>190</v>
      </c>
      <c r="C6" s="106" t="s">
        <v>191</v>
      </c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</row>
    <row r="7" ht="24.0" customHeight="1">
      <c r="A7" s="83"/>
      <c r="B7" s="15" t="s">
        <v>192</v>
      </c>
      <c r="C7" s="107" t="s">
        <v>193</v>
      </c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</row>
    <row r="8" ht="24.0" customHeight="1">
      <c r="A8" s="104"/>
      <c r="B8" s="105" t="s">
        <v>194</v>
      </c>
      <c r="C8" s="106" t="s">
        <v>195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</row>
    <row r="9" ht="24.0" customHeight="1">
      <c r="A9" s="83"/>
      <c r="B9" s="15" t="s">
        <v>196</v>
      </c>
      <c r="C9" s="107" t="s">
        <v>197</v>
      </c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</row>
    <row r="10" ht="18.7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</row>
    <row r="11" ht="28.5" customHeight="1">
      <c r="A11" s="108" t="s">
        <v>198</v>
      </c>
      <c r="B11" s="2"/>
      <c r="C11" s="3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</row>
    <row r="12" ht="24.0" customHeight="1">
      <c r="A12" s="109"/>
      <c r="B12" s="110" t="s">
        <v>199</v>
      </c>
      <c r="C12" s="111" t="s">
        <v>200</v>
      </c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</row>
    <row r="13" ht="24.0" customHeight="1">
      <c r="A13" s="83"/>
      <c r="B13" s="15" t="s">
        <v>201</v>
      </c>
      <c r="C13" s="107" t="s">
        <v>202</v>
      </c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4" ht="24.0" customHeight="1">
      <c r="A14" s="109"/>
      <c r="B14" s="110" t="s">
        <v>203</v>
      </c>
      <c r="C14" s="111" t="s">
        <v>204</v>
      </c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</row>
    <row r="15" ht="24.0" customHeight="1">
      <c r="A15" s="83"/>
      <c r="B15" s="15" t="s">
        <v>205</v>
      </c>
      <c r="C15" s="107" t="s">
        <v>206</v>
      </c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ht="18.7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</row>
    <row r="17" ht="28.5" customHeight="1">
      <c r="A17" s="112" t="s">
        <v>207</v>
      </c>
      <c r="B17" s="2"/>
      <c r="C17" s="3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ht="24.0" customHeight="1">
      <c r="A18" s="113"/>
      <c r="B18" s="114" t="s">
        <v>208</v>
      </c>
      <c r="C18" s="115" t="s">
        <v>209</v>
      </c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</row>
    <row r="19" ht="24.0" customHeight="1">
      <c r="A19" s="83"/>
      <c r="B19" s="15" t="s">
        <v>210</v>
      </c>
      <c r="C19" s="107" t="s">
        <v>211</v>
      </c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</row>
    <row r="20" ht="24.0" customHeight="1">
      <c r="A20" s="113"/>
      <c r="B20" s="114" t="s">
        <v>212</v>
      </c>
      <c r="C20" s="115" t="s">
        <v>213</v>
      </c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</row>
    <row r="21" ht="24.0" customHeight="1">
      <c r="A21" s="83"/>
      <c r="B21" s="15" t="s">
        <v>214</v>
      </c>
      <c r="C21" s="107" t="s">
        <v>215</v>
      </c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</row>
    <row r="22" ht="24.0" customHeight="1">
      <c r="A22" s="113"/>
      <c r="B22" s="114" t="s">
        <v>216</v>
      </c>
      <c r="C22" s="115" t="s">
        <v>217</v>
      </c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ht="18.7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</row>
    <row r="24" ht="28.5" customHeight="1">
      <c r="A24" s="116" t="s">
        <v>218</v>
      </c>
      <c r="B24" s="2"/>
      <c r="C24" s="3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</row>
    <row r="25" ht="24.0" customHeight="1">
      <c r="A25" s="117"/>
      <c r="B25" s="118" t="s">
        <v>219</v>
      </c>
      <c r="C25" s="119" t="s">
        <v>220</v>
      </c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ht="24.0" customHeight="1">
      <c r="A26" s="83"/>
      <c r="B26" s="15" t="s">
        <v>221</v>
      </c>
      <c r="C26" s="107" t="s">
        <v>222</v>
      </c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ht="24.0" customHeight="1">
      <c r="A27" s="117"/>
      <c r="B27" s="118" t="s">
        <v>223</v>
      </c>
      <c r="C27" s="119" t="s">
        <v>224</v>
      </c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ht="24.0" customHeight="1">
      <c r="A28" s="83"/>
      <c r="B28" s="15" t="s">
        <v>225</v>
      </c>
      <c r="C28" s="107" t="s">
        <v>226</v>
      </c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ht="24.0" customHeight="1">
      <c r="A29" s="117"/>
      <c r="B29" s="118" t="s">
        <v>227</v>
      </c>
      <c r="C29" s="119" t="s">
        <v>228</v>
      </c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ht="24.0" customHeight="1">
      <c r="A30" s="83"/>
      <c r="B30" s="15" t="s">
        <v>229</v>
      </c>
      <c r="C30" s="107" t="s">
        <v>230</v>
      </c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ht="24.0" customHeight="1">
      <c r="A31" s="117"/>
      <c r="B31" s="118" t="s">
        <v>231</v>
      </c>
      <c r="C31" s="119" t="s">
        <v>232</v>
      </c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ht="24.0" customHeight="1">
      <c r="A32" s="83"/>
      <c r="B32" s="15" t="s">
        <v>233</v>
      </c>
      <c r="C32" s="107" t="s">
        <v>234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ht="24.0" customHeight="1">
      <c r="A33" s="117"/>
      <c r="B33" s="118" t="s">
        <v>235</v>
      </c>
      <c r="C33" s="119" t="s">
        <v>236</v>
      </c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ht="24.0" customHeight="1">
      <c r="A34" s="83"/>
      <c r="B34" s="15" t="s">
        <v>237</v>
      </c>
      <c r="C34" s="107" t="s">
        <v>238</v>
      </c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ht="18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ht="18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ht="18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ht="18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ht="18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ht="18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ht="18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ht="18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ht="18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ht="18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ht="18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ht="18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ht="18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</row>
    <row r="48" ht="18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</row>
    <row r="49" ht="18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ht="18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</row>
    <row r="51" ht="18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</row>
    <row r="52" ht="18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ht="18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ht="18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ht="18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</row>
    <row r="56" ht="18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ht="18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</row>
    <row r="58" ht="18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</row>
    <row r="59" ht="18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</row>
    <row r="60" ht="18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</row>
    <row r="61" ht="18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</row>
    <row r="62" ht="18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ht="18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ht="18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ht="18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ht="18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ht="18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</row>
    <row r="68" ht="18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</row>
    <row r="69" ht="18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</row>
    <row r="70" ht="18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</row>
    <row r="71" ht="18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</row>
    <row r="72" ht="18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</row>
    <row r="73" ht="18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</row>
    <row r="74" ht="18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</row>
    <row r="75" ht="18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</row>
    <row r="76" ht="18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</row>
    <row r="77" ht="18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</row>
    <row r="78" ht="18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</row>
    <row r="79" ht="18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</row>
    <row r="80" ht="18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</row>
    <row r="81" ht="18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ht="18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ht="18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</row>
    <row r="84" ht="18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</row>
    <row r="85" ht="18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</row>
    <row r="86" ht="18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</row>
    <row r="87" ht="18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</row>
    <row r="88" ht="18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</row>
    <row r="89" ht="18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</row>
    <row r="90" ht="18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</row>
    <row r="91" ht="18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</row>
    <row r="92" ht="18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</row>
    <row r="93" ht="18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</row>
    <row r="94" ht="18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</row>
    <row r="95" ht="18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</row>
    <row r="96" ht="18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</row>
    <row r="97" ht="18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</row>
    <row r="98" ht="18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</row>
    <row r="99" ht="18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</row>
    <row r="100" ht="18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</row>
    <row r="101" ht="18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</row>
    <row r="102" ht="18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</row>
    <row r="103" ht="18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</row>
    <row r="104" ht="18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</row>
    <row r="105" ht="18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</row>
    <row r="106" ht="18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</row>
    <row r="107" ht="18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</row>
    <row r="108" ht="18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</row>
    <row r="109" ht="18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</row>
    <row r="110" ht="18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</row>
    <row r="111" ht="18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</row>
    <row r="112" ht="18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</row>
    <row r="113" ht="18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</row>
    <row r="114" ht="18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</row>
    <row r="115" ht="18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</row>
    <row r="116" ht="18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</row>
    <row r="117" ht="18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</row>
    <row r="118" ht="18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</row>
    <row r="119" ht="18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</row>
    <row r="120" ht="18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</row>
    <row r="121" ht="18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</row>
    <row r="122" ht="18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</row>
    <row r="123" ht="18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</row>
    <row r="124" ht="18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</row>
    <row r="125" ht="18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</row>
    <row r="126" ht="18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</row>
    <row r="127" ht="18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</row>
    <row r="128" ht="18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</row>
    <row r="129" ht="18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</row>
    <row r="130" ht="18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</row>
    <row r="131" ht="18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ht="18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</row>
    <row r="133" ht="18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</row>
    <row r="134" ht="18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</row>
    <row r="135" ht="18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</row>
    <row r="136" ht="18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ht="18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ht="18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</row>
    <row r="139" ht="18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</row>
    <row r="140" ht="18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</row>
    <row r="141" ht="18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</row>
    <row r="142" ht="18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</row>
    <row r="143" ht="18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</row>
    <row r="144" ht="18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</row>
    <row r="145" ht="18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</row>
    <row r="146" ht="18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</row>
    <row r="147" ht="18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</row>
    <row r="148" ht="18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</row>
    <row r="149" ht="18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</row>
    <row r="150" ht="18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</row>
    <row r="151" ht="18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</row>
    <row r="152" ht="18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</row>
    <row r="153" ht="18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</row>
    <row r="154" ht="18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ht="18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</row>
    <row r="156" ht="18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ht="18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</row>
    <row r="158" ht="18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ht="18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ht="18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ht="18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ht="18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ht="18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ht="18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ht="18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ht="18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ht="18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ht="18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ht="18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ht="18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ht="18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ht="18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ht="18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ht="18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ht="18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  <row r="176" ht="18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  <row r="177" ht="18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</row>
    <row r="178" ht="18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</row>
    <row r="179" ht="18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</row>
    <row r="180" ht="18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</row>
    <row r="181" ht="18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ht="18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</row>
    <row r="183" ht="18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</row>
    <row r="184" ht="18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</row>
    <row r="185" ht="18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</row>
    <row r="186" ht="18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ht="18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ht="18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</row>
    <row r="189" ht="18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</row>
    <row r="190" ht="18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</row>
    <row r="191" ht="18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</row>
    <row r="192" ht="18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</row>
    <row r="193" ht="18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</row>
    <row r="194" ht="18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</row>
    <row r="195" ht="18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</row>
    <row r="196" ht="18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</row>
    <row r="197" ht="18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</row>
    <row r="198" ht="18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ht="18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</row>
    <row r="200" ht="18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</row>
    <row r="201" ht="18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</row>
    <row r="202" ht="18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</row>
    <row r="203" ht="18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</row>
    <row r="204" ht="18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</row>
    <row r="205" ht="18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</row>
    <row r="206" ht="18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</row>
    <row r="207" ht="18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</row>
    <row r="208" ht="18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</row>
    <row r="209" ht="18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</row>
    <row r="210" ht="18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</row>
    <row r="211" ht="18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</row>
    <row r="212" ht="18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</row>
    <row r="213" ht="18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</row>
    <row r="214" ht="18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</row>
    <row r="215" ht="18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</row>
    <row r="216" ht="18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</row>
    <row r="217" ht="18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</row>
    <row r="218" ht="18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</row>
    <row r="219" ht="18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</row>
    <row r="220" ht="18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</row>
    <row r="221" ht="18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</row>
    <row r="222" ht="18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</row>
    <row r="223" ht="18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</row>
    <row r="224" ht="18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</row>
    <row r="225" ht="18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</row>
    <row r="226" ht="18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</row>
    <row r="227" ht="18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</row>
    <row r="228" ht="18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</row>
    <row r="229" ht="18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</row>
    <row r="230" ht="18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</row>
    <row r="231" ht="18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</row>
    <row r="232" ht="18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</row>
    <row r="233" ht="18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</row>
    <row r="234" ht="18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</row>
    <row r="235" ht="18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</row>
    <row r="236" ht="18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</row>
    <row r="237" ht="18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</row>
    <row r="238" ht="18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</row>
    <row r="239" ht="18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</row>
    <row r="240" ht="18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</row>
    <row r="241" ht="18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</row>
    <row r="242" ht="18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</row>
    <row r="243" ht="18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ht="18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</row>
    <row r="245" ht="18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</row>
    <row r="246" ht="18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</row>
    <row r="247" ht="18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</row>
    <row r="248" ht="18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ht="18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ht="18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ht="18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</row>
    <row r="252" ht="18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</row>
    <row r="253" ht="18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</row>
    <row r="254" ht="18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</row>
    <row r="255" ht="18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</row>
    <row r="256" ht="18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</row>
    <row r="257" ht="18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</row>
    <row r="258" ht="18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</row>
    <row r="259" ht="18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</row>
    <row r="260" ht="18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</row>
    <row r="261" ht="18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</row>
    <row r="262" ht="18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</row>
    <row r="263" ht="18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</row>
    <row r="264" ht="18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</row>
    <row r="265" ht="18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</row>
    <row r="266" ht="18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</row>
    <row r="267" ht="18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</row>
    <row r="268" ht="18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</row>
    <row r="269" ht="18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</row>
    <row r="270" ht="18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</row>
    <row r="271" ht="18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</row>
    <row r="272" ht="18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</row>
    <row r="273" ht="18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</row>
    <row r="274" ht="18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</row>
    <row r="275" ht="18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</row>
    <row r="276" ht="18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</row>
    <row r="277" ht="18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</row>
    <row r="278" ht="18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</row>
    <row r="279" ht="18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</row>
    <row r="280" ht="18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</row>
    <row r="281" ht="18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</row>
    <row r="282" ht="18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</row>
    <row r="283" ht="18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</row>
    <row r="284" ht="18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</row>
    <row r="285" ht="18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</row>
    <row r="286" ht="18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</row>
    <row r="287" ht="18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</row>
    <row r="288" ht="18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</row>
    <row r="289" ht="18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</row>
    <row r="290" ht="18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</row>
    <row r="291" ht="18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</row>
    <row r="292" ht="18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</row>
    <row r="293" ht="18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</row>
    <row r="294" ht="18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</row>
    <row r="295" ht="18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</row>
    <row r="296" ht="18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</row>
    <row r="297" ht="18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</row>
    <row r="298" ht="18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</row>
    <row r="299" ht="18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</row>
    <row r="300" ht="18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</row>
    <row r="301" ht="18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</row>
    <row r="302" ht="18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</row>
    <row r="303" ht="18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ht="18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</row>
    <row r="305" ht="18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</row>
    <row r="306" ht="18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</row>
    <row r="307" ht="18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</row>
    <row r="308" ht="18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</row>
    <row r="309" ht="18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</row>
    <row r="310" ht="18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</row>
    <row r="311" ht="18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</row>
    <row r="312" ht="18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</row>
    <row r="313" ht="18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ht="18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</row>
    <row r="315" ht="18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</row>
    <row r="316" ht="18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</row>
    <row r="317" ht="18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</row>
    <row r="318" ht="18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</row>
    <row r="319" ht="18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</row>
    <row r="320" ht="18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</row>
    <row r="321" ht="18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</row>
    <row r="322" ht="18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</row>
    <row r="323" ht="18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</row>
    <row r="324" ht="18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</row>
    <row r="325" ht="18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</row>
    <row r="326" ht="18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</row>
    <row r="327" ht="18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</row>
    <row r="328" ht="18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</row>
    <row r="329" ht="18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</row>
    <row r="330" ht="18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</row>
    <row r="331" ht="18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</row>
    <row r="332" ht="18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</row>
    <row r="333" ht="18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</row>
    <row r="334" ht="18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</row>
    <row r="335" ht="18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</row>
    <row r="336" ht="18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</row>
    <row r="337" ht="18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</row>
    <row r="338" ht="18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</row>
    <row r="339" ht="18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</row>
    <row r="340" ht="18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</row>
    <row r="341" ht="18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</row>
    <row r="342" ht="18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</row>
    <row r="343" ht="18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</row>
    <row r="344" ht="18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</row>
    <row r="345" ht="18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</row>
    <row r="346" ht="18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</row>
    <row r="347" ht="18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</row>
    <row r="348" ht="18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</row>
    <row r="349" ht="18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</row>
    <row r="350" ht="18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</row>
    <row r="351" ht="18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</row>
    <row r="352" ht="18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</row>
    <row r="353" ht="18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</row>
    <row r="354" ht="18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</row>
    <row r="355" ht="18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</row>
    <row r="356" ht="18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</row>
    <row r="357" ht="18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</row>
    <row r="358" ht="18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</row>
    <row r="359" ht="18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</row>
    <row r="360" ht="18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</row>
    <row r="361" ht="18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</row>
    <row r="362" ht="18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</row>
    <row r="363" ht="18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</row>
    <row r="364" ht="18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</row>
    <row r="365" ht="18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</row>
    <row r="366" ht="18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</row>
    <row r="367" ht="18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</row>
    <row r="368" ht="18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</row>
    <row r="369" ht="18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</row>
    <row r="370" ht="18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</row>
    <row r="371" ht="18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</row>
    <row r="372" ht="18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</row>
    <row r="373" ht="18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</row>
    <row r="374" ht="18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</row>
    <row r="375" ht="18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</row>
    <row r="376" ht="18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</row>
    <row r="377" ht="18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</row>
    <row r="378" ht="18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</row>
    <row r="379" ht="18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</row>
    <row r="380" ht="18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</row>
    <row r="381" ht="18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</row>
    <row r="382" ht="18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</row>
    <row r="383" ht="18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</row>
    <row r="384" ht="18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</row>
    <row r="385" ht="18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</row>
    <row r="386" ht="18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</row>
    <row r="387" ht="18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</row>
    <row r="388" ht="18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</row>
    <row r="389" ht="18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</row>
    <row r="390" ht="18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</row>
    <row r="391" ht="18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</row>
    <row r="392" ht="18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</row>
    <row r="393" ht="18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</row>
    <row r="394" ht="18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</row>
    <row r="395" ht="18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</row>
    <row r="396" ht="18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</row>
    <row r="397" ht="18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</row>
    <row r="398" ht="18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</row>
    <row r="399" ht="18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</row>
    <row r="400" ht="18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</row>
    <row r="401" ht="18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</row>
    <row r="402" ht="18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</row>
    <row r="403" ht="18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</row>
    <row r="404" ht="18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</row>
    <row r="405" ht="18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</row>
    <row r="406" ht="18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</row>
    <row r="407" ht="18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</row>
    <row r="408" ht="18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</row>
    <row r="409" ht="18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</row>
    <row r="410" ht="18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</row>
    <row r="411" ht="18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</row>
    <row r="412" ht="18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</row>
    <row r="413" ht="18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</row>
    <row r="414" ht="18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</row>
    <row r="415" ht="18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</row>
    <row r="416" ht="18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</row>
    <row r="417" ht="18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</row>
    <row r="418" ht="18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</row>
    <row r="419" ht="18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</row>
    <row r="420" ht="18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</row>
    <row r="421" ht="18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</row>
    <row r="422" ht="18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</row>
    <row r="423" ht="18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</row>
    <row r="424" ht="18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</row>
    <row r="425" ht="18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</row>
    <row r="426" ht="18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</row>
    <row r="427" ht="18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</row>
    <row r="428" ht="18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</row>
    <row r="429" ht="18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</row>
    <row r="430" ht="18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</row>
    <row r="431" ht="18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</row>
    <row r="432" ht="18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</row>
    <row r="433" ht="18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</row>
    <row r="434" ht="18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</row>
    <row r="435" ht="18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</row>
    <row r="436" ht="18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</row>
    <row r="437" ht="18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</row>
    <row r="438" ht="18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</row>
    <row r="439" ht="18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</row>
    <row r="440" ht="18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</row>
    <row r="441" ht="18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</row>
    <row r="442" ht="18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</row>
    <row r="443" ht="18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</row>
    <row r="444" ht="18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</row>
    <row r="445" ht="18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</row>
    <row r="446" ht="18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</row>
    <row r="447" ht="18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</row>
    <row r="448" ht="18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</row>
    <row r="449" ht="18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</row>
    <row r="450" ht="18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</row>
    <row r="451" ht="18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</row>
    <row r="452" ht="18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</row>
    <row r="453" ht="18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</row>
    <row r="454" ht="18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</row>
    <row r="455" ht="18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</row>
    <row r="456" ht="18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</row>
    <row r="457" ht="18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</row>
    <row r="458" ht="18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</row>
    <row r="459" ht="18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</row>
    <row r="460" ht="18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</row>
    <row r="461" ht="18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</row>
    <row r="462" ht="18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</row>
    <row r="463" ht="18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</row>
    <row r="464" ht="18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</row>
    <row r="465" ht="18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</row>
    <row r="466" ht="18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</row>
    <row r="467" ht="18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</row>
    <row r="468" ht="18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</row>
    <row r="469" ht="18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</row>
    <row r="470" ht="18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</row>
    <row r="471" ht="18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</row>
    <row r="472" ht="18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</row>
    <row r="473" ht="18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</row>
    <row r="474" ht="18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18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</row>
    <row r="476" ht="18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</row>
    <row r="477" ht="18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</row>
    <row r="478" ht="18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</row>
    <row r="479" ht="18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</row>
    <row r="480" ht="18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</row>
    <row r="481" ht="18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</row>
    <row r="482" ht="18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</row>
    <row r="483" ht="18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</row>
    <row r="484" ht="18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</row>
    <row r="485" ht="18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</row>
    <row r="486" ht="18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</row>
    <row r="487" ht="18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</row>
    <row r="488" ht="18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</row>
    <row r="489" ht="18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</row>
    <row r="490" ht="18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</row>
    <row r="491" ht="18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</row>
    <row r="492" ht="18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</row>
    <row r="493" ht="18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</row>
    <row r="494" ht="18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</row>
    <row r="495" ht="18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</row>
    <row r="496" ht="18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</row>
    <row r="497" ht="18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</row>
    <row r="498" ht="18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</row>
    <row r="499" ht="18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</row>
    <row r="500" ht="18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</row>
    <row r="501" ht="18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</row>
    <row r="502" ht="18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</row>
    <row r="503" ht="18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</row>
    <row r="504" ht="18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</row>
    <row r="505" ht="18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</row>
    <row r="506" ht="18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</row>
    <row r="507" ht="18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</row>
    <row r="508" ht="18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</row>
    <row r="509" ht="18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</row>
    <row r="510" ht="18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</row>
    <row r="511" ht="18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</row>
    <row r="512" ht="18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</row>
    <row r="513" ht="18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</row>
    <row r="514" ht="18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</row>
    <row r="515" ht="18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</row>
    <row r="516" ht="18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</row>
    <row r="517" ht="18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</row>
    <row r="518" ht="18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</row>
    <row r="519" ht="18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</row>
    <row r="520" ht="18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</row>
    <row r="521" ht="18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</row>
    <row r="522" ht="18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</row>
    <row r="523" ht="18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</row>
    <row r="524" ht="18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</row>
    <row r="525" ht="18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</row>
    <row r="526" ht="18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</row>
    <row r="527" ht="18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</row>
    <row r="528" ht="18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</row>
    <row r="529" ht="18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</row>
    <row r="530" ht="18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</row>
    <row r="531" ht="18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</row>
    <row r="532" ht="18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</row>
    <row r="533" ht="18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</row>
    <row r="534" ht="18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</row>
    <row r="535" ht="18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</row>
    <row r="536" ht="18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</row>
    <row r="537" ht="18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</row>
    <row r="538" ht="18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</row>
    <row r="539" ht="18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</row>
    <row r="540" ht="18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</row>
    <row r="541" ht="18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</row>
    <row r="542" ht="18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</row>
    <row r="543" ht="18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</row>
    <row r="544" ht="18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</row>
    <row r="545" ht="18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</row>
    <row r="546" ht="18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</row>
    <row r="547" ht="18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</row>
    <row r="548" ht="18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</row>
    <row r="549" ht="18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</row>
    <row r="550" ht="18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</row>
    <row r="551" ht="18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</row>
    <row r="552" ht="18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</row>
    <row r="553" ht="18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</row>
    <row r="554" ht="18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</row>
    <row r="555" ht="18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</row>
    <row r="556" ht="18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</row>
    <row r="557" ht="18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</row>
    <row r="558" ht="18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</row>
    <row r="559" ht="18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</row>
    <row r="560" ht="18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</row>
    <row r="561" ht="18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</row>
    <row r="562" ht="18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</row>
    <row r="563" ht="18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</row>
    <row r="564" ht="18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</row>
    <row r="565" ht="18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</row>
    <row r="566" ht="18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</row>
    <row r="567" ht="18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</row>
    <row r="568" ht="18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</row>
    <row r="569" ht="18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</row>
    <row r="570" ht="18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</row>
    <row r="571" ht="18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</row>
    <row r="572" ht="18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</row>
    <row r="573" ht="18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</row>
    <row r="574" ht="18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</row>
    <row r="575" ht="18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</row>
    <row r="576" ht="18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</row>
    <row r="577" ht="18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</row>
    <row r="578" ht="18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</row>
    <row r="579" ht="18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</row>
    <row r="580" ht="18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</row>
    <row r="581" ht="18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</row>
    <row r="582" ht="18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</row>
    <row r="583" ht="18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</row>
    <row r="584" ht="18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</row>
    <row r="585" ht="18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</row>
    <row r="586" ht="18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</row>
    <row r="587" ht="18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</row>
    <row r="588" ht="18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</row>
    <row r="589" ht="18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</row>
    <row r="590" ht="18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</row>
    <row r="591" ht="18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</row>
    <row r="592" ht="18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</row>
    <row r="593" ht="18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</row>
    <row r="594" ht="18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</row>
    <row r="595" ht="18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</row>
    <row r="596" ht="18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</row>
    <row r="597" ht="18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</row>
    <row r="598" ht="18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</row>
    <row r="599" ht="18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</row>
    <row r="600" ht="18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</row>
    <row r="601" ht="18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</row>
    <row r="602" ht="18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</row>
    <row r="603" ht="18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</row>
    <row r="604" ht="18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</row>
    <row r="605" ht="18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</row>
    <row r="606" ht="18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</row>
    <row r="607" ht="18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</row>
    <row r="608" ht="18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</row>
    <row r="609" ht="18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</row>
    <row r="610" ht="18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</row>
    <row r="611" ht="18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</row>
    <row r="612" ht="18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</row>
    <row r="613" ht="18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</row>
    <row r="614" ht="18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</row>
    <row r="615" ht="18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</row>
    <row r="616" ht="18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</row>
    <row r="617" ht="18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</row>
    <row r="618" ht="18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</row>
    <row r="619" ht="18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</row>
    <row r="620" ht="18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</row>
    <row r="621" ht="18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</row>
    <row r="622" ht="18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</row>
    <row r="623" ht="18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</row>
    <row r="624" ht="18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</row>
    <row r="625" ht="18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</row>
    <row r="626" ht="18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</row>
    <row r="627" ht="18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</row>
    <row r="628" ht="18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</row>
    <row r="629" ht="18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</row>
    <row r="630" ht="18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</row>
    <row r="631" ht="18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</row>
    <row r="632" ht="18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</row>
    <row r="633" ht="18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</row>
    <row r="634" ht="18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</row>
    <row r="635" ht="18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</row>
    <row r="636" ht="18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</row>
    <row r="637" ht="18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</row>
    <row r="638" ht="18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</row>
    <row r="639" ht="18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</row>
    <row r="640" ht="18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</row>
    <row r="641" ht="18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</row>
    <row r="642" ht="18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</row>
    <row r="643" ht="18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</row>
    <row r="644" ht="18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</row>
    <row r="645" ht="18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</row>
    <row r="646" ht="18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</row>
    <row r="647" ht="18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</row>
    <row r="648" ht="18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</row>
    <row r="649" ht="18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</row>
    <row r="650" ht="18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</row>
    <row r="651" ht="18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</row>
    <row r="652" ht="18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</row>
    <row r="653" ht="18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</row>
    <row r="654" ht="18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</row>
    <row r="655" ht="18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</row>
    <row r="656" ht="18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</row>
    <row r="657" ht="18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</row>
    <row r="658" ht="18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</row>
    <row r="659" ht="18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</row>
    <row r="660" ht="18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</row>
    <row r="661" ht="18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</row>
    <row r="662" ht="18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</row>
    <row r="663" ht="18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</row>
    <row r="664" ht="18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</row>
    <row r="665" ht="18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</row>
    <row r="666" ht="18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</row>
    <row r="667" ht="18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</row>
    <row r="668" ht="18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</row>
    <row r="669" ht="18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</row>
    <row r="670" ht="18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</row>
    <row r="671" ht="18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</row>
    <row r="672" ht="18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</row>
    <row r="673" ht="18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</row>
    <row r="674" ht="18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</row>
    <row r="675" ht="18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</row>
    <row r="676" ht="18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</row>
    <row r="677" ht="18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</row>
    <row r="678" ht="18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</row>
    <row r="679" ht="18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</row>
    <row r="680" ht="18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</row>
    <row r="681" ht="18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</row>
    <row r="682" ht="18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</row>
    <row r="683" ht="18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</row>
    <row r="684" ht="18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</row>
    <row r="685" ht="18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</row>
    <row r="686" ht="18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</row>
    <row r="687" ht="18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</row>
    <row r="688" ht="18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</row>
    <row r="689" ht="18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</row>
    <row r="690" ht="18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</row>
    <row r="691" ht="18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</row>
    <row r="692" ht="18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</row>
    <row r="693" ht="18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</row>
    <row r="694" ht="18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</row>
    <row r="695" ht="18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</row>
    <row r="696" ht="18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</row>
    <row r="697" ht="18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</row>
    <row r="698" ht="18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</row>
    <row r="699" ht="18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</row>
    <row r="700" ht="18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</row>
    <row r="701" ht="18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</row>
    <row r="702" ht="18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</row>
    <row r="703" ht="18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</row>
    <row r="704" ht="18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</row>
    <row r="705" ht="18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</row>
    <row r="706" ht="18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</row>
    <row r="707" ht="18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</row>
    <row r="708" ht="18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</row>
    <row r="709" ht="18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</row>
    <row r="710" ht="18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</row>
    <row r="711" ht="18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</row>
    <row r="712" ht="18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</row>
    <row r="713" ht="18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</row>
    <row r="714" ht="18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</row>
    <row r="715" ht="18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</row>
    <row r="716" ht="18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</row>
    <row r="717" ht="18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</row>
    <row r="718" ht="18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</row>
    <row r="719" ht="18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</row>
    <row r="720" ht="18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</row>
    <row r="721" ht="18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</row>
    <row r="722" ht="18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</row>
    <row r="723" ht="18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</row>
    <row r="724" ht="18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</row>
    <row r="725" ht="18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</row>
    <row r="726" ht="18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</row>
    <row r="727" ht="18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</row>
    <row r="728" ht="18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</row>
    <row r="729" ht="18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</row>
    <row r="730" ht="18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</row>
    <row r="731" ht="18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</row>
    <row r="732" ht="18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</row>
    <row r="733" ht="18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</row>
    <row r="734" ht="18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</row>
    <row r="735" ht="18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</row>
    <row r="736" ht="18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</row>
    <row r="737" ht="18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</row>
    <row r="738" ht="18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</row>
    <row r="739" ht="18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</row>
    <row r="740" ht="18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</row>
    <row r="741" ht="18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</row>
    <row r="742" ht="18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</row>
    <row r="743" ht="18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</row>
    <row r="744" ht="18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</row>
    <row r="745" ht="18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</row>
    <row r="746" ht="18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</row>
    <row r="747" ht="18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</row>
    <row r="748" ht="18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</row>
    <row r="749" ht="18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</row>
    <row r="750" ht="18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</row>
    <row r="751" ht="18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</row>
    <row r="752" ht="18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</row>
    <row r="753" ht="18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</row>
    <row r="754" ht="18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</row>
    <row r="755" ht="18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</row>
    <row r="756" ht="18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</row>
    <row r="757" ht="18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</row>
    <row r="758" ht="18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</row>
    <row r="759" ht="18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</row>
    <row r="760" ht="18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</row>
    <row r="761" ht="18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</row>
    <row r="762" ht="18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</row>
    <row r="763" ht="18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</row>
    <row r="764" ht="18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</row>
    <row r="765" ht="18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</row>
    <row r="766" ht="18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</row>
    <row r="767" ht="18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</row>
    <row r="768" ht="18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</row>
    <row r="769" ht="18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</row>
    <row r="770" ht="18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</row>
    <row r="771" ht="18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</row>
    <row r="772" ht="18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</row>
    <row r="773" ht="18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</row>
    <row r="774" ht="18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</row>
    <row r="775" ht="18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</row>
    <row r="776" ht="18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</row>
    <row r="777" ht="18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</row>
    <row r="778" ht="18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</row>
    <row r="779" ht="18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</row>
    <row r="780" ht="18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</row>
    <row r="781" ht="18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</row>
    <row r="782" ht="18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</row>
    <row r="783" ht="18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</row>
    <row r="784" ht="18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</row>
    <row r="785" ht="18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</row>
    <row r="786" ht="18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</row>
    <row r="787" ht="18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</row>
    <row r="788" ht="18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</row>
    <row r="789" ht="18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</row>
    <row r="790" ht="18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</row>
    <row r="791" ht="18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</row>
    <row r="792" ht="18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</row>
    <row r="793" ht="18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</row>
    <row r="794" ht="18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</row>
    <row r="795" ht="18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</row>
    <row r="796" ht="18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</row>
    <row r="797" ht="18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</row>
    <row r="798" ht="18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</row>
    <row r="799" ht="18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</row>
    <row r="800" ht="18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</row>
    <row r="801" ht="18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</row>
    <row r="802" ht="18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</row>
    <row r="803" ht="18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</row>
    <row r="804" ht="18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</row>
    <row r="805" ht="18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</row>
    <row r="806" ht="18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</row>
    <row r="807" ht="18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</row>
    <row r="808" ht="18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</row>
    <row r="809" ht="18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</row>
    <row r="810" ht="18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</row>
    <row r="811" ht="18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</row>
    <row r="812" ht="18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</row>
    <row r="813" ht="18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</row>
    <row r="814" ht="18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</row>
    <row r="815" ht="18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</row>
    <row r="816" ht="18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</row>
    <row r="817" ht="18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</row>
    <row r="818" ht="18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</row>
    <row r="819" ht="18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</row>
    <row r="820" ht="18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</row>
    <row r="821" ht="18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</row>
    <row r="822" ht="18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</row>
    <row r="823" ht="18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</row>
    <row r="824" ht="18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</row>
    <row r="825" ht="18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</row>
    <row r="826" ht="18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</row>
    <row r="827" ht="18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</row>
    <row r="828" ht="18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</row>
    <row r="829" ht="18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</row>
    <row r="830" ht="18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</row>
    <row r="831" ht="18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</row>
    <row r="832" ht="18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</row>
    <row r="833" ht="18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</row>
    <row r="834" ht="18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</row>
    <row r="835" ht="18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</row>
    <row r="836" ht="18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</row>
    <row r="837" ht="18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</row>
    <row r="838" ht="18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</row>
    <row r="839" ht="18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</row>
    <row r="840" ht="18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</row>
    <row r="841" ht="18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</row>
    <row r="842" ht="18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</row>
    <row r="843" ht="18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</row>
    <row r="844" ht="18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</row>
    <row r="845" ht="18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</row>
    <row r="846" ht="18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</row>
    <row r="847" ht="18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</row>
    <row r="848" ht="18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</row>
    <row r="849" ht="18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</row>
    <row r="850" ht="18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</row>
    <row r="851" ht="18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</row>
    <row r="852" ht="18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</row>
    <row r="853" ht="18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</row>
    <row r="854" ht="18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</row>
    <row r="855" ht="18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</row>
    <row r="856" ht="18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</row>
    <row r="857" ht="18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</row>
    <row r="858" ht="18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</row>
    <row r="859" ht="18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</row>
    <row r="860" ht="18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</row>
    <row r="861" ht="18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</row>
    <row r="862" ht="18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</row>
    <row r="863" ht="18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</row>
    <row r="864" ht="18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</row>
    <row r="865" ht="18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</row>
    <row r="866" ht="18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</row>
    <row r="867" ht="18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</row>
    <row r="868" ht="18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</row>
    <row r="869" ht="18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</row>
    <row r="870" ht="18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</row>
    <row r="871" ht="18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</row>
    <row r="872" ht="18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</row>
    <row r="873" ht="18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</row>
    <row r="874" ht="18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</row>
    <row r="875" ht="18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</row>
    <row r="876" ht="18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</row>
    <row r="877" ht="18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</row>
    <row r="878" ht="18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</row>
    <row r="879" ht="18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</row>
    <row r="880" ht="18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</row>
    <row r="881" ht="18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</row>
    <row r="882" ht="18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</row>
    <row r="883" ht="18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</row>
    <row r="884" ht="18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</row>
    <row r="885" ht="18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</row>
    <row r="886" ht="18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</row>
    <row r="887" ht="18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</row>
    <row r="888" ht="18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</row>
    <row r="889" ht="18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</row>
    <row r="890" ht="18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</row>
    <row r="891" ht="18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</row>
    <row r="892" ht="18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</row>
    <row r="893" ht="18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</row>
    <row r="894" ht="18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</row>
    <row r="895" ht="18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</row>
    <row r="896" ht="18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</row>
    <row r="897" ht="18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</row>
    <row r="898" ht="18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</row>
    <row r="899" ht="18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</row>
    <row r="900" ht="18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</row>
    <row r="901" ht="18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</row>
    <row r="902" ht="18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</row>
    <row r="903" ht="18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</row>
    <row r="904" ht="18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</row>
    <row r="905" ht="18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</row>
    <row r="906" ht="18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</row>
    <row r="907" ht="18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</row>
    <row r="908" ht="18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</row>
    <row r="909" ht="18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</row>
    <row r="910" ht="18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</row>
    <row r="911" ht="18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</row>
    <row r="912" ht="18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</row>
    <row r="913" ht="18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</row>
    <row r="914" ht="18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</row>
    <row r="915" ht="18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</row>
    <row r="916" ht="18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</row>
    <row r="917" ht="18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</row>
    <row r="918" ht="18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</row>
    <row r="919" ht="18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</row>
    <row r="920" ht="18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</row>
    <row r="921" ht="18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</row>
    <row r="922" ht="18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</row>
    <row r="923" ht="18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</row>
    <row r="924" ht="18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</row>
    <row r="925" ht="18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</row>
    <row r="926" ht="18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</row>
    <row r="927" ht="18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</row>
    <row r="928" ht="18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</row>
    <row r="929" ht="18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</row>
    <row r="930" ht="18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</row>
    <row r="931" ht="18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</row>
    <row r="932" ht="18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</row>
    <row r="933" ht="18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</row>
    <row r="934" ht="18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</row>
    <row r="935" ht="18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</row>
    <row r="936" ht="18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</row>
    <row r="937" ht="18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</row>
    <row r="938" ht="18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</row>
    <row r="939" ht="18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</row>
    <row r="940" ht="18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</row>
    <row r="941" ht="18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</row>
    <row r="942" ht="18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</row>
    <row r="943" ht="18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</row>
    <row r="944" ht="18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</row>
    <row r="945" ht="18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</row>
    <row r="946" ht="18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</row>
    <row r="947" ht="18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</row>
    <row r="948" ht="18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</row>
    <row r="949" ht="18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</row>
    <row r="950" ht="18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</row>
    <row r="951" ht="18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</row>
    <row r="952" ht="18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</row>
    <row r="953" ht="18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</row>
    <row r="954" ht="18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</row>
    <row r="955" ht="18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</row>
    <row r="956" ht="18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</row>
    <row r="957" ht="18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</row>
    <row r="958" ht="18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</row>
    <row r="959" ht="18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</row>
    <row r="960" ht="18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</row>
    <row r="961" ht="18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</row>
    <row r="962" ht="18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</row>
    <row r="963" ht="18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</row>
    <row r="964" ht="18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</row>
    <row r="965" ht="18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</row>
    <row r="966" ht="18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</row>
    <row r="967" ht="18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</row>
    <row r="968" ht="18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</row>
    <row r="969" ht="18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</row>
    <row r="970" ht="18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</row>
    <row r="971" ht="18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</row>
    <row r="972" ht="18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</row>
    <row r="973" ht="18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</row>
    <row r="974" ht="18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</row>
    <row r="975" ht="18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</row>
    <row r="976" ht="18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</row>
    <row r="977" ht="18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</row>
    <row r="978" ht="18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</row>
    <row r="979" ht="18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</row>
    <row r="980" ht="18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</row>
    <row r="981" ht="18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</row>
    <row r="982" ht="18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</row>
    <row r="983" ht="18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</row>
    <row r="984" ht="18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</row>
    <row r="985" ht="18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</row>
    <row r="986" ht="18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</row>
    <row r="987" ht="18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</row>
    <row r="988" ht="18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</row>
    <row r="989" ht="18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</row>
    <row r="990" ht="18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</row>
    <row r="991" ht="18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</row>
    <row r="992" ht="18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</row>
    <row r="993" ht="18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</row>
    <row r="994" ht="18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</row>
    <row r="995" ht="18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</row>
    <row r="996" ht="18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</row>
    <row r="997" ht="18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</row>
    <row r="998" ht="18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</row>
    <row r="999" ht="18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</row>
    <row r="1000" ht="18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</row>
  </sheetData>
  <mergeCells count="5">
    <mergeCell ref="A1:C1"/>
    <mergeCell ref="A3:C3"/>
    <mergeCell ref="A11:C11"/>
    <mergeCell ref="A17:C17"/>
    <mergeCell ref="A24:C24"/>
  </mergeCells>
  <printOptions/>
  <pageMargins bottom="1.0" footer="0.0" header="0.0" left="0.75" right="0.75" top="1.0"/>
  <pageSetup orientation="landscape"/>
  <drawing r:id="rId1"/>
</worksheet>
</file>