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F6EEAC81-8F41-4545-B668-15C285DF7887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5" l="1"/>
  <c r="L8" i="25" s="1"/>
  <c r="H8" i="25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N33" i="24" s="1"/>
  <c r="Q32" i="24"/>
  <c r="P32" i="24"/>
  <c r="O32" i="24"/>
  <c r="N32" i="24"/>
  <c r="M32" i="24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N27" i="24"/>
  <c r="M27" i="24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N23" i="24"/>
  <c r="M23" i="24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Q32" i="22"/>
  <c r="P32" i="22"/>
  <c r="O32" i="22"/>
  <c r="M32" i="22"/>
  <c r="N32" i="22" s="1"/>
  <c r="Q31" i="22"/>
  <c r="P31" i="22"/>
  <c r="O31" i="22"/>
  <c r="M31" i="22"/>
  <c r="N31" i="22" s="1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J5" i="21"/>
  <c r="L5" i="21" s="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Q17" i="20"/>
  <c r="P17" i="20"/>
  <c r="O17" i="20"/>
  <c r="M17" i="20"/>
  <c r="N17" i="20" s="1"/>
  <c r="Q16" i="20"/>
  <c r="O16" i="20"/>
  <c r="M16" i="20"/>
  <c r="Q15" i="20"/>
  <c r="O15" i="20"/>
  <c r="M15" i="20"/>
  <c r="Q14" i="20"/>
  <c r="O14" i="20"/>
  <c r="M14" i="20"/>
  <c r="Q13" i="20"/>
  <c r="O13" i="20"/>
  <c r="M13" i="20"/>
  <c r="Q12" i="20"/>
  <c r="O12" i="20"/>
  <c r="M12" i="20"/>
  <c r="Q11" i="20"/>
  <c r="O11" i="20"/>
  <c r="M11" i="20"/>
  <c r="Q10" i="20"/>
  <c r="O10" i="20"/>
  <c r="M10" i="20"/>
  <c r="Q9" i="20"/>
  <c r="O9" i="20"/>
  <c r="M9" i="20"/>
  <c r="Q8" i="20"/>
  <c r="O8" i="20"/>
  <c r="M8" i="20"/>
  <c r="Q7" i="20"/>
  <c r="O7" i="20"/>
  <c r="M7" i="20"/>
  <c r="Q6" i="20"/>
  <c r="O6" i="20"/>
  <c r="M6" i="20"/>
  <c r="L8" i="19"/>
  <c r="H8" i="19"/>
  <c r="I8" i="19" s="1"/>
  <c r="E8" i="19"/>
  <c r="L7" i="19"/>
  <c r="H7" i="19"/>
  <c r="I7" i="19" s="1"/>
  <c r="E7" i="19"/>
  <c r="L6" i="19"/>
  <c r="H6" i="19"/>
  <c r="I6" i="19" s="1"/>
  <c r="E6" i="19"/>
  <c r="L5" i="19"/>
  <c r="H5" i="19"/>
  <c r="I5" i="19" s="1"/>
  <c r="E5" i="19"/>
  <c r="L4" i="19"/>
  <c r="H4" i="19"/>
  <c r="I4" i="19" s="1"/>
  <c r="E4" i="19"/>
  <c r="Q35" i="18"/>
  <c r="O35" i="18"/>
  <c r="M35" i="18"/>
  <c r="Q34" i="18"/>
  <c r="O34" i="18"/>
  <c r="M34" i="18"/>
  <c r="Q33" i="18"/>
  <c r="O33" i="18"/>
  <c r="M33" i="18"/>
  <c r="Q32" i="18"/>
  <c r="O32" i="18"/>
  <c r="M32" i="18"/>
  <c r="Q31" i="18"/>
  <c r="O31" i="18"/>
  <c r="M31" i="18"/>
  <c r="Q30" i="18"/>
  <c r="O30" i="18"/>
  <c r="M30" i="18"/>
  <c r="Q29" i="18"/>
  <c r="O29" i="18"/>
  <c r="M29" i="18"/>
  <c r="Q28" i="18"/>
  <c r="O28" i="18"/>
  <c r="M28" i="18"/>
  <c r="Q27" i="18"/>
  <c r="O27" i="18"/>
  <c r="M27" i="18"/>
  <c r="Q26" i="18"/>
  <c r="O26" i="18"/>
  <c r="M26" i="18"/>
  <c r="Q25" i="18"/>
  <c r="O25" i="18"/>
  <c r="M25" i="18"/>
  <c r="Q24" i="18"/>
  <c r="O24" i="18"/>
  <c r="M24" i="18"/>
  <c r="Q23" i="18"/>
  <c r="O23" i="18"/>
  <c r="M23" i="18"/>
  <c r="Q22" i="18"/>
  <c r="O22" i="18"/>
  <c r="M22" i="18"/>
  <c r="Q21" i="18"/>
  <c r="O21" i="18"/>
  <c r="M21" i="18"/>
  <c r="Q20" i="18"/>
  <c r="O20" i="18"/>
  <c r="M20" i="18"/>
  <c r="Q19" i="18"/>
  <c r="O19" i="18"/>
  <c r="M19" i="18"/>
  <c r="Q18" i="18"/>
  <c r="O18" i="18"/>
  <c r="M18" i="18"/>
  <c r="Q17" i="18"/>
  <c r="O17" i="18"/>
  <c r="M17" i="18"/>
  <c r="Q16" i="18"/>
  <c r="O16" i="18"/>
  <c r="M16" i="18"/>
  <c r="Q15" i="18"/>
  <c r="O15" i="18"/>
  <c r="M15" i="18"/>
  <c r="Q14" i="18"/>
  <c r="O14" i="18"/>
  <c r="M14" i="18"/>
  <c r="Q13" i="18"/>
  <c r="O13" i="18"/>
  <c r="M13" i="18"/>
  <c r="Q12" i="18"/>
  <c r="O12" i="18"/>
  <c r="M12" i="18"/>
  <c r="Q11" i="18"/>
  <c r="O11" i="18"/>
  <c r="M11" i="18"/>
  <c r="Q10" i="18"/>
  <c r="O10" i="18"/>
  <c r="M10" i="18"/>
  <c r="Q9" i="18"/>
  <c r="O9" i="18"/>
  <c r="M9" i="18"/>
  <c r="Q8" i="18"/>
  <c r="O8" i="18"/>
  <c r="M8" i="18"/>
  <c r="Q7" i="18"/>
  <c r="O7" i="18"/>
  <c r="M7" i="18"/>
  <c r="Q6" i="18"/>
  <c r="O6" i="18"/>
  <c r="M6" i="18"/>
  <c r="K22" i="17"/>
  <c r="J22" i="17"/>
  <c r="H22" i="17"/>
  <c r="G22" i="17"/>
  <c r="F22" i="17"/>
  <c r="E22" i="17"/>
  <c r="D22" i="17"/>
  <c r="C22" i="17"/>
  <c r="K9" i="17"/>
  <c r="J9" i="17"/>
  <c r="H9" i="17"/>
  <c r="E9" i="17"/>
  <c r="D9" i="17"/>
  <c r="K8" i="17"/>
  <c r="J8" i="17"/>
  <c r="H8" i="17"/>
  <c r="D8" i="17"/>
  <c r="K7" i="17"/>
  <c r="J7" i="17"/>
  <c r="H7" i="17"/>
  <c r="E7" i="17"/>
  <c r="D7" i="17"/>
  <c r="K6" i="17"/>
  <c r="J6" i="17"/>
  <c r="H6" i="17"/>
  <c r="E6" i="17"/>
  <c r="D6" i="17"/>
  <c r="K5" i="17"/>
  <c r="J5" i="17"/>
  <c r="H5" i="17"/>
  <c r="E5" i="17"/>
  <c r="D5" i="17"/>
  <c r="K4" i="17"/>
  <c r="J4" i="17"/>
  <c r="H4" i="17"/>
  <c r="E4" i="17"/>
  <c r="D4" i="17"/>
  <c r="Q36" i="16"/>
  <c r="O36" i="16"/>
  <c r="M36" i="16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E8" i="15"/>
  <c r="D8" i="15"/>
  <c r="J7" i="15"/>
  <c r="E7" i="15"/>
  <c r="D7" i="15"/>
  <c r="J6" i="15"/>
  <c r="E6" i="15"/>
  <c r="D6" i="15"/>
  <c r="K5" i="15"/>
  <c r="J5" i="15"/>
  <c r="H5" i="15"/>
  <c r="E5" i="15"/>
  <c r="D5" i="15"/>
  <c r="K4" i="15"/>
  <c r="J4" i="15"/>
  <c r="H4" i="15"/>
  <c r="E4" i="15"/>
  <c r="D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N21" i="11"/>
  <c r="M21" i="11"/>
  <c r="P21" i="11" s="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N9" i="11"/>
  <c r="M9" i="11"/>
  <c r="P9" i="11" s="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N22" i="10"/>
  <c r="M22" i="10"/>
  <c r="P22" i="10" s="1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P8" i="8"/>
  <c r="O8" i="8"/>
  <c r="M8" i="8"/>
  <c r="N8" i="8" s="1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P16" i="6"/>
  <c r="O16" i="6"/>
  <c r="N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Y11" i="2"/>
  <c r="M8" i="25" l="1"/>
  <c r="E8" i="25"/>
  <c r="E7" i="25"/>
  <c r="E6" i="25"/>
  <c r="E5" i="25"/>
  <c r="E4" i="25"/>
  <c r="J7" i="25"/>
  <c r="N26" i="24"/>
  <c r="J6" i="25"/>
  <c r="N19" i="24"/>
  <c r="N12" i="24"/>
  <c r="J5" i="25"/>
  <c r="N6" i="24"/>
  <c r="J4" i="25"/>
  <c r="E9" i="23"/>
  <c r="E8" i="23"/>
  <c r="E7" i="23"/>
  <c r="M7" i="23"/>
  <c r="M6" i="23"/>
  <c r="E6" i="23"/>
  <c r="M5" i="23"/>
  <c r="E5" i="23"/>
  <c r="M4" i="23"/>
  <c r="E4" i="23"/>
  <c r="N35" i="22"/>
  <c r="J9" i="23"/>
  <c r="J8" i="23"/>
  <c r="N33" i="22"/>
  <c r="E8" i="21"/>
  <c r="E7" i="21"/>
  <c r="E6" i="21"/>
  <c r="E5" i="21"/>
  <c r="M5" i="21"/>
  <c r="M4" i="21"/>
  <c r="E4" i="21"/>
  <c r="J8" i="21"/>
  <c r="N31" i="20"/>
  <c r="J7" i="21"/>
  <c r="N24" i="20"/>
  <c r="J6" i="21"/>
  <c r="N18" i="20"/>
  <c r="P16" i="20"/>
  <c r="N16" i="20"/>
  <c r="N15" i="20"/>
  <c r="P15" i="20"/>
  <c r="P14" i="20"/>
  <c r="N14" i="20"/>
  <c r="P13" i="20"/>
  <c r="N13" i="20"/>
  <c r="N12" i="20"/>
  <c r="P12" i="20"/>
  <c r="P11" i="20"/>
  <c r="N11" i="20"/>
  <c r="N10" i="20"/>
  <c r="P10" i="20"/>
  <c r="P9" i="20"/>
  <c r="N9" i="20"/>
  <c r="N8" i="20"/>
  <c r="P8" i="20"/>
  <c r="N7" i="20"/>
  <c r="P7" i="20"/>
  <c r="N6" i="20"/>
  <c r="P6" i="20"/>
  <c r="P35" i="18"/>
  <c r="N35" i="18"/>
  <c r="P34" i="18"/>
  <c r="N34" i="18"/>
  <c r="P33" i="18"/>
  <c r="N33" i="18"/>
  <c r="P32" i="18"/>
  <c r="N32" i="18"/>
  <c r="P31" i="18"/>
  <c r="N31" i="18"/>
  <c r="P30" i="18"/>
  <c r="N30" i="18"/>
  <c r="P29" i="18"/>
  <c r="N29" i="18"/>
  <c r="P28" i="18"/>
  <c r="N28" i="18"/>
  <c r="P27" i="18"/>
  <c r="N27" i="18"/>
  <c r="P26" i="18"/>
  <c r="N26" i="18"/>
  <c r="P25" i="18"/>
  <c r="N25" i="18"/>
  <c r="N24" i="18"/>
  <c r="P24" i="18"/>
  <c r="N23" i="18"/>
  <c r="P23" i="18"/>
  <c r="P22" i="18"/>
  <c r="N22" i="18"/>
  <c r="P21" i="18"/>
  <c r="N21" i="18"/>
  <c r="P20" i="18"/>
  <c r="N20" i="18"/>
  <c r="P19" i="18"/>
  <c r="N19" i="18"/>
  <c r="P18" i="18"/>
  <c r="N18" i="18"/>
  <c r="P17" i="18"/>
  <c r="N17" i="18"/>
  <c r="P16" i="18"/>
  <c r="N16" i="18"/>
  <c r="P15" i="18"/>
  <c r="N15" i="18"/>
  <c r="N14" i="18"/>
  <c r="P14" i="18"/>
  <c r="N13" i="18"/>
  <c r="P13" i="18"/>
  <c r="N12" i="18"/>
  <c r="P12" i="18"/>
  <c r="N11" i="18"/>
  <c r="P11" i="18"/>
  <c r="P10" i="18"/>
  <c r="N10" i="18"/>
  <c r="N9" i="18"/>
  <c r="P9" i="18"/>
  <c r="P8" i="18"/>
  <c r="N8" i="18"/>
  <c r="P7" i="18"/>
  <c r="N7" i="18"/>
  <c r="P6" i="18"/>
  <c r="N6" i="18"/>
  <c r="P36" i="16"/>
  <c r="N36" i="16"/>
  <c r="P35" i="16"/>
  <c r="N35" i="16"/>
  <c r="P34" i="16"/>
  <c r="N34" i="16"/>
  <c r="I9" i="17" s="1"/>
  <c r="P33" i="16"/>
  <c r="N33" i="16"/>
  <c r="P32" i="16"/>
  <c r="N32" i="16"/>
  <c r="P31" i="16"/>
  <c r="N31" i="16"/>
  <c r="N30" i="16"/>
  <c r="P30" i="16"/>
  <c r="P29" i="16"/>
  <c r="N29" i="16"/>
  <c r="P28" i="16"/>
  <c r="N28" i="16"/>
  <c r="I8" i="17" s="1"/>
  <c r="P27" i="16"/>
  <c r="N27" i="16"/>
  <c r="I7" i="17" s="1"/>
  <c r="P26" i="16"/>
  <c r="N26" i="16"/>
  <c r="N25" i="16"/>
  <c r="P25" i="16"/>
  <c r="P24" i="16"/>
  <c r="N24" i="16"/>
  <c r="P23" i="16"/>
  <c r="N23" i="16"/>
  <c r="P22" i="16"/>
  <c r="N22" i="16"/>
  <c r="P21" i="16"/>
  <c r="N21" i="16"/>
  <c r="P20" i="16"/>
  <c r="N20" i="16"/>
  <c r="P19" i="16"/>
  <c r="N19" i="16"/>
  <c r="N18" i="16"/>
  <c r="P18" i="16"/>
  <c r="N17" i="16"/>
  <c r="P17" i="16"/>
  <c r="P16" i="16"/>
  <c r="N16" i="16"/>
  <c r="P15" i="16"/>
  <c r="N15" i="16"/>
  <c r="P14" i="16"/>
  <c r="N14" i="16"/>
  <c r="P13" i="16"/>
  <c r="N13" i="16"/>
  <c r="I5" i="17" s="1"/>
  <c r="P12" i="16"/>
  <c r="N12" i="16"/>
  <c r="P11" i="16"/>
  <c r="N11" i="16"/>
  <c r="P10" i="16"/>
  <c r="N10" i="16"/>
  <c r="P9" i="16"/>
  <c r="N9" i="16"/>
  <c r="P8" i="16"/>
  <c r="N8" i="16"/>
  <c r="P7" i="16"/>
  <c r="N7" i="16"/>
  <c r="N6" i="16"/>
  <c r="P6" i="16"/>
  <c r="P36" i="14"/>
  <c r="N36" i="14"/>
  <c r="P35" i="14"/>
  <c r="N35" i="14"/>
  <c r="P34" i="14"/>
  <c r="N34" i="14"/>
  <c r="P33" i="14"/>
  <c r="N33" i="14"/>
  <c r="N32" i="14"/>
  <c r="I8" i="15" s="1"/>
  <c r="H8" i="15"/>
  <c r="P32" i="14"/>
  <c r="N31" i="14"/>
  <c r="P31" i="14"/>
  <c r="P30" i="14"/>
  <c r="N30" i="14"/>
  <c r="P29" i="14"/>
  <c r="N29" i="14"/>
  <c r="P28" i="14"/>
  <c r="N28" i="14"/>
  <c r="P27" i="14"/>
  <c r="N27" i="14"/>
  <c r="P26" i="14"/>
  <c r="N26" i="14"/>
  <c r="H7" i="15"/>
  <c r="P25" i="14"/>
  <c r="N25" i="14"/>
  <c r="I7" i="15" s="1"/>
  <c r="N24" i="14"/>
  <c r="P24" i="14"/>
  <c r="N23" i="14"/>
  <c r="P23" i="14"/>
  <c r="K6" i="15"/>
  <c r="K8" i="15"/>
  <c r="N22" i="14"/>
  <c r="K7" i="15"/>
  <c r="H6" i="15"/>
  <c r="K21" i="15"/>
  <c r="H21" i="15"/>
  <c r="P22" i="14"/>
  <c r="P21" i="14"/>
  <c r="N21" i="14"/>
  <c r="P20" i="14"/>
  <c r="N20" i="14"/>
  <c r="P19" i="14"/>
  <c r="N19" i="14"/>
  <c r="P18" i="14"/>
  <c r="N18" i="14"/>
  <c r="I6" i="15" s="1"/>
  <c r="P17" i="14"/>
  <c r="N17" i="14"/>
  <c r="P16" i="14"/>
  <c r="N16" i="14"/>
  <c r="N15" i="14"/>
  <c r="P15" i="14"/>
  <c r="P14" i="14"/>
  <c r="N14" i="14"/>
  <c r="N13" i="14"/>
  <c r="P13" i="14"/>
  <c r="P12" i="14"/>
  <c r="N12" i="14"/>
  <c r="P11" i="14"/>
  <c r="N11" i="14"/>
  <c r="I5" i="15" s="1"/>
  <c r="P10" i="14"/>
  <c r="N10" i="14"/>
  <c r="P9" i="14"/>
  <c r="N9" i="14"/>
  <c r="P8" i="14"/>
  <c r="N8" i="14"/>
  <c r="P7" i="14"/>
  <c r="N7" i="14"/>
  <c r="P6" i="14"/>
  <c r="N6" i="14"/>
  <c r="P35" i="12"/>
  <c r="N35" i="12"/>
  <c r="P34" i="12"/>
  <c r="N34" i="12"/>
  <c r="P33" i="12"/>
  <c r="N33" i="12"/>
  <c r="N32" i="12"/>
  <c r="P32" i="12"/>
  <c r="N31" i="12"/>
  <c r="P31" i="12"/>
  <c r="N30" i="12"/>
  <c r="P30" i="12"/>
  <c r="P29" i="12"/>
  <c r="N29" i="12"/>
  <c r="P28" i="12"/>
  <c r="N28" i="12"/>
  <c r="P27" i="12"/>
  <c r="N27" i="12"/>
  <c r="P26" i="12"/>
  <c r="N26" i="12"/>
  <c r="P25" i="12"/>
  <c r="N25" i="12"/>
  <c r="P24" i="12"/>
  <c r="N24" i="12"/>
  <c r="P23" i="12"/>
  <c r="N23" i="12"/>
  <c r="P22" i="12"/>
  <c r="N22" i="12"/>
  <c r="P21" i="12"/>
  <c r="N21" i="12"/>
  <c r="P20" i="12"/>
  <c r="N20" i="12"/>
  <c r="P19" i="12"/>
  <c r="N19" i="12"/>
  <c r="P18" i="12"/>
  <c r="N18" i="12"/>
  <c r="P17" i="12"/>
  <c r="N17" i="12"/>
  <c r="P16" i="12"/>
  <c r="N16" i="12"/>
  <c r="P15" i="12"/>
  <c r="N15" i="12"/>
  <c r="P14" i="12"/>
  <c r="N14" i="12"/>
  <c r="P13" i="12"/>
  <c r="N13" i="12"/>
  <c r="P12" i="12"/>
  <c r="N12" i="12"/>
  <c r="N11" i="12"/>
  <c r="P11" i="12"/>
  <c r="N10" i="12"/>
  <c r="P10" i="12"/>
  <c r="N9" i="12"/>
  <c r="P9" i="12"/>
  <c r="N8" i="12"/>
  <c r="P8" i="12"/>
  <c r="P7" i="12"/>
  <c r="N7" i="12"/>
  <c r="N6" i="12"/>
  <c r="P6" i="12"/>
  <c r="N36" i="11"/>
  <c r="P36" i="11"/>
  <c r="N35" i="11"/>
  <c r="P35" i="11"/>
  <c r="N34" i="11"/>
  <c r="P34" i="11"/>
  <c r="N33" i="11"/>
  <c r="P33" i="11"/>
  <c r="N32" i="11"/>
  <c r="P32" i="11"/>
  <c r="N31" i="11"/>
  <c r="P31" i="11"/>
  <c r="N30" i="11"/>
  <c r="P30" i="11"/>
  <c r="N29" i="11"/>
  <c r="P29" i="11"/>
  <c r="N28" i="11"/>
  <c r="P28" i="11"/>
  <c r="N27" i="11"/>
  <c r="P27" i="11"/>
  <c r="N26" i="11"/>
  <c r="P26" i="11"/>
  <c r="N25" i="11"/>
  <c r="P25" i="11"/>
  <c r="P24" i="11"/>
  <c r="N24" i="11"/>
  <c r="P23" i="11"/>
  <c r="N23" i="11"/>
  <c r="N22" i="11"/>
  <c r="P22" i="11"/>
  <c r="P20" i="11"/>
  <c r="N20" i="11"/>
  <c r="P19" i="11"/>
  <c r="N19" i="11"/>
  <c r="P18" i="11"/>
  <c r="N18" i="11"/>
  <c r="P17" i="11"/>
  <c r="N17" i="11"/>
  <c r="P16" i="11"/>
  <c r="N16" i="11"/>
  <c r="N15" i="11"/>
  <c r="P15" i="11"/>
  <c r="N14" i="11"/>
  <c r="P14" i="11"/>
  <c r="N13" i="11"/>
  <c r="P13" i="11"/>
  <c r="N12" i="11"/>
  <c r="P12" i="11"/>
  <c r="P11" i="11"/>
  <c r="N11" i="11"/>
  <c r="N10" i="11"/>
  <c r="P10" i="11"/>
  <c r="P8" i="11"/>
  <c r="N8" i="11"/>
  <c r="P7" i="11"/>
  <c r="N7" i="11"/>
  <c r="P6" i="11"/>
  <c r="N6" i="11"/>
  <c r="P35" i="10"/>
  <c r="N35" i="10"/>
  <c r="P34" i="10"/>
  <c r="N34" i="10"/>
  <c r="P33" i="10"/>
  <c r="N33" i="10"/>
  <c r="P32" i="10"/>
  <c r="N32" i="10"/>
  <c r="P31" i="10"/>
  <c r="N31" i="10"/>
  <c r="N30" i="10"/>
  <c r="P30" i="10"/>
  <c r="N29" i="10"/>
  <c r="P29" i="10"/>
  <c r="N28" i="10"/>
  <c r="P28" i="10"/>
  <c r="P27" i="10"/>
  <c r="N27" i="10"/>
  <c r="N26" i="10"/>
  <c r="P26" i="10"/>
  <c r="P25" i="10"/>
  <c r="N25" i="10"/>
  <c r="P24" i="10"/>
  <c r="N24" i="10"/>
  <c r="N23" i="10"/>
  <c r="P23" i="10"/>
  <c r="P21" i="10"/>
  <c r="N21" i="10"/>
  <c r="P20" i="10"/>
  <c r="N20" i="10"/>
  <c r="N19" i="10"/>
  <c r="P19" i="10"/>
  <c r="N18" i="10"/>
  <c r="P18" i="10"/>
  <c r="N17" i="10"/>
  <c r="P17" i="10"/>
  <c r="P16" i="10"/>
  <c r="N16" i="10"/>
  <c r="P15" i="10"/>
  <c r="N15" i="10"/>
  <c r="P14" i="10"/>
  <c r="N14" i="10"/>
  <c r="P13" i="10"/>
  <c r="N13" i="10"/>
  <c r="P12" i="10"/>
  <c r="N12" i="10"/>
  <c r="N11" i="10"/>
  <c r="P11" i="10"/>
  <c r="N10" i="10"/>
  <c r="P10" i="10"/>
  <c r="N9" i="10"/>
  <c r="P9" i="10"/>
  <c r="P8" i="10"/>
  <c r="N8" i="10"/>
  <c r="P7" i="10"/>
  <c r="N7" i="10"/>
  <c r="N6" i="10"/>
  <c r="P6" i="10"/>
  <c r="P36" i="9"/>
  <c r="N36" i="9"/>
  <c r="P35" i="9"/>
  <c r="N35" i="9"/>
  <c r="P34" i="9"/>
  <c r="N34" i="9"/>
  <c r="P33" i="9"/>
  <c r="N33" i="9"/>
  <c r="N32" i="9"/>
  <c r="P32" i="9"/>
  <c r="N31" i="9"/>
  <c r="P31" i="9"/>
  <c r="N30" i="9"/>
  <c r="P30" i="9"/>
  <c r="P29" i="9"/>
  <c r="N29" i="9"/>
  <c r="N28" i="9"/>
  <c r="P28" i="9"/>
  <c r="N27" i="9"/>
  <c r="P27" i="9"/>
  <c r="N26" i="9"/>
  <c r="P26" i="9"/>
  <c r="N25" i="9"/>
  <c r="P25" i="9"/>
  <c r="N24" i="9"/>
  <c r="P24" i="9"/>
  <c r="N23" i="9"/>
  <c r="P23" i="9"/>
  <c r="N22" i="9"/>
  <c r="P22" i="9"/>
  <c r="N21" i="9"/>
  <c r="P21" i="9"/>
  <c r="N20" i="9"/>
  <c r="P20" i="9"/>
  <c r="N19" i="9"/>
  <c r="P19" i="9"/>
  <c r="N18" i="9"/>
  <c r="P18" i="9"/>
  <c r="N17" i="9"/>
  <c r="P17" i="9"/>
  <c r="N16" i="9"/>
  <c r="P16" i="9"/>
  <c r="P15" i="9"/>
  <c r="N15" i="9"/>
  <c r="N14" i="9"/>
  <c r="P14" i="9"/>
  <c r="N13" i="9"/>
  <c r="P13" i="9"/>
  <c r="N12" i="9"/>
  <c r="P12" i="9"/>
  <c r="N11" i="9"/>
  <c r="P11" i="9"/>
  <c r="N10" i="9"/>
  <c r="P10" i="9"/>
  <c r="N9" i="9"/>
  <c r="P9" i="9"/>
  <c r="P8" i="9"/>
  <c r="N8" i="9"/>
  <c r="P7" i="9"/>
  <c r="N7" i="9"/>
  <c r="P6" i="9"/>
  <c r="N6" i="9"/>
  <c r="P33" i="8"/>
  <c r="N33" i="8"/>
  <c r="P32" i="8"/>
  <c r="N32" i="8"/>
  <c r="P31" i="8"/>
  <c r="N31" i="8"/>
  <c r="N30" i="8"/>
  <c r="P30" i="8"/>
  <c r="N29" i="8"/>
  <c r="P29" i="8"/>
  <c r="N28" i="8"/>
  <c r="P28" i="8"/>
  <c r="N27" i="8"/>
  <c r="P27" i="8"/>
  <c r="N26" i="8"/>
  <c r="P26" i="8"/>
  <c r="N21" i="8"/>
  <c r="P21" i="8"/>
  <c r="N20" i="8"/>
  <c r="P20" i="8"/>
  <c r="N19" i="8"/>
  <c r="P19" i="8"/>
  <c r="N18" i="8"/>
  <c r="P18" i="8"/>
  <c r="N17" i="8"/>
  <c r="P17" i="8"/>
  <c r="P16" i="8"/>
  <c r="N16" i="8"/>
  <c r="P15" i="8"/>
  <c r="N15" i="8"/>
  <c r="N14" i="8"/>
  <c r="P14" i="8"/>
  <c r="N13" i="8"/>
  <c r="P13" i="8"/>
  <c r="N12" i="8"/>
  <c r="P12" i="8"/>
  <c r="N11" i="8"/>
  <c r="P11" i="8"/>
  <c r="P10" i="8"/>
  <c r="N10" i="8"/>
  <c r="N9" i="8"/>
  <c r="P9" i="8"/>
  <c r="P7" i="8"/>
  <c r="N7" i="8"/>
  <c r="N6" i="8"/>
  <c r="P6" i="8"/>
  <c r="N36" i="7"/>
  <c r="P36" i="7"/>
  <c r="P35" i="7"/>
  <c r="N35" i="7"/>
  <c r="P34" i="7"/>
  <c r="N34" i="7"/>
  <c r="P33" i="7"/>
  <c r="N33" i="7"/>
  <c r="N32" i="7"/>
  <c r="P32" i="7"/>
  <c r="P31" i="7"/>
  <c r="N31" i="7"/>
  <c r="P30" i="7"/>
  <c r="N30" i="7"/>
  <c r="P29" i="7"/>
  <c r="N29" i="7"/>
  <c r="P28" i="7"/>
  <c r="N28" i="7"/>
  <c r="N27" i="7"/>
  <c r="P27" i="7"/>
  <c r="N26" i="7"/>
  <c r="P26" i="7"/>
  <c r="P25" i="7"/>
  <c r="N25" i="7"/>
  <c r="P24" i="7"/>
  <c r="N24" i="7"/>
  <c r="P23" i="7"/>
  <c r="N23" i="7"/>
  <c r="P22" i="7"/>
  <c r="N22" i="7"/>
  <c r="P21" i="7"/>
  <c r="N21" i="7"/>
  <c r="P20" i="7"/>
  <c r="N20" i="7"/>
  <c r="N19" i="7"/>
  <c r="P19" i="7"/>
  <c r="N18" i="7"/>
  <c r="P18" i="7"/>
  <c r="N17" i="7"/>
  <c r="P17" i="7"/>
  <c r="N16" i="7"/>
  <c r="P16" i="7"/>
  <c r="P15" i="7"/>
  <c r="N15" i="7"/>
  <c r="P14" i="7"/>
  <c r="N14" i="7"/>
  <c r="N13" i="7"/>
  <c r="P13" i="7"/>
  <c r="P12" i="7"/>
  <c r="N12" i="7"/>
  <c r="N11" i="7"/>
  <c r="P11" i="7"/>
  <c r="N10" i="7"/>
  <c r="P10" i="7"/>
  <c r="P9" i="7"/>
  <c r="N9" i="7"/>
  <c r="P8" i="7"/>
  <c r="N8" i="7"/>
  <c r="N7" i="7"/>
  <c r="P7" i="7"/>
  <c r="P6" i="7"/>
  <c r="N6" i="7"/>
  <c r="N36" i="6"/>
  <c r="P36" i="6"/>
  <c r="P35" i="6"/>
  <c r="N35" i="6"/>
  <c r="N34" i="6"/>
  <c r="P34" i="6"/>
  <c r="N33" i="6"/>
  <c r="P33" i="6"/>
  <c r="N32" i="6"/>
  <c r="P32" i="6"/>
  <c r="P31" i="6"/>
  <c r="N31" i="6"/>
  <c r="N30" i="6"/>
  <c r="P30" i="6"/>
  <c r="N29" i="6"/>
  <c r="P29" i="6"/>
  <c r="N28" i="6"/>
  <c r="P28" i="6"/>
  <c r="P27" i="6"/>
  <c r="N27" i="6"/>
  <c r="P26" i="6"/>
  <c r="N26" i="6"/>
  <c r="P25" i="6"/>
  <c r="N25" i="6"/>
  <c r="N24" i="6"/>
  <c r="P24" i="6"/>
  <c r="N23" i="6"/>
  <c r="P23" i="6"/>
  <c r="N22" i="6"/>
  <c r="P22" i="6"/>
  <c r="P21" i="6"/>
  <c r="N21" i="6"/>
  <c r="N20" i="6"/>
  <c r="P20" i="6"/>
  <c r="N19" i="6"/>
  <c r="P19" i="6"/>
  <c r="P18" i="6"/>
  <c r="N18" i="6"/>
  <c r="P17" i="6"/>
  <c r="N17" i="6"/>
  <c r="N15" i="6"/>
  <c r="P15" i="6"/>
  <c r="P14" i="6"/>
  <c r="N14" i="6"/>
  <c r="P13" i="6"/>
  <c r="N13" i="6"/>
  <c r="P12" i="6"/>
  <c r="N12" i="6"/>
  <c r="P11" i="6"/>
  <c r="N11" i="6"/>
  <c r="P10" i="6"/>
  <c r="N10" i="6"/>
  <c r="P9" i="6"/>
  <c r="N9" i="6"/>
  <c r="N8" i="6"/>
  <c r="P8" i="6"/>
  <c r="P7" i="6"/>
  <c r="N7" i="6"/>
  <c r="P6" i="6"/>
  <c r="N6" i="6"/>
  <c r="P35" i="5"/>
  <c r="N35" i="5"/>
  <c r="P34" i="5"/>
  <c r="N34" i="5"/>
  <c r="P33" i="5"/>
  <c r="N33" i="5"/>
  <c r="P32" i="5"/>
  <c r="N32" i="5"/>
  <c r="P31" i="5"/>
  <c r="N31" i="5"/>
  <c r="P30" i="5"/>
  <c r="N30" i="5"/>
  <c r="P29" i="5"/>
  <c r="N29" i="5"/>
  <c r="P28" i="5"/>
  <c r="N28" i="5"/>
  <c r="N27" i="5"/>
  <c r="P27" i="5"/>
  <c r="N26" i="5"/>
  <c r="P26" i="5"/>
  <c r="N25" i="5"/>
  <c r="P25" i="5"/>
  <c r="N24" i="5"/>
  <c r="P24" i="5"/>
  <c r="N23" i="5"/>
  <c r="P23" i="5"/>
  <c r="N22" i="5"/>
  <c r="P22" i="5"/>
  <c r="N21" i="5"/>
  <c r="P21" i="5"/>
  <c r="P20" i="5"/>
  <c r="N20" i="5"/>
  <c r="P19" i="5"/>
  <c r="N19" i="5"/>
  <c r="P18" i="5"/>
  <c r="N18" i="5"/>
  <c r="P17" i="5"/>
  <c r="N17" i="5"/>
  <c r="P16" i="5"/>
  <c r="N16" i="5"/>
  <c r="N15" i="5"/>
  <c r="P15" i="5"/>
  <c r="P14" i="5"/>
  <c r="N14" i="5"/>
  <c r="P13" i="5"/>
  <c r="N13" i="5"/>
  <c r="N12" i="5"/>
  <c r="P12" i="5"/>
  <c r="P11" i="5"/>
  <c r="N11" i="5"/>
  <c r="P10" i="5"/>
  <c r="N10" i="5"/>
  <c r="P9" i="5"/>
  <c r="N9" i="5"/>
  <c r="P8" i="5"/>
  <c r="N8" i="5"/>
  <c r="P7" i="5"/>
  <c r="N7" i="5"/>
  <c r="P6" i="5"/>
  <c r="N6" i="5"/>
  <c r="P36" i="4"/>
  <c r="N36" i="4"/>
  <c r="P35" i="4"/>
  <c r="N35" i="4"/>
  <c r="N34" i="4"/>
  <c r="P34" i="4"/>
  <c r="N33" i="4"/>
  <c r="P33" i="4"/>
  <c r="N32" i="4"/>
  <c r="P32" i="4"/>
  <c r="P31" i="4"/>
  <c r="N31" i="4"/>
  <c r="N30" i="4"/>
  <c r="P30" i="4"/>
  <c r="N29" i="4"/>
  <c r="P29" i="4"/>
  <c r="N28" i="4"/>
  <c r="P28" i="4"/>
  <c r="N27" i="4"/>
  <c r="P27" i="4"/>
  <c r="P26" i="4"/>
  <c r="N26" i="4"/>
  <c r="N25" i="4"/>
  <c r="P25" i="4"/>
  <c r="N24" i="4"/>
  <c r="P24" i="4"/>
  <c r="N23" i="4"/>
  <c r="P23" i="4"/>
  <c r="P22" i="4"/>
  <c r="N22" i="4"/>
  <c r="N21" i="4"/>
  <c r="P21" i="4"/>
  <c r="N20" i="4"/>
  <c r="P20" i="4"/>
  <c r="P19" i="4"/>
  <c r="N19" i="4"/>
  <c r="P18" i="4"/>
  <c r="N18" i="4"/>
  <c r="P17" i="4"/>
  <c r="N17" i="4"/>
  <c r="P16" i="4"/>
  <c r="N16" i="4"/>
  <c r="P15" i="4"/>
  <c r="N15" i="4"/>
  <c r="P14" i="4"/>
  <c r="N14" i="4"/>
  <c r="N13" i="4"/>
  <c r="P13" i="4"/>
  <c r="P12" i="4"/>
  <c r="N12" i="4"/>
  <c r="P11" i="4"/>
  <c r="N11" i="4"/>
  <c r="N10" i="4"/>
  <c r="P10" i="4"/>
  <c r="P9" i="4"/>
  <c r="N9" i="4"/>
  <c r="P8" i="4"/>
  <c r="N8" i="4"/>
  <c r="P7" i="4"/>
  <c r="N7" i="4"/>
  <c r="P6" i="4"/>
  <c r="N6" i="4"/>
  <c r="P35" i="3"/>
  <c r="N35" i="3"/>
  <c r="P34" i="3"/>
  <c r="N34" i="3"/>
  <c r="N33" i="3"/>
  <c r="P33" i="3"/>
  <c r="P32" i="3"/>
  <c r="N32" i="3"/>
  <c r="P31" i="3"/>
  <c r="N31" i="3"/>
  <c r="P30" i="3"/>
  <c r="N30" i="3"/>
  <c r="P29" i="3"/>
  <c r="N29" i="3"/>
  <c r="P28" i="3"/>
  <c r="N28" i="3"/>
  <c r="N27" i="3"/>
  <c r="P27" i="3"/>
  <c r="N26" i="3"/>
  <c r="P26" i="3"/>
  <c r="P25" i="3"/>
  <c r="N25" i="3"/>
  <c r="P24" i="3"/>
  <c r="N24" i="3"/>
  <c r="P23" i="3"/>
  <c r="N23" i="3"/>
  <c r="N22" i="3"/>
  <c r="P22" i="3"/>
  <c r="P21" i="3"/>
  <c r="N21" i="3"/>
  <c r="P20" i="3"/>
  <c r="N20" i="3"/>
  <c r="P19" i="3"/>
  <c r="N19" i="3"/>
  <c r="P18" i="3"/>
  <c r="N18" i="3"/>
  <c r="P17" i="3"/>
  <c r="N17" i="3"/>
  <c r="P16" i="3"/>
  <c r="N16" i="3"/>
  <c r="N15" i="3"/>
  <c r="P15" i="3"/>
  <c r="N14" i="3"/>
  <c r="P14" i="3"/>
  <c r="P13" i="3"/>
  <c r="N13" i="3"/>
  <c r="N12" i="3"/>
  <c r="P12" i="3"/>
  <c r="P11" i="3"/>
  <c r="N11" i="3"/>
  <c r="P10" i="3"/>
  <c r="N10" i="3"/>
  <c r="P9" i="3"/>
  <c r="N9" i="3"/>
  <c r="P8" i="3"/>
  <c r="N8" i="3"/>
  <c r="P7" i="3"/>
  <c r="N7" i="3"/>
  <c r="P6" i="3"/>
  <c r="N6" i="3"/>
  <c r="I4" i="17" l="1"/>
  <c r="I22" i="17"/>
  <c r="I4" i="15"/>
  <c r="I21" i="15"/>
  <c r="I6" i="17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</calcChain>
</file>

<file path=xl/sharedStrings.xml><?xml version="1.0" encoding="utf-8"?>
<sst xmlns="http://schemas.openxmlformats.org/spreadsheetml/2006/main" count="2064" uniqueCount="653">
  <si>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</si>
  <si>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</si>
  <si>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</si>
  <si>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</si>
  <si>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</si>
  <si>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</si>
  <si>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</si>
  <si>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</si>
  <si>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</si>
  <si>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</si>
  <si>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</si>
  <si>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</si>
  <si>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</si>
  <si>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</si>
  <si>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</si>
  <si>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</si>
  <si>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</si>
  <si>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</si>
  <si>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</si>
  <si>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</si>
  <si>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</si>
  <si>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</si>
  <si>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</si>
  <si>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</si>
  <si>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</si>
  <si>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</si>
  <si>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>T10/26</t>
  </si>
  <si>
    <t>T11/26</t>
  </si>
  <si>
    <t>T12/26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</si>
  <si>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</si>
  <si>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</si>
  <si>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</si>
  <si>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</si>
  <si>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</si>
  <si>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</si>
  <si>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</si>
  <si>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</si>
  <si>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</si>
  <si>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</si>
  <si>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</si>
  <si>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</si>
  <si>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</si>
  <si>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</si>
  <si>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</si>
  <si>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</si>
  <si>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</si>
  <si>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</si>
  <si>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</si>
  <si>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</si>
  <si>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</si>
  <si>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</si>
  <si>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</si>
  <si>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</si>
  <si>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</si>
  <si>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</si>
  <si>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</si>
  <si>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</si>
  <si>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</si>
  <si>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</si>
  <si>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</si>
  <si>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</si>
  <si>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</si>
  <si>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</si>
  <si>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</si>
  <si>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(NDC+PH+NGT+350C*)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</si>
  <si>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</si>
  <si>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</si>
  <si>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</si>
  <si>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</si>
  <si>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</si>
  <si>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 xml:space="preserve">  ↳ 350C Hoàng Văn Thụ  (DT net, T1/25–T11/25)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</si>
  <si>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</si>
  <si>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</si>
  <si>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</si>
  <si>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</si>
  <si>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</si>
  <si>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</si>
  <si>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</si>
  <si>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</si>
  <si>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</si>
  <si>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</si>
  <si>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</si>
  <si>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</si>
  <si>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</si>
  <si>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</si>
  <si>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</si>
  <si>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</si>
  <si>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</si>
  <si>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</si>
  <si>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</si>
  <si>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</si>
  <si>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</si>
  <si>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</si>
  <si>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</si>
  <si>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</si>
  <si>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</si>
  <si>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</si>
  <si>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</si>
  <si>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</si>
  <si>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</si>
  <si>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</si>
  <si>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</si>
  <si>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</si>
  <si>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</si>
  <si>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</si>
  <si>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</si>
  <si>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</si>
  <si>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</si>
  <si>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</si>
  <si>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Tham chiếu T8/26 (FINAL 1/8–30/8)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</si>
  <si>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</si>
  <si>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</si>
  <si>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</si>
  <si>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</si>
  <si>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</si>
  <si>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(cột DT FB trong DAILY sheet)</t>
  </si>
  <si>
    <t>Chỉ số DT chính kênh FB. So với target và ROAS. Dùng fill_daily — KHÔNG lấy từ metrics_script.</t>
  </si>
  <si>
    <t>T8/26 FINAL: 1,111,065,648đ
Target: 1,292,244,677đ → 86.0%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</si>
  <si>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</si>
  <si>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</si>
  <si>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</si>
  <si>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</t>
  </si>
  <si>
    <t>Kết hợp với DT FB tính AOV. Đơn tăng mà DT không tăng → AOV đang giảm.</t>
  </si>
  <si>
    <t>T8/26 FINAL: 2,549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</si>
  <si>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</si>
  <si>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</si>
  <si>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</si>
  <si>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
= R6 ÷ R7</t>
  </si>
  <si>
    <t>Giảm đột ngột = kiểm tra mix SP hoặc promotion mạnh.</t>
  </si>
  <si>
    <t>T8/26 FINAL: 435,883đ</t>
  </si>
  <si>
    <t>R9</t>
  </si>
  <si>
    <t>Tổng comment + inbox trên Fanpage FB trong tháng.</t>
  </si>
  <si>
    <t>Nhập tay từ phần mềm fanpage / báo cáo nội bộ. Không lấy từ Nhanh.vn.</t>
  </si>
  <si>
    <t>🟠 Nhập tay
(từ phần mềm fanpage)</t>
  </si>
  <si>
    <t>Tử số CR%. Tăng nhưng CR giảm →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</si>
  <si>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</si>
  <si>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</si>
  <si>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</si>
  <si>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</si>
  <si>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 R9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</si>
  <si>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</si>
  <si>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</si>
  <si>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</si>
  <si>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</si>
  <si>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</si>
  <si>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
(phone match vs pkl FB)</t>
  </si>
  <si>
    <t>Nguồn tăng trưởng. KH mới ≥20% tổng KH FB là tốt.</t>
  </si>
  <si>
    <t>T8/26 FINAL: 722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</si>
  <si>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</si>
  <si>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</si>
  <si>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</si>
  <si>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</si>
  <si>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🟡 metrics_script</t>
  </si>
  <si>
    <t>Bình thường thấp hơn AOV KH cũ. Nếu AOV mới &gt; AOV cũ → cần kiểm tra lại phân loại.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</si>
  <si>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</si>
  <si>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</si>
  <si>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</si>
  <si>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</si>
  <si>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🟡 metrics_script
(Cách B — 90-day window)</t>
  </si>
  <si>
    <t>Đo sức khỏe onboarding CRM. Mục tiêu ≥5%. &lt;3% cần cải thiện hậu mãi lần 1.</t>
  </si>
  <si>
    <t>T8/26 FINAL: 115/2,124 = 5.42%
(Cách B — window 90d trước T_START)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</si>
  <si>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</si>
  <si>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</si>
  <si>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</si>
  <si>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</si>
  <si>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Tỷ lệ giữ chân tháng tiếp theo. 5–12% bình thường. &gt;15% rất tốt.</t>
  </si>
  <si>
    <t>T8/26 FINAL: 74/823 = 8.99%
(cohort KH mới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</si>
  <si>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</si>
  <si>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</si>
  <si>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</si>
  <si>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</si>
  <si>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acquisition = 0. Mục tiêu chiếm 65–75% tổng KH FB.</t>
  </si>
  <si>
    <t>T8/26 FINAL: 1,615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</si>
  <si>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</si>
  <si>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</si>
  <si>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</si>
  <si>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</si>
  <si>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cũ &lt; AOV mới là bất thường — kiểm tra phân loại.</t>
  </si>
  <si>
    <t>T8/26 FINAL: 496,244đ</t>
  </si>
  <si>
    <t>R22</t>
  </si>
  <si>
    <t>Tỷ lệ KH cũ trong tổng KH FB tháng T.</t>
  </si>
  <si>
    <t>KH cũ FB ÷ (KH mới FB + KH cũ FB)</t>
  </si>
  <si>
    <t>🟡 Tính từ R15+R20</t>
  </si>
  <si>
    <t>Target: 65–75%. Dưới 60% = đang phụ thuộc nhiều vào KH mới.</t>
  </si>
  <si>
    <t>T8/26 FINAL: 69.11%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</si>
  <si>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</si>
  <si>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</si>
  <si>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</si>
  <si>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</si>
  <si>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"nóng" nhất — lens 1 tháng quay đúng chu kỳ.</t>
  </si>
  <si>
    <t>T8/26 FINAL: 480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</si>
  <si>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</si>
  <si>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</si>
  <si>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</si>
  <si>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</si>
  <si>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 Đây là tệp RFM chiến lược.</t>
  </si>
  <si>
    <t>T8/26 FINAL: 467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</si>
  <si>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</si>
  <si>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</si>
  <si>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</si>
  <si>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</si>
  <si>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 Nếu nhiều hơn ≤30d → KH đang drift về chu kỳ dài hơn.</t>
  </si>
  <si>
    <t>T8/26 FINAL: 668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</si>
  <si>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</si>
  <si>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</si>
  <si>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</si>
  <si>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 Mục tiêu: tăng đều mỗi tháng.</t>
  </si>
  <si>
    <t>T8/26 FINAL: 1,314 KH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</si>
  <si>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</si>
  <si>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</si>
  <si>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</si>
  <si>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</si>
  <si>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</si>
  <si>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</si>
  <si>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 FINAL: 1,725,039đ
= 496,244 × 365/105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</si>
  <si>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</si>
  <si>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</si>
  <si>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</si>
  <si>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</si>
  <si>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</si>
  <si>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</si>
  <si>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🟢 fill_daily.py
(cột DT Store = NDC+PH+NGT)</t>
  </si>
  <si>
    <t>Chỉ số tổng Store. So sánh 3 chi nhánh để tìm điểm yếu.</t>
  </si>
  <si>
    <t>T8/26 FINAL: 461,185,801đ
Target: 730,208,327đ → 63.2%</t>
  </si>
  <si>
    <t>R36</t>
  </si>
  <si>
    <t>↳ NDC (619 NĐC)</t>
  </si>
  <si>
    <t>DT riêng chi nhánh Nguyễn Đình Chiểu.</t>
  </si>
  <si>
    <t>Lọc Store theo Kho = 'NDC', Σ 'Doanh thu SP sau chiết khấu'</t>
  </si>
  <si>
    <t>NDC thường ~45–55% DT Store. Nếu tỷ trọng giảm mạnh → kiểm tra vận hành.</t>
  </si>
  <si>
    <t>T8/26 FINAL: 231,050,152đ (50.1%)</t>
  </si>
  <si>
    <t>R37</t>
  </si>
  <si>
    <t>↳ Phố Huế (PH)</t>
  </si>
  <si>
    <t>DT riêng chi nhánh Phố Huế.</t>
  </si>
  <si>
    <t>Lọc Store theo Kho = 'PH'</t>
  </si>
  <si>
    <t>Phố Huế — chi nhánh trung tâm, theo dõi traffic lẻ.</t>
  </si>
  <si>
    <t>T8/26 FINAL: 122,062,638đ (26.5%)</t>
  </si>
  <si>
    <t>R38</t>
  </si>
  <si>
    <t>↳ NGT (88 NGT)</t>
  </si>
  <si>
    <t>DT riêng chi nhánh Nguyễn Gia Trí.</t>
  </si>
  <si>
    <t>Lọc Store theo Kho = 'NGT'</t>
  </si>
  <si>
    <t>NGT — chi nhánh mới nhất, theo dõi tốc độ tăng trưởng.</t>
  </si>
  <si>
    <t>T8/26 FINAL: 108,073,011đ (23.4%)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</si>
  <si>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</si>
  <si>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</si>
  <si>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</si>
  <si>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 Đơn tăng mà DT không tăng → AOV đang giảm.</t>
  </si>
  <si>
    <t>T8/26 FINAL: 1,486 đơn</t>
  </si>
  <si>
    <t>R40</t>
  </si>
  <si>
    <t>Giá trị đơn TB tại Store.</t>
  </si>
  <si>
    <t>DT Store ÷ Đơn Store</t>
  </si>
  <si>
    <t>🟢 Tính từ fill_daily
= R35 ÷ R39</t>
  </si>
  <si>
    <t>&gt;300K là tốt cho lens walk-in Store.</t>
  </si>
  <si>
    <t>T8/26 FINAL: 310,354đ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</si>
  <si>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</si>
  <si>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</si>
  <si>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</si>
  <si>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</si>
  <si>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</si>
  <si>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FINAL: 511 KH</t>
  </si>
  <si>
    <t>R44</t>
  </si>
  <si>
    <t>AOV lần đầu Store</t>
  </si>
  <si>
    <t>Chi tiêu TB KH mới Store.</t>
  </si>
  <si>
    <t>Σ DT đơn KH mới Store trong T ÷ COUNT KH mới Store</t>
  </si>
  <si>
    <t>So sánh với AOV KH cũ Store. Bình thường nên thấp hơn.</t>
  </si>
  <si>
    <t>T8/26 FINAL: 337,016đ</t>
  </si>
  <si>
    <t>R45</t>
  </si>
  <si>
    <t>Activation Rate Store (Cách B) =&gt; Đổi tên thành "Cohort T-3 --&gt; T (Store)"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</si>
  <si>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</si>
  <si>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</si>
  <si>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≥5%. Store nên cao hơn hoặc bằng FB do gặp trực tiếp.</t>
  </si>
  <si>
    <t>T8/26 FINAL: 59/1,834 = 3.22%
(Cách B — window 90d trước T_START)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</si>
  <si>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</si>
  <si>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</si>
  <si>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</si>
  <si>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</si>
  <si>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4–10% là bình thường. &gt;12% = tốt.</t>
  </si>
  <si>
    <t>T8/26 FINAL: 33/640 = 5.16%
(cohort KH mới Store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</si>
  <si>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</si>
  <si>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</si>
  <si>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</si>
  <si>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</si>
  <si>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Nguồn DT ổn định Store. Mục tiêu chiếm 55–70% tổng KH Store.</t>
  </si>
  <si>
    <t>T8/26 FINAL: 768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</si>
  <si>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</si>
  <si>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</si>
  <si>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</si>
  <si>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</si>
  <si>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Dùng tính CLV Store. Theo dõi xu hướng — giảm liên tiếp 3 tháng cần điều tra.</t>
  </si>
  <si>
    <t>T8/26 FINAL: 378,254đ</t>
  </si>
  <si>
    <t>R50</t>
  </si>
  <si>
    <t>Tỷ lệ KH cũ / tổng KH Store trong T.</t>
  </si>
  <si>
    <t>KH cũ Store ÷ (KH mới + KH cũ Store)</t>
  </si>
  <si>
    <t>🟡 Tính từ R43+R48</t>
  </si>
  <si>
    <t>Target: 55–70%. Dưới 50% = Store đang phụ thuộc nhiều vào KH mới.</t>
  </si>
  <si>
    <t>T8/26 FINAL: 60.05%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</si>
  <si>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</si>
  <si>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</si>
  <si>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</si>
  <si>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</si>
  <si>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Nhóm mua lại sớm nhất — lens 1M hoặc KH trung thành cao.</t>
  </si>
  <si>
    <t>T8/26 FINAL: 168 KH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</si>
  <si>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</si>
  <si>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</si>
  <si>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</si>
  <si>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</si>
  <si>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Core lens 1M/3M Store.</t>
  </si>
  <si>
    <t>T8/26 FINAL: 218 KH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</si>
  <si>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</si>
  <si>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</si>
  <si>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</si>
  <si>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</si>
  <si>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Semi-dormant tự quay lại Store.</t>
  </si>
  <si>
    <t>T8/26 FINAL: 382 KH</t>
  </si>
  <si>
    <t>R58</t>
  </si>
  <si>
    <t>Số KH trong T có ≥3 đơn tích lũy tại Store.</t>
  </si>
  <si>
    <t>COUNT KH trong T, tổng đơn Store (pkl + T) ≥ 3</t>
  </si>
  <si>
    <t>Tệp trung thành Store thực sự. Nền tảng chương trình ưu đãi.</t>
  </si>
  <si>
    <t>T8/26 FINAL: 564 KH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</si>
  <si>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</si>
  <si>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</si>
  <si>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</si>
  <si>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</si>
  <si>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Dùng so sánh vs CLV FB và vs CAC Store để đánh giá kênh.</t>
  </si>
  <si>
    <t>T8/26 FINAL: 1,380,627đ
= 378,254 × 365/100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</si>
  <si>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</si>
  <si>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</si>
  <si>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</si>
  <si>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</si>
  <si>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</si>
  <si>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</si>
  <si>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🟢 fill_daily.py
(cột O3 trong DAILY sheet)</t>
  </si>
  <si>
    <t>O3 = Tròng Kính + Mắt Kính. Biên lợi nhuận cao. Mục tiêu chiếm 2–4% DT Tổng.</t>
  </si>
  <si>
    <t>T8/26 FINAL: 27,185,258đ (1.73%)
⚠️ KHÔNG phải áp tròng lens</t>
  </si>
  <si>
    <t>R64</t>
  </si>
  <si>
    <t>% O3 / DT Tổng</t>
  </si>
  <si>
    <t>Tỷ trọng O3 trong tổng DT.</t>
  </si>
  <si>
    <t>DT O3 ÷ DT Tổng</t>
  </si>
  <si>
    <t>🟢 Tính từ fill_daily
= R63 ÷ R68</t>
  </si>
  <si>
    <t>Target: 2–4% DT Tổng. Nếu &lt;1.5% → kiểm tra lại dữ liệu O3.</t>
  </si>
  <si>
    <t>T8/26 FINAL: 1.73%</t>
  </si>
  <si>
    <t>R68</t>
  </si>
  <si>
    <t>DT Tổng (FB+Store)</t>
  </si>
  <si>
    <t>Tổng DT toàn hệ thống trong tháng.</t>
  </si>
  <si>
    <t xml:space="preserve">DT FB + DT Store </t>
  </si>
  <si>
    <t>🟢 Tính từ fill_daily
= R6 + R35</t>
  </si>
  <si>
    <t>Chỉ số revenue chính so Target Q3/năm.</t>
  </si>
  <si>
    <t>T8/26 FINAL: 1,572,251,449đ
Target: 2,022,453,004đ → 77.7%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</si>
  <si>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</si>
  <si>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</si>
  <si>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</si>
  <si>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</si>
  <si>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 &gt;1.3 = có thể đếm đơn trả chưa loại đúng.</t>
  </si>
  <si>
    <t>T8/26 FINAL: 1.132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</si>
  <si>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</si>
  <si>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</si>
  <si>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</si>
  <si>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</si>
  <si>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 − 60d)</t>
  </si>
  <si>
    <t>Pool lớn = nhiều cơ hội. Chạy chiến dịch Zalo/SMS định kỳ để giảm pool.</t>
  </si>
  <si>
    <t>T8/26 FINAL: 20,428 KH
(cutoff = 1/7/2026)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</si>
  <si>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</si>
  <si>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</si>
  <si>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</si>
  <si>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</si>
  <si>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R72 ÷ Pool tháng trước. Target: 6–12%.</t>
  </si>
  <si>
    <t>T8/26 FINAL: 1,396 KH
= 6.83% của pool 20,428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</si>
  <si>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</si>
  <si>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</si>
  <si>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</si>
  <si>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</si>
  <si>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</si>
  <si>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</si>
  <si>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 Tăng = KH đang thưa dần.</t>
  </si>
  <si>
    <t>T8/26 FINAL: 96 ngày 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</si>
  <si>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</si>
  <si>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</si>
  <si>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</si>
  <si>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</si>
  <si>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</si>
  <si>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CHỈ để ghi nhận. FIXED_FREQ_FB = 105 — CỐ ĐỊNH cho CLV. Không tính động.</t>
  </si>
  <si>
    <t>T8/26: 105 ngày → FIXED_FREQ_FB = 105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</si>
  <si>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</si>
  <si>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</si>
  <si>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</si>
  <si>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</si>
  <si>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</si>
  <si>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CHỈ để ghi nhận. FIXED_FREQ_ST = 100 — CỐ ĐỊNH cho CLV Store. Không tính động.</t>
  </si>
  <si>
    <t>T8/26: 92 ngày (thực tế)
FIXED_FREQ_ST = 100 (calibrated)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</si>
  <si>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</si>
  <si>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</si>
  <si>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</si>
  <si>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</si>
  <si>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&lt; CLV 12M là bình thường (avg lifetime ~9.9 tháng). CLV/CAC &gt; 3 là tốt.</t>
  </si>
  <si>
    <t>T8/26 FINAL: 1,403,662đ
= 496,244 × 297/105
(avg_life=9.921 tháng × 30/105)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</si>
  <si>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</si>
  <si>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</si>
  <si>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</si>
  <si>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</si>
  <si>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CLV Store realized. avg_life_Store = 8.005 tháng (ngắn hơn FB do chu kỳ mua khác).</t>
  </si>
  <si>
    <t>T8/26 FINAL: 908,377đ
= 378,254 × 240.15/100
(avg_life=8.005 tháng × 30/100)</t>
  </si>
  <si>
    <t>R79</t>
  </si>
  <si>
    <t>CLV FB 12M rolling
(= R32)</t>
  </si>
  <si>
    <t>Cùng giá trị R32 — đặt ở đây để compare song song FB vs Store.</t>
  </si>
  <si>
    <t>🟡 = R32</t>
  </si>
  <si>
    <t>Đặt cạnh R77 để so sánh realized vs projected. Nếu R77 &gt; R79 = KH giữ &gt;12 tháng.</t>
  </si>
  <si>
    <t>T8/26 FINAL: 1,725,039đ (= R32)</t>
  </si>
  <si>
    <t>R80</t>
  </si>
  <si>
    <t>CLV Store 12M rolling
(= R60)</t>
  </si>
  <si>
    <t>Cùng giá trị R60 — đặt ở đây để compare song song.</t>
  </si>
  <si>
    <t>🟡 = R60</t>
  </si>
  <si>
    <t>Đặt cạnh R78 để so sánh realized vs projected Store.</t>
  </si>
  <si>
    <t>T8/26 FINAL: 1,380,627đ (= R60)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</si>
  <si>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</si>
  <si>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</si>
  <si>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</si>
  <si>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</si>
  <si>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</si>
  <si>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</si>
  <si>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</si>
  <si>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</si>
  <si>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</si>
  <si>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</si>
  <si>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</si>
  <si>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</si>
  <si>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</si>
  <si>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</si>
  <si>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</si>
  <si>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</si>
  <si>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</si>
  <si>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</si>
  <si>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</si>
  <si>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</si>
  <si>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</si>
  <si>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</si>
  <si>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</si>
  <si>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</si>
  <si>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</si>
  <si>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</si>
  <si>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</si>
  <si>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</si>
  <si>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</si>
  <si>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</si>
  <si>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</si>
  <si>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</si>
  <si>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</si>
  <si>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</si>
  <si>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</si>
  <si>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</si>
  <si>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</si>
  <si>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</si>
  <si>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</si>
  <si>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</si>
  <si>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</si>
  <si>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</si>
  <si>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</si>
  <si>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</si>
  <si>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</si>
  <si>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</si>
  <si>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</si>
  <si>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</si>
  <si>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</si>
  <si>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</si>
  <si>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</si>
  <si>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</si>
  <si>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</si>
  <si>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</si>
  <si>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</si>
  <si>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</si>
  <si>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</si>
  <si>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</si>
  <si>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</si>
  <si>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</si>
  <si>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</si>
  <si>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</si>
  <si>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</si>
  <si>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</si>
  <si>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</si>
  <si>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</si>
  <si>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</si>
  <si>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</si>
  <si>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</si>
  <si>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</si>
  <si>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</si>
  <si>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</si>
  <si>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</si>
  <si>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</si>
  <si>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</si>
  <si>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</si>
  <si>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</si>
  <si>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</si>
  <si>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</si>
  <si>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</si>
  <si>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</si>
  <si>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</si>
  <si>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</si>
  <si>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</si>
  <si>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</si>
  <si>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</si>
  <si>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</si>
  <si>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</si>
  <si>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</si>
  <si>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</si>
  <si>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</si>
  <si>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</si>
  <si>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</si>
  <si>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</si>
  <si>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</si>
  <si>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</si>
  <si>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</si>
  <si>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</si>
  <si>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</si>
  <si>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</si>
  <si>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</si>
  <si>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</si>
  <si>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</si>
  <si>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</si>
  <si>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</si>
  <si>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</si>
  <si>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</si>
  <si>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</si>
  <si>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</si>
  <si>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</si>
  <si>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</si>
  <si>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</si>
  <si>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</si>
  <si>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</si>
  <si>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</si>
  <si>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</si>
  <si>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</si>
  <si>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</si>
  <si>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</si>
  <si>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</si>
  <si>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</si>
  <si>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</si>
  <si>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</si>
  <si>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</si>
  <si>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</si>
  <si>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</si>
  <si>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</si>
  <si>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</si>
  <si>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</si>
  <si>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</si>
  <si>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</si>
  <si>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</si>
  <si>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</si>
  <si>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</si>
  <si>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</si>
  <si>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</si>
  <si>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</si>
  <si>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</si>
  <si>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</si>
  <si>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</si>
  <si>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</si>
  <si>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</si>
  <si>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</si>
  <si>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</si>
  <si>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</si>
  <si>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</si>
  <si>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</si>
  <si>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</si>
  <si>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</si>
  <si>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</si>
  <si>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</si>
  <si>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</si>
  <si>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</si>
  <si>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</si>
  <si>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</si>
  <si>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</si>
  <si>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</si>
  <si>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</si>
  <si>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</si>
  <si>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</si>
  <si>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</si>
  <si>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</si>
  <si>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</si>
  <si>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</si>
  <si>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</si>
  <si>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</si>
  <si>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</si>
  <si>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</si>
  <si>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</si>
  <si>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</si>
  <si>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</si>
  <si>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</si>
  <si>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</si>
  <si>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</si>
  <si>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</si>
  <si>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</si>
  <si>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</si>
  <si>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</si>
  <si>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</si>
  <si>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</si>
  <si>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</si>
  <si>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</si>
  <si>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</si>
  <si>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</si>
  <si>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</si>
  <si>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</si>
  <si>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</si>
  <si>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</si>
  <si>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</si>
  <si>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</si>
  <si>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</si>
  <si>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</si>
  <si>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</si>
  <si>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</si>
  <si>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</si>
  <si>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</si>
  <si>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</si>
  <si>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</si>
  <si>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</si>
  <si>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</si>
  <si>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</si>
  <si>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</si>
  <si>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</si>
  <si>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</si>
  <si>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</si>
  <si>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</si>
  <si>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</si>
  <si>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</si>
  <si>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</si>
  <si>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</si>
  <si>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</si>
  <si>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</si>
  <si>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</si>
  <si>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</si>
  <si>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</si>
  <si>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</si>
  <si>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</si>
  <si>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</si>
  <si>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</si>
  <si>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</si>
  <si>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</si>
  <si>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</si>
  <si>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</si>
  <si>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</si>
  <si>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</si>
  <si>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</si>
  <si>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</si>
  <si>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</si>
  <si>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</si>
  <si>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</si>
  <si>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</si>
  <si>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</si>
  <si>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</si>
  <si>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</si>
  <si>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</si>
  <si>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</si>
  <si>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</si>
  <si>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</si>
  <si>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T8/2026</t>
  </si>
  <si>
    <t>T9/2026</t>
  </si>
  <si>
    <t>T10/2026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</si>
</sst>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200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8" fillId="9" borderId="10" xfId="0" applyFont="1" applyFill="1" applyBorder="1"/>
    <xf numFmtId="0" fontId="13" fillId="6" borderId="10" xfId="0" applyFont="1" applyFill="1" applyBorder="1" applyAlignment="1">
      <alignment horizontal="left" vertical="center" wrapText="1"/>
    </xf>
    <xf numFmtId="3" fontId="13" fillId="6" borderId="10" xfId="0" applyNumberFormat="1" applyFont="1" applyFill="1" applyBorder="1" applyAlignment="1">
      <alignment horizontal="left" vertical="center" wrapText="1"/>
    </xf>
    <xf numFmtId="0" fontId="49" fillId="0" borderId="0" xfId="0" applyFont="1"/>
    <xf numFmtId="0" fontId="7" fillId="7" borderId="0" xfId="0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right" vertical="center"/>
    </xf>
    <xf numFmtId="3" fontId="6" fillId="3" borderId="0" xfId="0" applyNumberFormat="1" applyFont="1" applyFill="1" applyAlignment="1">
      <alignment horizontal="right" vertical="center"/>
    </xf>
    <xf numFmtId="9" fontId="10" fillId="6" borderId="0" xfId="0" applyNumberFormat="1" applyFont="1" applyFill="1" applyAlignment="1">
      <alignment horizontal="center" vertical="center" wrapText="1"/>
    </xf>
    <xf numFmtId="2" fontId="6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3" fontId="13" fillId="6" borderId="0" xfId="0" applyNumberFormat="1" applyFont="1" applyFill="1" applyAlignment="1">
      <alignment horizontal="left" vertical="center" wrapText="1"/>
    </xf>
    <xf numFmtId="1" fontId="6" fillId="3" borderId="0" xfId="0" applyNumberFormat="1" applyFont="1" applyFill="1" applyAlignment="1">
      <alignment horizontal="right" vertical="center"/>
    </xf>
    <xf numFmtId="164" fontId="12" fillId="8" borderId="0" xfId="0" applyNumberFormat="1" applyFont="1" applyFill="1" applyAlignment="1">
      <alignment horizontal="right" vertical="center"/>
    </xf>
    <xf numFmtId="0" fontId="8" fillId="0" borderId="0" xfId="0" applyFont="1"/>
    <xf numFmtId="165" fontId="6" fillId="3" borderId="0" xfId="0" applyNumberFormat="1" applyFont="1" applyFill="1" applyAlignment="1">
      <alignment horizontal="right" vertical="center"/>
    </xf>
    <xf numFmtId="0" fontId="8" fillId="10" borderId="10" xfId="0" applyFont="1" applyFill="1" applyBorder="1"/>
    <xf numFmtId="0" fontId="0" fillId="0" borderId="4" xfId="0" applyBorder="1"/>
    <xf numFmtId="0" fontId="0" fillId="0" borderId="8" xfId="0" applyBorder="1"/>
    <xf numFmtId="0" fontId="5" fillId="9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75" t="s">
        <v>99</v>
      </c>
      <c r="B1" s="176"/>
      <c r="C1" s="176"/>
      <c r="D1" s="176"/>
      <c r="E1" s="176"/>
      <c r="F1" s="176"/>
      <c r="G1" s="176"/>
      <c r="H1" s="176"/>
    </row>
    <row r="2" spans="1:8" ht="22" customHeight="1" x14ac:dyDescent="0.2">
      <c r="A2" s="179" t="s">
        <v>100</v>
      </c>
      <c r="B2" s="176"/>
      <c r="C2" s="176"/>
      <c r="D2" s="176"/>
      <c r="E2" s="176"/>
      <c r="F2" s="176"/>
      <c r="G2" s="176"/>
      <c r="H2" s="176"/>
    </row>
    <row r="3" spans="1:8" ht="18" customHeight="1" x14ac:dyDescent="0.2">
      <c r="A3" s="177" t="s">
        <v>101</v>
      </c>
      <c r="B3" s="176"/>
      <c r="C3" s="176"/>
      <c r="D3" s="176"/>
      <c r="E3" s="176"/>
      <c r="F3" s="176"/>
      <c r="G3" s="176"/>
      <c r="H3" s="176"/>
    </row>
    <row r="4" spans="1:8" ht="42" customHeight="1" x14ac:dyDescent="0.2">
      <c r="A4" s="133" t="s">
        <v>102</v>
      </c>
      <c r="B4" s="133" t="s">
        <v>103</v>
      </c>
      <c r="C4" s="133" t="s">
        <v>104</v>
      </c>
      <c r="D4" s="133" t="s">
        <v>105</v>
      </c>
      <c r="E4" s="133" t="s">
        <v>106</v>
      </c>
      <c r="F4" s="133" t="s">
        <v>107</v>
      </c>
      <c r="G4" s="133" t="s">
        <v>108</v>
      </c>
      <c r="H4" s="133" t="s">
        <v>109</v>
      </c>
    </row>
    <row r="5" spans="1:8" ht="20" customHeight="1" x14ac:dyDescent="0.2">
      <c r="A5" s="178" t="s">
        <v>110</v>
      </c>
      <c r="B5" s="176"/>
      <c r="C5" s="176"/>
      <c r="D5" s="176"/>
      <c r="E5" s="176"/>
      <c r="F5" s="176"/>
      <c r="G5" s="176"/>
      <c r="H5" s="176"/>
    </row>
    <row r="6" spans="1:8" ht="68" customHeight="1" x14ac:dyDescent="0.2">
      <c r="A6" s="134" t="s">
        <v>111</v>
      </c>
      <c r="B6" s="135" t="s">
        <v>112</v>
      </c>
      <c r="C6" s="136" t="s">
        <v>31</v>
      </c>
      <c r="D6" s="136" t="s">
        <v>113</v>
      </c>
      <c r="E6" s="136" t="s">
        <v>114</v>
      </c>
      <c r="F6" s="137" t="s">
        <v>115</v>
      </c>
      <c r="G6" s="136" t="s">
        <v>116</v>
      </c>
      <c r="H6" s="136" t="s">
        <v>117</v>
      </c>
    </row>
    <row r="7" spans="1:8" ht="68" customHeight="1" x14ac:dyDescent="0.2">
      <c r="A7" s="138" t="s">
        <v>118</v>
      </c>
      <c r="B7" s="139" t="s">
        <v>112</v>
      </c>
      <c r="C7" s="140" t="s">
        <v>33</v>
      </c>
      <c r="D7" s="140" t="s">
        <v>119</v>
      </c>
      <c r="E7" s="140" t="s">
        <v>120</v>
      </c>
      <c r="F7" s="137" t="s">
        <v>121</v>
      </c>
      <c r="G7" s="140" t="s">
        <v>122</v>
      </c>
      <c r="H7" s="140" t="s">
        <v>123</v>
      </c>
    </row>
    <row r="8" spans="1:8" ht="68" customHeight="1" x14ac:dyDescent="0.2">
      <c r="A8" s="134" t="s">
        <v>124</v>
      </c>
      <c r="B8" s="135" t="s">
        <v>112</v>
      </c>
      <c r="C8" s="136" t="s">
        <v>35</v>
      </c>
      <c r="D8" s="136" t="s">
        <v>125</v>
      </c>
      <c r="E8" s="136" t="s">
        <v>126</v>
      </c>
      <c r="F8" s="137" t="s">
        <v>127</v>
      </c>
      <c r="G8" s="136" t="s">
        <v>128</v>
      </c>
      <c r="H8" s="136" t="s">
        <v>129</v>
      </c>
    </row>
    <row r="9" spans="1:8" ht="68" customHeight="1" x14ac:dyDescent="0.2">
      <c r="A9" s="138" t="s">
        <v>130</v>
      </c>
      <c r="B9" s="139" t="s">
        <v>112</v>
      </c>
      <c r="C9" s="140" t="s">
        <v>37</v>
      </c>
      <c r="D9" s="140" t="s">
        <v>131</v>
      </c>
      <c r="E9" s="140" t="s">
        <v>132</v>
      </c>
      <c r="F9" s="141" t="s">
        <v>133</v>
      </c>
      <c r="G9" s="140" t="s">
        <v>134</v>
      </c>
      <c r="H9" s="140" t="s">
        <v>135</v>
      </c>
    </row>
    <row r="10" spans="1:8" ht="68" customHeight="1" x14ac:dyDescent="0.2">
      <c r="A10" s="134" t="s">
        <v>136</v>
      </c>
      <c r="B10" s="135" t="s">
        <v>112</v>
      </c>
      <c r="C10" s="136" t="s">
        <v>39</v>
      </c>
      <c r="D10" s="136" t="s">
        <v>137</v>
      </c>
      <c r="E10" s="136" t="s">
        <v>138</v>
      </c>
      <c r="F10" s="137" t="s">
        <v>139</v>
      </c>
      <c r="G10" s="136" t="s">
        <v>140</v>
      </c>
      <c r="H10" s="136"/>
    </row>
    <row r="11" spans="1:8" ht="20" customHeight="1" x14ac:dyDescent="0.2">
      <c r="A11" s="178" t="s">
        <v>141</v>
      </c>
      <c r="B11" s="176"/>
      <c r="C11" s="176"/>
      <c r="D11" s="176"/>
      <c r="E11" s="176"/>
      <c r="F11" s="176"/>
      <c r="G11" s="176"/>
      <c r="H11" s="176"/>
    </row>
    <row r="12" spans="1:8" ht="68" customHeight="1" x14ac:dyDescent="0.2">
      <c r="A12" s="134" t="s">
        <v>142</v>
      </c>
      <c r="B12" s="135" t="s">
        <v>112</v>
      </c>
      <c r="C12" s="136" t="s">
        <v>44</v>
      </c>
      <c r="D12" s="136" t="s">
        <v>143</v>
      </c>
      <c r="E12" s="136" t="s">
        <v>144</v>
      </c>
      <c r="F12" s="142" t="s">
        <v>145</v>
      </c>
      <c r="G12" s="136" t="s">
        <v>146</v>
      </c>
      <c r="H12" s="136" t="s">
        <v>147</v>
      </c>
    </row>
    <row r="13" spans="1:8" ht="68" customHeight="1" x14ac:dyDescent="0.2">
      <c r="A13" s="138" t="s">
        <v>148</v>
      </c>
      <c r="B13" s="139" t="s">
        <v>112</v>
      </c>
      <c r="C13" s="140" t="s">
        <v>149</v>
      </c>
      <c r="D13" s="140" t="s">
        <v>150</v>
      </c>
      <c r="E13" s="140" t="s">
        <v>151</v>
      </c>
      <c r="F13" s="142" t="s">
        <v>152</v>
      </c>
      <c r="G13" s="140" t="s">
        <v>153</v>
      </c>
      <c r="H13" s="140"/>
    </row>
    <row r="14" spans="1:8" ht="68" customHeight="1" x14ac:dyDescent="0.2">
      <c r="A14" s="134" t="s">
        <v>154</v>
      </c>
      <c r="B14" s="135" t="s">
        <v>112</v>
      </c>
      <c r="C14" s="136" t="s">
        <v>155</v>
      </c>
      <c r="D14" s="136" t="s">
        <v>156</v>
      </c>
      <c r="E14" s="136" t="s">
        <v>157</v>
      </c>
      <c r="F14" s="142" t="s">
        <v>158</v>
      </c>
      <c r="G14" s="136" t="s">
        <v>159</v>
      </c>
      <c r="H14" s="136" t="s">
        <v>160</v>
      </c>
    </row>
    <row r="15" spans="1:8" ht="68" customHeight="1" x14ac:dyDescent="0.2">
      <c r="A15" s="138" t="s">
        <v>161</v>
      </c>
      <c r="B15" s="139" t="s">
        <v>112</v>
      </c>
      <c r="C15" s="140" t="s">
        <v>162</v>
      </c>
      <c r="D15" s="140" t="s">
        <v>163</v>
      </c>
      <c r="E15" s="140" t="s">
        <v>164</v>
      </c>
      <c r="F15" s="142" t="s">
        <v>152</v>
      </c>
      <c r="G15" s="140" t="s">
        <v>165</v>
      </c>
      <c r="H15" s="140" t="s">
        <v>166</v>
      </c>
    </row>
    <row r="16" spans="1:8" ht="68" customHeight="1" x14ac:dyDescent="0.2">
      <c r="A16" s="134" t="s">
        <v>167</v>
      </c>
      <c r="B16" s="135" t="s">
        <v>112</v>
      </c>
      <c r="C16" s="136" t="s">
        <v>168</v>
      </c>
      <c r="D16" s="136" t="s">
        <v>169</v>
      </c>
      <c r="E16" s="136" t="s">
        <v>170</v>
      </c>
      <c r="F16" s="142" t="s">
        <v>152</v>
      </c>
      <c r="G16" s="136" t="s">
        <v>171</v>
      </c>
      <c r="H16" s="136" t="s">
        <v>172</v>
      </c>
    </row>
    <row r="17" spans="1:8" ht="68" customHeight="1" x14ac:dyDescent="0.2">
      <c r="A17" s="138" t="s">
        <v>173</v>
      </c>
      <c r="B17" s="139" t="s">
        <v>112</v>
      </c>
      <c r="C17" s="140" t="s">
        <v>174</v>
      </c>
      <c r="D17" s="140" t="s">
        <v>175</v>
      </c>
      <c r="E17" s="140" t="s">
        <v>176</v>
      </c>
      <c r="F17" s="142" t="s">
        <v>152</v>
      </c>
      <c r="G17" s="140" t="s">
        <v>177</v>
      </c>
      <c r="H17" s="140" t="s">
        <v>178</v>
      </c>
    </row>
    <row r="18" spans="1:8" ht="68" customHeight="1" x14ac:dyDescent="0.2">
      <c r="A18" s="134" t="s">
        <v>179</v>
      </c>
      <c r="B18" s="135" t="s">
        <v>112</v>
      </c>
      <c r="C18" s="136" t="s">
        <v>52</v>
      </c>
      <c r="D18" s="136" t="s">
        <v>180</v>
      </c>
      <c r="E18" s="136" t="s">
        <v>181</v>
      </c>
      <c r="F18" s="142" t="s">
        <v>182</v>
      </c>
      <c r="G18" s="136" t="s">
        <v>183</v>
      </c>
      <c r="H18" s="136" t="s">
        <v>184</v>
      </c>
    </row>
    <row r="19" spans="1:8" ht="68" customHeight="1" x14ac:dyDescent="0.2">
      <c r="A19" s="138" t="s">
        <v>185</v>
      </c>
      <c r="B19" s="139" t="s">
        <v>112</v>
      </c>
      <c r="C19" s="140" t="s">
        <v>186</v>
      </c>
      <c r="D19" s="140" t="s">
        <v>187</v>
      </c>
      <c r="E19" s="140" t="s">
        <v>188</v>
      </c>
      <c r="F19" s="142" t="s">
        <v>152</v>
      </c>
      <c r="G19" s="140" t="s">
        <v>189</v>
      </c>
      <c r="H19" s="140" t="s">
        <v>190</v>
      </c>
    </row>
    <row r="20" spans="1:8" ht="68" customHeight="1" x14ac:dyDescent="0.2">
      <c r="A20" s="134" t="s">
        <v>191</v>
      </c>
      <c r="B20" s="135" t="s">
        <v>112</v>
      </c>
      <c r="C20" s="136" t="s">
        <v>192</v>
      </c>
      <c r="D20" s="136" t="s">
        <v>193</v>
      </c>
      <c r="E20" s="136" t="s">
        <v>194</v>
      </c>
      <c r="F20" s="142" t="s">
        <v>152</v>
      </c>
      <c r="G20" s="136" t="s">
        <v>195</v>
      </c>
      <c r="H20" s="136" t="s">
        <v>196</v>
      </c>
    </row>
    <row r="21" spans="1:8" ht="68" customHeight="1" x14ac:dyDescent="0.2">
      <c r="A21" s="138" t="s">
        <v>197</v>
      </c>
      <c r="B21" s="139" t="s">
        <v>112</v>
      </c>
      <c r="C21" s="140" t="s">
        <v>198</v>
      </c>
      <c r="D21" s="140" t="s">
        <v>199</v>
      </c>
      <c r="E21" s="140" t="s">
        <v>200</v>
      </c>
      <c r="F21" s="142" t="s">
        <v>152</v>
      </c>
      <c r="G21" s="140" t="s">
        <v>201</v>
      </c>
      <c r="H21" s="140" t="s">
        <v>202</v>
      </c>
    </row>
    <row r="22" spans="1:8" ht="68" customHeight="1" x14ac:dyDescent="0.2">
      <c r="A22" s="134" t="s">
        <v>203</v>
      </c>
      <c r="B22" s="135" t="s">
        <v>112</v>
      </c>
      <c r="C22" s="136" t="s">
        <v>58</v>
      </c>
      <c r="D22" s="136" t="s">
        <v>204</v>
      </c>
      <c r="E22" s="136" t="s">
        <v>205</v>
      </c>
      <c r="F22" s="142" t="s">
        <v>152</v>
      </c>
      <c r="G22" s="136" t="s">
        <v>206</v>
      </c>
      <c r="H22" s="136" t="s">
        <v>207</v>
      </c>
    </row>
    <row r="23" spans="1:8" ht="68" customHeight="1" x14ac:dyDescent="0.2">
      <c r="A23" s="138" t="s">
        <v>208</v>
      </c>
      <c r="B23" s="139" t="s">
        <v>112</v>
      </c>
      <c r="C23" s="140" t="s">
        <v>209</v>
      </c>
      <c r="D23" s="140" t="s">
        <v>210</v>
      </c>
      <c r="E23" s="140" t="s">
        <v>211</v>
      </c>
      <c r="F23" s="142" t="s">
        <v>212</v>
      </c>
      <c r="G23" s="140" t="s">
        <v>213</v>
      </c>
      <c r="H23" s="140" t="s">
        <v>214</v>
      </c>
    </row>
    <row r="24" spans="1:8" ht="20" customHeight="1" x14ac:dyDescent="0.2">
      <c r="A24" s="178" t="s">
        <v>215</v>
      </c>
      <c r="B24" s="176"/>
      <c r="C24" s="176"/>
      <c r="D24" s="176"/>
      <c r="E24" s="176"/>
      <c r="F24" s="176"/>
      <c r="G24" s="176"/>
      <c r="H24" s="176"/>
    </row>
    <row r="25" spans="1:8" ht="68" customHeight="1" x14ac:dyDescent="0.2">
      <c r="A25" s="134" t="s">
        <v>216</v>
      </c>
      <c r="B25" s="135" t="s">
        <v>217</v>
      </c>
      <c r="C25" s="136" t="s">
        <v>218</v>
      </c>
      <c r="D25" s="136" t="s">
        <v>219</v>
      </c>
      <c r="E25" s="136" t="s">
        <v>220</v>
      </c>
      <c r="F25" s="137" t="s">
        <v>221</v>
      </c>
      <c r="G25" s="136" t="s">
        <v>222</v>
      </c>
      <c r="H25" s="136" t="s">
        <v>223</v>
      </c>
    </row>
    <row r="26" spans="1:8" ht="68" customHeight="1" x14ac:dyDescent="0.2">
      <c r="A26" s="138" t="s">
        <v>224</v>
      </c>
      <c r="B26" s="139" t="s">
        <v>217</v>
      </c>
      <c r="C26" s="140" t="s">
        <v>225</v>
      </c>
      <c r="D26" s="140" t="s">
        <v>226</v>
      </c>
      <c r="E26" s="140" t="s">
        <v>227</v>
      </c>
      <c r="F26" s="137" t="s">
        <v>121</v>
      </c>
      <c r="G26" s="140" t="s">
        <v>228</v>
      </c>
      <c r="H26" s="140" t="s">
        <v>229</v>
      </c>
    </row>
    <row r="27" spans="1:8" ht="68" customHeight="1" x14ac:dyDescent="0.2">
      <c r="A27" s="134" t="s">
        <v>230</v>
      </c>
      <c r="B27" s="135" t="s">
        <v>217</v>
      </c>
      <c r="C27" s="136" t="s">
        <v>231</v>
      </c>
      <c r="D27" s="136" t="s">
        <v>232</v>
      </c>
      <c r="E27" s="136" t="s">
        <v>233</v>
      </c>
      <c r="F27" s="137" t="s">
        <v>121</v>
      </c>
      <c r="G27" s="136" t="s">
        <v>234</v>
      </c>
      <c r="H27" s="136" t="s">
        <v>235</v>
      </c>
    </row>
    <row r="28" spans="1:8" ht="68" customHeight="1" x14ac:dyDescent="0.2">
      <c r="A28" s="138" t="s">
        <v>236</v>
      </c>
      <c r="B28" s="139" t="s">
        <v>217</v>
      </c>
      <c r="C28" s="140" t="s">
        <v>237</v>
      </c>
      <c r="D28" s="140" t="s">
        <v>238</v>
      </c>
      <c r="E28" s="140" t="s">
        <v>239</v>
      </c>
      <c r="F28" s="137" t="s">
        <v>121</v>
      </c>
      <c r="G28" s="140" t="s">
        <v>240</v>
      </c>
      <c r="H28" s="140" t="s">
        <v>241</v>
      </c>
    </row>
    <row r="29" spans="1:8" ht="68" customHeight="1" x14ac:dyDescent="0.2">
      <c r="A29" s="134" t="s">
        <v>242</v>
      </c>
      <c r="B29" s="135" t="s">
        <v>217</v>
      </c>
      <c r="C29" s="136" t="s">
        <v>68</v>
      </c>
      <c r="D29" s="136" t="s">
        <v>243</v>
      </c>
      <c r="E29" s="136" t="s">
        <v>244</v>
      </c>
      <c r="F29" s="137" t="s">
        <v>121</v>
      </c>
      <c r="G29" s="136" t="s">
        <v>245</v>
      </c>
      <c r="H29" s="136" t="s">
        <v>246</v>
      </c>
    </row>
    <row r="30" spans="1:8" ht="68" customHeight="1" x14ac:dyDescent="0.2">
      <c r="A30" s="138" t="s">
        <v>247</v>
      </c>
      <c r="B30" s="139" t="s">
        <v>217</v>
      </c>
      <c r="C30" s="140" t="s">
        <v>69</v>
      </c>
      <c r="D30" s="140" t="s">
        <v>248</v>
      </c>
      <c r="E30" s="140" t="s">
        <v>249</v>
      </c>
      <c r="F30" s="137" t="s">
        <v>250</v>
      </c>
      <c r="G30" s="140" t="s">
        <v>251</v>
      </c>
      <c r="H30" s="140" t="s">
        <v>252</v>
      </c>
    </row>
    <row r="31" spans="1:8" ht="20" customHeight="1" x14ac:dyDescent="0.2">
      <c r="A31" s="178" t="s">
        <v>253</v>
      </c>
      <c r="B31" s="176"/>
      <c r="C31" s="176"/>
      <c r="D31" s="176"/>
      <c r="E31" s="176"/>
      <c r="F31" s="176"/>
      <c r="G31" s="176"/>
      <c r="H31" s="176"/>
    </row>
    <row r="32" spans="1:8" ht="68" customHeight="1" x14ac:dyDescent="0.2">
      <c r="A32" s="134" t="s">
        <v>254</v>
      </c>
      <c r="B32" s="135" t="s">
        <v>217</v>
      </c>
      <c r="C32" s="136" t="s">
        <v>71</v>
      </c>
      <c r="D32" s="136" t="s">
        <v>255</v>
      </c>
      <c r="E32" s="136" t="s">
        <v>256</v>
      </c>
      <c r="F32" s="142" t="s">
        <v>152</v>
      </c>
      <c r="G32" s="136" t="s">
        <v>257</v>
      </c>
      <c r="H32" s="136" t="s">
        <v>258</v>
      </c>
    </row>
    <row r="33" spans="1:8" ht="68" customHeight="1" x14ac:dyDescent="0.2">
      <c r="A33" s="138" t="s">
        <v>259</v>
      </c>
      <c r="B33" s="139" t="s">
        <v>217</v>
      </c>
      <c r="C33" s="140" t="s">
        <v>260</v>
      </c>
      <c r="D33" s="140" t="s">
        <v>261</v>
      </c>
      <c r="E33" s="140" t="s">
        <v>262</v>
      </c>
      <c r="F33" s="142" t="s">
        <v>152</v>
      </c>
      <c r="G33" s="140" t="s">
        <v>263</v>
      </c>
      <c r="H33" s="140" t="s">
        <v>264</v>
      </c>
    </row>
    <row r="34" spans="1:8" ht="68" customHeight="1" x14ac:dyDescent="0.2">
      <c r="A34" s="134" t="s">
        <v>265</v>
      </c>
      <c r="B34" s="135" t="s">
        <v>217</v>
      </c>
      <c r="C34" s="136" t="s">
        <v>266</v>
      </c>
      <c r="D34" s="136" t="s">
        <v>267</v>
      </c>
      <c r="E34" s="136" t="s">
        <v>268</v>
      </c>
      <c r="F34" s="142" t="s">
        <v>158</v>
      </c>
      <c r="G34" s="136" t="s">
        <v>269</v>
      </c>
      <c r="H34" s="136" t="s">
        <v>270</v>
      </c>
    </row>
    <row r="35" spans="1:8" ht="68" customHeight="1" x14ac:dyDescent="0.2">
      <c r="A35" s="138" t="s">
        <v>271</v>
      </c>
      <c r="B35" s="139" t="s">
        <v>217</v>
      </c>
      <c r="C35" s="140" t="s">
        <v>272</v>
      </c>
      <c r="D35" s="140" t="s">
        <v>273</v>
      </c>
      <c r="E35" s="140" t="s">
        <v>274</v>
      </c>
      <c r="F35" s="142" t="s">
        <v>152</v>
      </c>
      <c r="G35" s="140" t="s">
        <v>275</v>
      </c>
      <c r="H35" s="140" t="s">
        <v>276</v>
      </c>
    </row>
    <row r="36" spans="1:8" ht="68" customHeight="1" x14ac:dyDescent="0.2">
      <c r="A36" s="134" t="s">
        <v>277</v>
      </c>
      <c r="B36" s="135" t="s">
        <v>217</v>
      </c>
      <c r="C36" s="136" t="s">
        <v>278</v>
      </c>
      <c r="D36" s="136" t="s">
        <v>279</v>
      </c>
      <c r="E36" s="136" t="s">
        <v>280</v>
      </c>
      <c r="F36" s="142" t="s">
        <v>152</v>
      </c>
      <c r="G36" s="136" t="s">
        <v>281</v>
      </c>
      <c r="H36" s="136" t="s">
        <v>282</v>
      </c>
    </row>
    <row r="37" spans="1:8" ht="68" customHeight="1" x14ac:dyDescent="0.2">
      <c r="A37" s="138" t="s">
        <v>283</v>
      </c>
      <c r="B37" s="139" t="s">
        <v>217</v>
      </c>
      <c r="C37" s="140" t="s">
        <v>284</v>
      </c>
      <c r="D37" s="140" t="s">
        <v>285</v>
      </c>
      <c r="E37" s="140" t="s">
        <v>286</v>
      </c>
      <c r="F37" s="142" t="s">
        <v>152</v>
      </c>
      <c r="G37" s="140" t="s">
        <v>287</v>
      </c>
      <c r="H37" s="140" t="s">
        <v>288</v>
      </c>
    </row>
    <row r="38" spans="1:8" ht="68" customHeight="1" x14ac:dyDescent="0.2">
      <c r="A38" s="134" t="s">
        <v>289</v>
      </c>
      <c r="B38" s="135" t="s">
        <v>217</v>
      </c>
      <c r="C38" s="136" t="s">
        <v>75</v>
      </c>
      <c r="D38" s="136" t="s">
        <v>290</v>
      </c>
      <c r="E38" s="136" t="s">
        <v>291</v>
      </c>
      <c r="F38" s="142" t="s">
        <v>292</v>
      </c>
      <c r="G38" s="136" t="s">
        <v>293</v>
      </c>
      <c r="H38" s="136" t="s">
        <v>294</v>
      </c>
    </row>
    <row r="39" spans="1:8" ht="68" customHeight="1" x14ac:dyDescent="0.2">
      <c r="A39" s="138" t="s">
        <v>295</v>
      </c>
      <c r="B39" s="139" t="s">
        <v>217</v>
      </c>
      <c r="C39" s="140" t="s">
        <v>296</v>
      </c>
      <c r="D39" s="140" t="s">
        <v>297</v>
      </c>
      <c r="E39" s="140" t="s">
        <v>298</v>
      </c>
      <c r="F39" s="142" t="s">
        <v>152</v>
      </c>
      <c r="G39" s="140" t="s">
        <v>299</v>
      </c>
      <c r="H39" s="140" t="s">
        <v>300</v>
      </c>
    </row>
    <row r="40" spans="1:8" ht="68" customHeight="1" x14ac:dyDescent="0.2">
      <c r="A40" s="134" t="s">
        <v>301</v>
      </c>
      <c r="B40" s="135" t="s">
        <v>217</v>
      </c>
      <c r="C40" s="136" t="s">
        <v>302</v>
      </c>
      <c r="D40" s="136" t="s">
        <v>303</v>
      </c>
      <c r="E40" s="136" t="s">
        <v>304</v>
      </c>
      <c r="F40" s="142" t="s">
        <v>152</v>
      </c>
      <c r="G40" s="136" t="s">
        <v>305</v>
      </c>
      <c r="H40" s="136" t="s">
        <v>306</v>
      </c>
    </row>
    <row r="41" spans="1:8" ht="68" customHeight="1" x14ac:dyDescent="0.2">
      <c r="A41" s="138" t="s">
        <v>307</v>
      </c>
      <c r="B41" s="139" t="s">
        <v>217</v>
      </c>
      <c r="C41" s="140" t="s">
        <v>308</v>
      </c>
      <c r="D41" s="140" t="s">
        <v>309</v>
      </c>
      <c r="E41" s="140" t="s">
        <v>310</v>
      </c>
      <c r="F41" s="142" t="s">
        <v>152</v>
      </c>
      <c r="G41" s="140" t="s">
        <v>311</v>
      </c>
      <c r="H41" s="140" t="s">
        <v>312</v>
      </c>
    </row>
    <row r="42" spans="1:8" ht="68" customHeight="1" x14ac:dyDescent="0.2">
      <c r="A42" s="134" t="s">
        <v>313</v>
      </c>
      <c r="B42" s="135" t="s">
        <v>217</v>
      </c>
      <c r="C42" s="136" t="s">
        <v>76</v>
      </c>
      <c r="D42" s="136" t="s">
        <v>314</v>
      </c>
      <c r="E42" s="136" t="s">
        <v>315</v>
      </c>
      <c r="F42" s="142" t="s">
        <v>152</v>
      </c>
      <c r="G42" s="136" t="s">
        <v>316</v>
      </c>
      <c r="H42" s="136" t="s">
        <v>317</v>
      </c>
    </row>
    <row r="43" spans="1:8" ht="68" customHeight="1" x14ac:dyDescent="0.2">
      <c r="A43" s="138" t="s">
        <v>318</v>
      </c>
      <c r="B43" s="139" t="s">
        <v>217</v>
      </c>
      <c r="C43" s="140" t="s">
        <v>319</v>
      </c>
      <c r="D43" s="140" t="s">
        <v>320</v>
      </c>
      <c r="E43" s="140" t="s">
        <v>321</v>
      </c>
      <c r="F43" s="142" t="s">
        <v>212</v>
      </c>
      <c r="G43" s="140" t="s">
        <v>322</v>
      </c>
      <c r="H43" s="140" t="s">
        <v>323</v>
      </c>
    </row>
    <row r="44" spans="1:8" ht="20" customHeight="1" x14ac:dyDescent="0.2">
      <c r="A44" s="178" t="s">
        <v>324</v>
      </c>
      <c r="B44" s="176"/>
      <c r="C44" s="176"/>
      <c r="D44" s="176"/>
      <c r="E44" s="176"/>
      <c r="F44" s="176"/>
      <c r="G44" s="176"/>
      <c r="H44" s="176"/>
    </row>
    <row r="45" spans="1:8" ht="68" customHeight="1" x14ac:dyDescent="0.2">
      <c r="A45" s="134" t="s">
        <v>325</v>
      </c>
      <c r="B45" s="135" t="s">
        <v>326</v>
      </c>
      <c r="C45" s="136" t="s">
        <v>327</v>
      </c>
      <c r="D45" s="136" t="s">
        <v>328</v>
      </c>
      <c r="E45" s="136" t="s">
        <v>329</v>
      </c>
      <c r="F45" s="137" t="s">
        <v>330</v>
      </c>
      <c r="G45" s="136" t="s">
        <v>331</v>
      </c>
      <c r="H45" s="136" t="s">
        <v>332</v>
      </c>
    </row>
    <row r="46" spans="1:8" ht="68" customHeight="1" x14ac:dyDescent="0.2">
      <c r="A46" s="138" t="s">
        <v>333</v>
      </c>
      <c r="B46" s="139" t="s">
        <v>326</v>
      </c>
      <c r="C46" s="140" t="s">
        <v>334</v>
      </c>
      <c r="D46" s="140" t="s">
        <v>335</v>
      </c>
      <c r="E46" s="140" t="s">
        <v>336</v>
      </c>
      <c r="F46" s="137" t="s">
        <v>337</v>
      </c>
      <c r="G46" s="140" t="s">
        <v>338</v>
      </c>
      <c r="H46" s="140" t="s">
        <v>339</v>
      </c>
    </row>
    <row r="47" spans="1:8" ht="68" customHeight="1" x14ac:dyDescent="0.2">
      <c r="A47" s="134" t="s">
        <v>340</v>
      </c>
      <c r="B47" s="135" t="s">
        <v>326</v>
      </c>
      <c r="C47" s="136" t="s">
        <v>341</v>
      </c>
      <c r="D47" s="136" t="s">
        <v>342</v>
      </c>
      <c r="E47" s="136" t="s">
        <v>343</v>
      </c>
      <c r="F47" s="137" t="s">
        <v>344</v>
      </c>
      <c r="G47" s="136" t="s">
        <v>345</v>
      </c>
      <c r="H47" s="136" t="s">
        <v>346</v>
      </c>
    </row>
    <row r="48" spans="1:8" ht="68" customHeight="1" x14ac:dyDescent="0.2">
      <c r="A48" s="138" t="s">
        <v>347</v>
      </c>
      <c r="B48" s="139" t="s">
        <v>326</v>
      </c>
      <c r="C48" s="140" t="s">
        <v>348</v>
      </c>
      <c r="D48" s="140" t="s">
        <v>349</v>
      </c>
      <c r="E48" s="140" t="s">
        <v>350</v>
      </c>
      <c r="F48" s="142" t="s">
        <v>152</v>
      </c>
      <c r="G48" s="140" t="s">
        <v>351</v>
      </c>
      <c r="H48" s="140" t="s">
        <v>352</v>
      </c>
    </row>
    <row r="49" spans="1:8" ht="68" customHeight="1" x14ac:dyDescent="0.2">
      <c r="A49" s="134" t="s">
        <v>353</v>
      </c>
      <c r="B49" s="135" t="s">
        <v>326</v>
      </c>
      <c r="C49" s="136" t="s">
        <v>354</v>
      </c>
      <c r="D49" s="136" t="s">
        <v>355</v>
      </c>
      <c r="E49" s="136" t="s">
        <v>356</v>
      </c>
      <c r="F49" s="142" t="s">
        <v>357</v>
      </c>
      <c r="G49" s="136" t="s">
        <v>358</v>
      </c>
      <c r="H49" s="136" t="s">
        <v>359</v>
      </c>
    </row>
    <row r="50" spans="1:8" ht="68" customHeight="1" x14ac:dyDescent="0.2">
      <c r="A50" s="138" t="s">
        <v>360</v>
      </c>
      <c r="B50" s="139" t="s">
        <v>326</v>
      </c>
      <c r="C50" s="140" t="s">
        <v>361</v>
      </c>
      <c r="D50" s="140" t="s">
        <v>362</v>
      </c>
      <c r="E50" s="140" t="s">
        <v>363</v>
      </c>
      <c r="F50" s="142" t="s">
        <v>152</v>
      </c>
      <c r="G50" s="140" t="s">
        <v>364</v>
      </c>
      <c r="H50" s="140" t="s">
        <v>365</v>
      </c>
    </row>
    <row r="51" spans="1:8" ht="20" customHeight="1" x14ac:dyDescent="0.2">
      <c r="A51" s="178" t="s">
        <v>366</v>
      </c>
      <c r="B51" s="176"/>
      <c r="C51" s="176"/>
      <c r="D51" s="176"/>
      <c r="E51" s="176"/>
      <c r="F51" s="176"/>
      <c r="G51" s="176"/>
      <c r="H51" s="176"/>
    </row>
    <row r="52" spans="1:8" ht="68" customHeight="1" x14ac:dyDescent="0.2">
      <c r="A52" s="134" t="s">
        <v>367</v>
      </c>
      <c r="B52" s="135" t="s">
        <v>326</v>
      </c>
      <c r="C52" s="136" t="s">
        <v>368</v>
      </c>
      <c r="D52" s="136" t="s">
        <v>369</v>
      </c>
      <c r="E52" s="136" t="s">
        <v>370</v>
      </c>
      <c r="F52" s="142" t="s">
        <v>371</v>
      </c>
      <c r="G52" s="136" t="s">
        <v>372</v>
      </c>
      <c r="H52" s="136" t="s">
        <v>373</v>
      </c>
    </row>
    <row r="53" spans="1:8" ht="68" customHeight="1" x14ac:dyDescent="0.2">
      <c r="A53" s="138" t="s">
        <v>374</v>
      </c>
      <c r="B53" s="139" t="s">
        <v>112</v>
      </c>
      <c r="C53" s="140" t="s">
        <v>375</v>
      </c>
      <c r="D53" s="140" t="s">
        <v>376</v>
      </c>
      <c r="E53" s="140" t="s">
        <v>377</v>
      </c>
      <c r="F53" s="142" t="s">
        <v>378</v>
      </c>
      <c r="G53" s="140" t="s">
        <v>379</v>
      </c>
      <c r="H53" s="140" t="s">
        <v>380</v>
      </c>
    </row>
    <row r="54" spans="1:8" ht="68" customHeight="1" x14ac:dyDescent="0.2">
      <c r="A54" s="134" t="s">
        <v>381</v>
      </c>
      <c r="B54" s="135" t="s">
        <v>217</v>
      </c>
      <c r="C54" s="136" t="s">
        <v>382</v>
      </c>
      <c r="D54" s="136" t="s">
        <v>383</v>
      </c>
      <c r="E54" s="136" t="s">
        <v>384</v>
      </c>
      <c r="F54" s="142" t="s">
        <v>385</v>
      </c>
      <c r="G54" s="136" t="s">
        <v>386</v>
      </c>
      <c r="H54" s="136" t="s">
        <v>387</v>
      </c>
    </row>
    <row r="55" spans="1:8" ht="68" customHeight="1" x14ac:dyDescent="0.2">
      <c r="A55" s="138" t="s">
        <v>388</v>
      </c>
      <c r="B55" s="139" t="s">
        <v>112</v>
      </c>
      <c r="C55" s="140" t="s">
        <v>389</v>
      </c>
      <c r="D55" s="140" t="s">
        <v>390</v>
      </c>
      <c r="E55" s="140" t="s">
        <v>391</v>
      </c>
      <c r="F55" s="142" t="s">
        <v>212</v>
      </c>
      <c r="G55" s="140" t="s">
        <v>392</v>
      </c>
      <c r="H55" s="140" t="s">
        <v>393</v>
      </c>
    </row>
    <row r="56" spans="1:8" ht="68" customHeight="1" x14ac:dyDescent="0.2">
      <c r="A56" s="134" t="s">
        <v>394</v>
      </c>
      <c r="B56" s="135" t="s">
        <v>217</v>
      </c>
      <c r="C56" s="136" t="s">
        <v>395</v>
      </c>
      <c r="D56" s="136" t="s">
        <v>396</v>
      </c>
      <c r="E56" s="136" t="s">
        <v>397</v>
      </c>
      <c r="F56" s="142" t="s">
        <v>212</v>
      </c>
      <c r="G56" s="136" t="s">
        <v>398</v>
      </c>
      <c r="H56" s="136" t="s">
        <v>399</v>
      </c>
    </row>
    <row r="57" spans="1:8" ht="68" customHeight="1" x14ac:dyDescent="0.2">
      <c r="A57" s="138" t="s">
        <v>400</v>
      </c>
      <c r="B57" s="139" t="s">
        <v>112</v>
      </c>
      <c r="C57" s="140" t="s">
        <v>401</v>
      </c>
      <c r="D57" s="140" t="s">
        <v>402</v>
      </c>
      <c r="E57" s="140"/>
      <c r="F57" s="142" t="s">
        <v>403</v>
      </c>
      <c r="G57" s="140" t="s">
        <v>404</v>
      </c>
      <c r="H57" s="140" t="s">
        <v>405</v>
      </c>
    </row>
    <row r="58" spans="1:8" ht="68" customHeight="1" x14ac:dyDescent="0.2">
      <c r="A58" s="134" t="s">
        <v>406</v>
      </c>
      <c r="B58" s="135" t="s">
        <v>217</v>
      </c>
      <c r="C58" s="136" t="s">
        <v>407</v>
      </c>
      <c r="D58" s="136" t="s">
        <v>408</v>
      </c>
      <c r="E58" s="136"/>
      <c r="F58" s="142" t="s">
        <v>409</v>
      </c>
      <c r="G58" s="136" t="s">
        <v>410</v>
      </c>
      <c r="H58" s="136" t="s">
        <v>411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A200"/>
  <sheetViews>
    <sheetView tabSelected="1" zoomScale="140" zoomScaleNormal="140" workbookViewId="0">
      <pane xSplit="2" ySplit="2" topLeftCell="T81" activePane="bottomRight" state="frozen"/>
      <selection pane="topRight" activeCell="C1" sqref="C1"/>
      <selection pane="bottomLeft" activeCell="A3" sqref="A3"/>
      <selection pane="bottomRight" activeCell="Y70" sqref="Y7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3" width="16" customWidth="1"/>
    <col min="24" max="27" width="13" customWidth="1"/>
  </cols>
  <sheetData>
    <row r="1" spans="1:27" ht="37.5" customHeight="1" x14ac:dyDescent="0.2">
      <c r="A1" s="173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51"/>
      <c r="Z1" s="151"/>
      <c r="AA1" s="151"/>
    </row>
    <row r="2" spans="1:27" ht="21.75" customHeight="1" x14ac:dyDescent="0.2">
      <c r="A2" s="170" t="s">
        <v>1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51"/>
      <c r="Z2" s="151"/>
      <c r="AA2" s="151"/>
    </row>
    <row r="3" spans="1:27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  <c r="Y3" s="152" t="s">
        <v>26</v>
      </c>
      <c r="Z3" s="152" t="s">
        <v>27</v>
      </c>
      <c r="AA3" s="152" t="s">
        <v>28</v>
      </c>
    </row>
    <row r="4" spans="1:27" ht="25.5" customHeight="1" x14ac:dyDescent="0.2">
      <c r="A4" s="168" t="s">
        <v>29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51"/>
      <c r="Z4" s="151"/>
      <c r="AA4" s="151"/>
    </row>
    <row r="5" spans="1:27" ht="18.75" customHeight="1" x14ac:dyDescent="0.2">
      <c r="A5" s="174" t="s">
        <v>30</v>
      </c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51"/>
      <c r="Z5" s="151"/>
      <c r="AA5" s="151"/>
    </row>
    <row r="6" spans="1:27" ht="21.75" customHeight="1" x14ac:dyDescent="0.2">
      <c r="A6" s="4"/>
      <c r="B6" s="5" t="s">
        <v>31</v>
      </c>
      <c r="C6" s="6" t="s">
        <v>32</v>
      </c>
      <c r="D6" s="7">
        <v>2593266408</v>
      </c>
      <c r="E6" s="7">
        <v>1552035250</v>
      </c>
      <c r="F6" s="7">
        <v>1710878799</v>
      </c>
      <c r="G6" s="7">
        <v>1625165700</v>
      </c>
      <c r="H6" s="7">
        <v>1612742619</v>
      </c>
      <c r="I6" s="7">
        <v>1485108141</v>
      </c>
      <c r="J6" s="7">
        <v>1516653857</v>
      </c>
      <c r="K6" s="7">
        <v>1524295202</v>
      </c>
      <c r="L6" s="7">
        <v>1252820587</v>
      </c>
      <c r="M6" s="7">
        <v>1404904915</v>
      </c>
      <c r="N6" s="7">
        <v>1453058083</v>
      </c>
      <c r="O6" s="7">
        <v>1544416636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1110861751</v>
      </c>
      <c r="U6" s="8">
        <v>1108267977</v>
      </c>
      <c r="V6" s="8">
        <v>1196538826</v>
      </c>
      <c r="W6" s="8">
        <v>1152990671</v>
      </c>
      <c r="X6" s="8">
        <v>996482993</v>
      </c>
      <c r="Y6" s="153">
        <v>385212507</v>
      </c>
      <c r="Z6" s="153"/>
      <c r="AA6" s="153"/>
    </row>
    <row r="7" spans="1:27" ht="21.75" customHeight="1" x14ac:dyDescent="0.2">
      <c r="A7" s="4"/>
      <c r="B7" s="9" t="s">
        <v>33</v>
      </c>
      <c r="C7" s="10" t="s">
        <v>34</v>
      </c>
      <c r="D7" s="7">
        <v>4840</v>
      </c>
      <c r="E7" s="7">
        <v>2758</v>
      </c>
      <c r="F7" s="7">
        <v>3136</v>
      </c>
      <c r="G7" s="7">
        <v>3124</v>
      </c>
      <c r="H7" s="7">
        <v>3210</v>
      </c>
      <c r="I7" s="7">
        <v>2988</v>
      </c>
      <c r="J7" s="7">
        <v>3107</v>
      </c>
      <c r="K7" s="7">
        <v>3191</v>
      </c>
      <c r="L7" s="7">
        <v>2792</v>
      </c>
      <c r="M7" s="7">
        <v>3333</v>
      </c>
      <c r="N7" s="7">
        <v>3431</v>
      </c>
      <c r="O7" s="7">
        <v>3486</v>
      </c>
      <c r="P7" s="7">
        <v>3818</v>
      </c>
      <c r="Q7" s="7">
        <v>2978</v>
      </c>
      <c r="R7" s="7">
        <v>2761</v>
      </c>
      <c r="S7" s="7">
        <v>2540</v>
      </c>
      <c r="T7" s="7">
        <v>2451</v>
      </c>
      <c r="U7" s="8">
        <v>2470</v>
      </c>
      <c r="V7" s="8">
        <v>2822</v>
      </c>
      <c r="W7" s="8">
        <v>2630</v>
      </c>
      <c r="X7" s="8">
        <v>2338</v>
      </c>
      <c r="Y7" s="153">
        <v>873</v>
      </c>
      <c r="Z7" s="153"/>
      <c r="AA7" s="153"/>
    </row>
    <row r="8" spans="1:27" ht="21.75" customHeight="1" x14ac:dyDescent="0.2">
      <c r="A8" s="4"/>
      <c r="B8" s="5" t="s">
        <v>35</v>
      </c>
      <c r="C8" s="6" t="s">
        <v>36</v>
      </c>
      <c r="D8" s="7">
        <v>535799</v>
      </c>
      <c r="E8" s="7">
        <v>562739</v>
      </c>
      <c r="F8" s="7">
        <v>545561</v>
      </c>
      <c r="G8" s="7">
        <v>520219</v>
      </c>
      <c r="H8" s="7">
        <v>502412</v>
      </c>
      <c r="I8" s="7">
        <v>497024</v>
      </c>
      <c r="J8" s="7">
        <v>488141</v>
      </c>
      <c r="K8" s="7">
        <v>477686</v>
      </c>
      <c r="L8" s="7">
        <v>448718</v>
      </c>
      <c r="M8" s="7">
        <v>421514</v>
      </c>
      <c r="N8" s="7">
        <v>423509</v>
      </c>
      <c r="O8" s="7">
        <v>443034</v>
      </c>
      <c r="P8" s="7">
        <v>454389</v>
      </c>
      <c r="Q8" s="7">
        <v>468726</v>
      </c>
      <c r="R8" s="7">
        <v>453876</v>
      </c>
      <c r="S8" s="7">
        <v>457074</v>
      </c>
      <c r="T8" s="7">
        <v>453228</v>
      </c>
      <c r="U8" s="8">
        <v>448691</v>
      </c>
      <c r="V8" s="8">
        <v>424004</v>
      </c>
      <c r="W8" s="8">
        <v>438399</v>
      </c>
      <c r="X8" s="8">
        <v>426212</v>
      </c>
      <c r="Y8" s="153">
        <v>441251</v>
      </c>
      <c r="Z8" s="153"/>
      <c r="AA8" s="153"/>
    </row>
    <row r="9" spans="1:27" ht="21.75" customHeight="1" x14ac:dyDescent="0.2">
      <c r="A9" s="4"/>
      <c r="B9" s="9" t="s">
        <v>37</v>
      </c>
      <c r="C9" s="10" t="s">
        <v>38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4841</v>
      </c>
      <c r="X9" s="11">
        <v>4205</v>
      </c>
      <c r="Y9" s="154">
        <v>2016</v>
      </c>
      <c r="Z9" s="154"/>
      <c r="AA9" s="154"/>
    </row>
    <row r="10" spans="1:27" ht="21.75" customHeight="1" x14ac:dyDescent="0.2">
      <c r="A10" s="4"/>
      <c r="B10" s="5"/>
      <c r="C10" s="6" t="s">
        <v>32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  <c r="Y10" s="154"/>
      <c r="Z10" s="154"/>
      <c r="AA10" s="154"/>
    </row>
    <row r="11" spans="1:27" ht="21.75" customHeight="1" x14ac:dyDescent="0.2">
      <c r="A11" s="4"/>
      <c r="B11" s="9" t="s">
        <v>39</v>
      </c>
      <c r="C11" s="10" t="s">
        <v>40</v>
      </c>
      <c r="D11" s="12">
        <v>0.50275267479999997</v>
      </c>
      <c r="E11" s="12">
        <v>0.43715327310000002</v>
      </c>
      <c r="F11" s="12">
        <v>0.48223896659999999</v>
      </c>
      <c r="G11" s="12">
        <v>0.46049528299999998</v>
      </c>
      <c r="H11" s="12">
        <v>0.52640209900000001</v>
      </c>
      <c r="I11" s="12">
        <v>0.51974256389999995</v>
      </c>
      <c r="J11" s="12">
        <v>0.4551047312</v>
      </c>
      <c r="K11" s="12">
        <v>0.51692855989999997</v>
      </c>
      <c r="L11" s="12">
        <v>0.49258997879999999</v>
      </c>
      <c r="M11" s="12">
        <v>0.52397421789999998</v>
      </c>
      <c r="N11" s="12">
        <v>0.49739054799999999</v>
      </c>
      <c r="O11" s="12">
        <v>0.47917525770000002</v>
      </c>
      <c r="P11" s="12">
        <v>0.42169206980000001</v>
      </c>
      <c r="Q11" s="12">
        <v>0.40439978269999999</v>
      </c>
      <c r="R11" s="12">
        <v>0.4768566494</v>
      </c>
      <c r="S11" s="12">
        <v>0.50810162029999995</v>
      </c>
      <c r="T11" s="12">
        <v>0.46855285800000002</v>
      </c>
      <c r="U11" s="12">
        <v>0.42667127310000003</v>
      </c>
      <c r="V11" s="12">
        <v>0.55020471829999995</v>
      </c>
      <c r="W11" s="12">
        <v>0.54327618259999999</v>
      </c>
      <c r="X11" s="12">
        <v>0.55600475620000001</v>
      </c>
      <c r="Y11" s="12">
        <f>Y7/Y9</f>
        <v>0.4330357142857143</v>
      </c>
      <c r="Z11" s="155"/>
      <c r="AA11" s="155"/>
    </row>
    <row r="12" spans="1:27" ht="21.75" customHeight="1" x14ac:dyDescent="0.2">
      <c r="A12" s="4"/>
      <c r="B12" s="5"/>
      <c r="C12" s="6" t="s">
        <v>41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  <c r="Y12" s="156"/>
      <c r="Z12" s="156"/>
      <c r="AA12" s="156"/>
    </row>
    <row r="13" spans="1:27" ht="18.75" customHeight="1" x14ac:dyDescent="0.2">
      <c r="A13" s="174" t="s">
        <v>42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64"/>
      <c r="V13" s="164"/>
      <c r="W13" s="164"/>
      <c r="X13" s="164"/>
      <c r="Y13" s="151"/>
      <c r="Z13" s="151"/>
      <c r="AA13" s="151"/>
    </row>
    <row r="14" spans="1:27" ht="18.75" customHeight="1" x14ac:dyDescent="0.2">
      <c r="A14" s="167" t="s">
        <v>43</v>
      </c>
      <c r="B14" s="164"/>
      <c r="C14" s="164"/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51"/>
      <c r="Z14" s="151"/>
      <c r="AA14" s="151"/>
    </row>
    <row r="15" spans="1:27" ht="21.75" customHeight="1" x14ac:dyDescent="0.2">
      <c r="A15" s="4"/>
      <c r="B15" s="9" t="s">
        <v>44</v>
      </c>
      <c r="C15" s="10" t="s">
        <v>45</v>
      </c>
      <c r="D15" s="7">
        <v>4577</v>
      </c>
      <c r="E15" s="7">
        <v>2189</v>
      </c>
      <c r="F15" s="7">
        <v>2155</v>
      </c>
      <c r="G15" s="7">
        <v>1839</v>
      </c>
      <c r="H15" s="7">
        <v>1712</v>
      </c>
      <c r="I15" s="7">
        <v>1497</v>
      </c>
      <c r="J15" s="7">
        <v>1451</v>
      </c>
      <c r="K15" s="7">
        <v>1396</v>
      </c>
      <c r="L15" s="7">
        <v>1181</v>
      </c>
      <c r="M15" s="7">
        <v>1406</v>
      </c>
      <c r="N15" s="7">
        <v>1436</v>
      </c>
      <c r="O15" s="7">
        <v>1351</v>
      </c>
      <c r="P15" s="7">
        <v>1579</v>
      </c>
      <c r="Q15" s="7">
        <v>1102</v>
      </c>
      <c r="R15" s="7">
        <v>988</v>
      </c>
      <c r="S15" s="7">
        <v>797</v>
      </c>
      <c r="T15" s="7">
        <v>704</v>
      </c>
      <c r="U15" s="11">
        <v>706</v>
      </c>
      <c r="V15" s="11">
        <v>872</v>
      </c>
      <c r="W15" s="11">
        <v>769</v>
      </c>
      <c r="X15" s="11">
        <v>713</v>
      </c>
      <c r="Y15" s="154">
        <v>232</v>
      </c>
      <c r="Z15" s="154"/>
      <c r="AA15" s="154"/>
    </row>
    <row r="16" spans="1:27" ht="21.75" customHeight="1" x14ac:dyDescent="0.2">
      <c r="A16" s="4"/>
      <c r="B16" s="15" t="s">
        <v>46</v>
      </c>
      <c r="C16" s="6" t="s">
        <v>36</v>
      </c>
      <c r="D16" s="7">
        <v>566586</v>
      </c>
      <c r="E16" s="7">
        <v>612368</v>
      </c>
      <c r="F16" s="7">
        <v>594273</v>
      </c>
      <c r="G16" s="7">
        <v>559704</v>
      </c>
      <c r="H16" s="7">
        <v>536669</v>
      </c>
      <c r="I16" s="7">
        <v>521893</v>
      </c>
      <c r="J16" s="7">
        <v>502606</v>
      </c>
      <c r="K16" s="7">
        <v>506250</v>
      </c>
      <c r="L16" s="7">
        <v>461143</v>
      </c>
      <c r="M16" s="7">
        <v>418980</v>
      </c>
      <c r="N16" s="7">
        <v>428557</v>
      </c>
      <c r="O16" s="7">
        <v>448014</v>
      </c>
      <c r="P16" s="7">
        <v>453818</v>
      </c>
      <c r="Q16" s="7">
        <v>452441</v>
      </c>
      <c r="R16" s="7">
        <v>468173</v>
      </c>
      <c r="S16" s="7">
        <v>440712</v>
      </c>
      <c r="T16" s="7">
        <v>440995</v>
      </c>
      <c r="U16" s="11">
        <v>447465</v>
      </c>
      <c r="V16" s="11">
        <v>418543</v>
      </c>
      <c r="W16" s="11">
        <v>433780</v>
      </c>
      <c r="X16" s="11">
        <v>416312</v>
      </c>
      <c r="Y16" s="154">
        <v>406570</v>
      </c>
      <c r="Z16" s="154"/>
      <c r="AA16" s="154"/>
    </row>
    <row r="17" spans="1:27" ht="21.75" customHeight="1" x14ac:dyDescent="0.2">
      <c r="A17" s="4"/>
      <c r="B17" s="9" t="s">
        <v>47</v>
      </c>
      <c r="C17" s="10" t="s">
        <v>40</v>
      </c>
      <c r="D17" s="143">
        <v>0</v>
      </c>
      <c r="E17" s="143">
        <v>343</v>
      </c>
      <c r="F17" s="143">
        <v>602</v>
      </c>
      <c r="G17" s="143">
        <v>518</v>
      </c>
      <c r="H17" s="143">
        <v>418</v>
      </c>
      <c r="I17" s="143">
        <v>311</v>
      </c>
      <c r="J17" s="143">
        <v>262</v>
      </c>
      <c r="K17" s="143">
        <v>205</v>
      </c>
      <c r="L17" s="143">
        <v>169</v>
      </c>
      <c r="M17" s="143">
        <v>192</v>
      </c>
      <c r="N17" s="143">
        <v>185</v>
      </c>
      <c r="O17" s="143">
        <v>229</v>
      </c>
      <c r="P17" s="143">
        <v>207</v>
      </c>
      <c r="Q17" s="143">
        <v>171</v>
      </c>
      <c r="R17" s="143">
        <v>148</v>
      </c>
      <c r="S17" s="143">
        <v>128</v>
      </c>
      <c r="T17" s="143">
        <v>99</v>
      </c>
      <c r="U17" s="144">
        <v>106</v>
      </c>
      <c r="V17" s="144">
        <v>119</v>
      </c>
      <c r="W17" s="144">
        <v>125</v>
      </c>
      <c r="X17" s="144">
        <v>97</v>
      </c>
      <c r="Y17" s="159">
        <v>51</v>
      </c>
      <c r="Z17" s="157"/>
      <c r="AA17" s="157"/>
    </row>
    <row r="18" spans="1:27" ht="21.75" customHeight="1" x14ac:dyDescent="0.2">
      <c r="A18" s="4"/>
      <c r="B18" s="5" t="s">
        <v>48</v>
      </c>
      <c r="C18" s="6" t="s">
        <v>40</v>
      </c>
      <c r="D18" s="143">
        <v>0</v>
      </c>
      <c r="E18" s="143">
        <v>383</v>
      </c>
      <c r="F18" s="143">
        <v>213</v>
      </c>
      <c r="G18" s="143">
        <v>182</v>
      </c>
      <c r="H18" s="143">
        <v>143</v>
      </c>
      <c r="I18" s="143">
        <v>127</v>
      </c>
      <c r="J18" s="143">
        <v>107</v>
      </c>
      <c r="K18" s="143">
        <v>95</v>
      </c>
      <c r="L18" s="143">
        <v>90</v>
      </c>
      <c r="M18" s="143">
        <v>97</v>
      </c>
      <c r="N18" s="143">
        <v>99</v>
      </c>
      <c r="O18" s="143">
        <v>107</v>
      </c>
      <c r="P18" s="143">
        <v>105</v>
      </c>
      <c r="Q18" s="143">
        <v>93</v>
      </c>
      <c r="R18" s="143">
        <v>59</v>
      </c>
      <c r="S18" s="143">
        <v>66</v>
      </c>
      <c r="T18" s="143">
        <v>57</v>
      </c>
      <c r="U18" s="144">
        <v>58</v>
      </c>
      <c r="V18" s="144">
        <v>72</v>
      </c>
      <c r="W18" s="144">
        <v>81</v>
      </c>
      <c r="X18" s="144">
        <v>48</v>
      </c>
      <c r="Y18" s="159">
        <v>25</v>
      </c>
      <c r="Z18" s="157"/>
      <c r="AA18" s="157"/>
    </row>
    <row r="19" spans="1:27" ht="18.75" customHeight="1" x14ac:dyDescent="0.2">
      <c r="A19" s="167" t="s">
        <v>49</v>
      </c>
      <c r="B19" s="164"/>
      <c r="C19" s="164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51"/>
      <c r="Z19" s="151"/>
      <c r="AA19" s="151"/>
    </row>
    <row r="20" spans="1:27" ht="21.75" customHeight="1" x14ac:dyDescent="0.2">
      <c r="A20" s="4"/>
      <c r="B20" s="5" t="s">
        <v>50</v>
      </c>
      <c r="C20" s="6" t="s">
        <v>45</v>
      </c>
      <c r="D20" s="7">
        <v>0</v>
      </c>
      <c r="E20" s="7">
        <v>383</v>
      </c>
      <c r="F20" s="7">
        <v>773</v>
      </c>
      <c r="G20" s="7">
        <v>1051</v>
      </c>
      <c r="H20" s="7">
        <v>1251</v>
      </c>
      <c r="I20" s="7">
        <v>1291</v>
      </c>
      <c r="J20" s="7">
        <v>1414</v>
      </c>
      <c r="K20" s="7">
        <v>1524</v>
      </c>
      <c r="L20" s="7">
        <v>1403</v>
      </c>
      <c r="M20" s="7">
        <v>1623</v>
      </c>
      <c r="N20" s="7">
        <v>1743</v>
      </c>
      <c r="O20" s="7">
        <v>1853</v>
      </c>
      <c r="P20" s="7">
        <v>1972</v>
      </c>
      <c r="Q20" s="7">
        <v>1728</v>
      </c>
      <c r="R20" s="7">
        <v>1554</v>
      </c>
      <c r="S20" s="7">
        <v>1533</v>
      </c>
      <c r="T20" s="7">
        <v>1556</v>
      </c>
      <c r="U20" s="11">
        <v>1554</v>
      </c>
      <c r="V20" s="11">
        <v>1690</v>
      </c>
      <c r="W20" s="11">
        <v>1633</v>
      </c>
      <c r="X20" s="11">
        <v>1407</v>
      </c>
      <c r="Y20" s="154">
        <v>605</v>
      </c>
      <c r="Z20" s="154"/>
      <c r="AA20" s="154"/>
    </row>
    <row r="21" spans="1:27" ht="21.75" customHeight="1" x14ac:dyDescent="0.2">
      <c r="A21" s="4"/>
      <c r="B21" s="17" t="s">
        <v>51</v>
      </c>
      <c r="C21" s="10" t="s">
        <v>36</v>
      </c>
      <c r="D21" s="7">
        <v>0</v>
      </c>
      <c r="E21" s="7">
        <v>552378</v>
      </c>
      <c r="F21" s="7">
        <v>556559</v>
      </c>
      <c r="G21" s="7">
        <v>566955</v>
      </c>
      <c r="H21" s="7">
        <v>554729</v>
      </c>
      <c r="I21" s="7">
        <v>545186</v>
      </c>
      <c r="J21" s="7">
        <v>556841</v>
      </c>
      <c r="K21" s="7">
        <v>536464</v>
      </c>
      <c r="L21" s="7">
        <v>504783</v>
      </c>
      <c r="M21" s="7">
        <v>502661</v>
      </c>
      <c r="N21" s="7">
        <v>480579</v>
      </c>
      <c r="O21" s="7">
        <v>506827</v>
      </c>
      <c r="P21" s="7">
        <v>516369</v>
      </c>
      <c r="Q21" s="7">
        <v>519256</v>
      </c>
      <c r="R21" s="7">
        <v>508750</v>
      </c>
      <c r="S21" s="7">
        <v>528193</v>
      </c>
      <c r="T21" s="7">
        <v>514397</v>
      </c>
      <c r="U21" s="11">
        <v>509883</v>
      </c>
      <c r="V21" s="11">
        <v>492053</v>
      </c>
      <c r="W21" s="11">
        <v>501784</v>
      </c>
      <c r="X21" s="11">
        <v>497266</v>
      </c>
      <c r="Y21" s="154">
        <v>480807</v>
      </c>
      <c r="Z21" s="154"/>
      <c r="AA21" s="154"/>
    </row>
    <row r="22" spans="1:27" ht="21.75" customHeight="1" x14ac:dyDescent="0.2">
      <c r="A22" s="4"/>
      <c r="B22" s="5" t="s">
        <v>52</v>
      </c>
      <c r="C22" s="6" t="s">
        <v>40</v>
      </c>
      <c r="D22" s="16">
        <v>0</v>
      </c>
      <c r="E22" s="16">
        <v>0.1489</v>
      </c>
      <c r="F22" s="16">
        <v>0.26400000000000001</v>
      </c>
      <c r="G22" s="16">
        <v>0.36370000000000002</v>
      </c>
      <c r="H22" s="16">
        <v>0.42220000000000002</v>
      </c>
      <c r="I22" s="16">
        <v>0.46310000000000001</v>
      </c>
      <c r="J22" s="16">
        <v>0.49349999999999999</v>
      </c>
      <c r="K22" s="16">
        <v>0.52190000000000003</v>
      </c>
      <c r="L22" s="16">
        <v>0.54300000000000004</v>
      </c>
      <c r="M22" s="16">
        <v>0.53580000000000005</v>
      </c>
      <c r="N22" s="16">
        <v>0.54830000000000001</v>
      </c>
      <c r="O22" s="16">
        <v>0.57830000000000004</v>
      </c>
      <c r="P22" s="16">
        <v>0.55530000000000002</v>
      </c>
      <c r="Q22" s="16">
        <v>0.61060000000000003</v>
      </c>
      <c r="R22" s="16">
        <v>0.61129999999999995</v>
      </c>
      <c r="S22" s="16">
        <v>0.65790000000000004</v>
      </c>
      <c r="T22" s="16">
        <v>0.6885</v>
      </c>
      <c r="U22" s="13">
        <v>0.68759999999999999</v>
      </c>
      <c r="V22" s="13">
        <v>0.65959999999999996</v>
      </c>
      <c r="W22" s="13">
        <v>0.67989999999999995</v>
      </c>
      <c r="X22" s="13">
        <v>0.66369999999999996</v>
      </c>
      <c r="Y22" s="157">
        <v>0.7228</v>
      </c>
      <c r="Z22" s="157"/>
      <c r="AA22" s="157"/>
    </row>
    <row r="23" spans="1:27" ht="21.75" customHeight="1" x14ac:dyDescent="0.2">
      <c r="A23" s="4"/>
      <c r="B23" s="17" t="s">
        <v>53</v>
      </c>
      <c r="C23" s="10" t="s">
        <v>45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490</v>
      </c>
      <c r="X23" s="11">
        <v>376</v>
      </c>
      <c r="Y23" s="154">
        <v>142</v>
      </c>
      <c r="Z23" s="154"/>
      <c r="AA23" s="154"/>
    </row>
    <row r="24" spans="1:27" ht="21.75" customHeight="1" x14ac:dyDescent="0.2">
      <c r="A24" s="4"/>
      <c r="B24" s="15" t="s">
        <v>54</v>
      </c>
      <c r="C24" s="6" t="s">
        <v>36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473743</v>
      </c>
      <c r="X24" s="11">
        <v>455758</v>
      </c>
      <c r="Y24" s="154">
        <v>411639</v>
      </c>
      <c r="Z24" s="154"/>
      <c r="AA24" s="154"/>
    </row>
    <row r="25" spans="1:27" ht="21.75" customHeight="1" x14ac:dyDescent="0.2">
      <c r="A25" s="4"/>
      <c r="B25" s="17" t="s">
        <v>55</v>
      </c>
      <c r="C25" s="10" t="s">
        <v>45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483</v>
      </c>
      <c r="X25" s="11">
        <v>388</v>
      </c>
      <c r="Y25" s="154">
        <v>215</v>
      </c>
      <c r="Z25" s="154"/>
      <c r="AA25" s="154"/>
    </row>
    <row r="26" spans="1:27" ht="21.75" customHeight="1" x14ac:dyDescent="0.2">
      <c r="A26" s="4"/>
      <c r="B26" s="15" t="s">
        <v>54</v>
      </c>
      <c r="C26" s="6" t="s">
        <v>36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524029</v>
      </c>
      <c r="X26" s="11">
        <v>504574</v>
      </c>
      <c r="Y26" s="154">
        <v>528679</v>
      </c>
      <c r="Z26" s="154"/>
      <c r="AA26" s="154"/>
    </row>
    <row r="27" spans="1:27" ht="21.75" customHeight="1" x14ac:dyDescent="0.2">
      <c r="A27" s="4"/>
      <c r="B27" s="17" t="s">
        <v>56</v>
      </c>
      <c r="C27" s="10" t="s">
        <v>45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682</v>
      </c>
      <c r="X27" s="11">
        <v>548</v>
      </c>
      <c r="Y27" s="154">
        <v>248</v>
      </c>
      <c r="Z27" s="154"/>
      <c r="AA27" s="154"/>
    </row>
    <row r="28" spans="1:27" ht="21.75" customHeight="1" x14ac:dyDescent="0.2">
      <c r="A28" s="4"/>
      <c r="B28" s="15" t="s">
        <v>54</v>
      </c>
      <c r="C28" s="6" t="s">
        <v>36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503197</v>
      </c>
      <c r="X28" s="11">
        <v>516325</v>
      </c>
      <c r="Y28" s="154">
        <v>478909</v>
      </c>
      <c r="Z28" s="154"/>
      <c r="AA28" s="154"/>
    </row>
    <row r="29" spans="1:27" ht="18.75" customHeight="1" x14ac:dyDescent="0.2">
      <c r="A29" s="167" t="s">
        <v>57</v>
      </c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51"/>
      <c r="Z29" s="151"/>
      <c r="AA29" s="151"/>
    </row>
    <row r="30" spans="1:27" ht="21.75" customHeight="1" x14ac:dyDescent="0.2">
      <c r="A30" s="4"/>
      <c r="B30" s="5" t="s">
        <v>58</v>
      </c>
      <c r="C30" s="6" t="s">
        <v>45</v>
      </c>
      <c r="D30" s="7">
        <v>0</v>
      </c>
      <c r="E30" s="7">
        <v>316</v>
      </c>
      <c r="F30" s="7">
        <v>651</v>
      </c>
      <c r="G30" s="7">
        <v>896</v>
      </c>
      <c r="H30" s="7">
        <v>1064</v>
      </c>
      <c r="I30" s="7">
        <v>1090</v>
      </c>
      <c r="J30" s="7">
        <v>1245</v>
      </c>
      <c r="K30" s="7">
        <v>1331</v>
      </c>
      <c r="L30" s="7">
        <v>1214</v>
      </c>
      <c r="M30" s="7">
        <v>1388</v>
      </c>
      <c r="N30" s="7">
        <v>1495</v>
      </c>
      <c r="O30" s="7">
        <v>1539</v>
      </c>
      <c r="P30" s="7">
        <v>1600</v>
      </c>
      <c r="Q30" s="7">
        <v>1419</v>
      </c>
      <c r="R30" s="7">
        <v>1325</v>
      </c>
      <c r="S30" s="7">
        <v>1338</v>
      </c>
      <c r="T30" s="7">
        <v>1327</v>
      </c>
      <c r="U30" s="11">
        <v>1297</v>
      </c>
      <c r="V30" s="11">
        <v>1417</v>
      </c>
      <c r="W30" s="11">
        <v>1330</v>
      </c>
      <c r="X30" s="11">
        <v>1120</v>
      </c>
      <c r="Y30" s="154">
        <v>478</v>
      </c>
      <c r="Z30" s="154"/>
      <c r="AA30" s="154"/>
    </row>
    <row r="31" spans="1:27" ht="21.75" customHeight="1" x14ac:dyDescent="0.2">
      <c r="A31" s="4"/>
      <c r="B31" s="17" t="s">
        <v>59</v>
      </c>
      <c r="C31" s="10" t="s">
        <v>36</v>
      </c>
      <c r="D31" s="7">
        <v>0</v>
      </c>
      <c r="E31" s="7">
        <v>576016</v>
      </c>
      <c r="F31" s="7">
        <v>575471</v>
      </c>
      <c r="G31" s="7">
        <v>576936</v>
      </c>
      <c r="H31" s="7">
        <v>571768</v>
      </c>
      <c r="I31" s="7">
        <v>556704</v>
      </c>
      <c r="J31" s="7">
        <v>567906</v>
      </c>
      <c r="K31" s="7">
        <v>543109</v>
      </c>
      <c r="L31" s="7">
        <v>512685</v>
      </c>
      <c r="M31" s="7">
        <v>515872</v>
      </c>
      <c r="N31" s="7">
        <v>492313</v>
      </c>
      <c r="O31" s="7">
        <v>519797</v>
      </c>
      <c r="P31" s="7">
        <v>532066</v>
      </c>
      <c r="Q31" s="7">
        <v>533361</v>
      </c>
      <c r="R31" s="7">
        <v>522920</v>
      </c>
      <c r="S31" s="7">
        <v>539741</v>
      </c>
      <c r="T31" s="7">
        <v>525308</v>
      </c>
      <c r="U31" s="11">
        <v>523972</v>
      </c>
      <c r="V31" s="11">
        <v>505674</v>
      </c>
      <c r="W31" s="11">
        <v>514455</v>
      </c>
      <c r="X31" s="11">
        <v>522057</v>
      </c>
      <c r="Y31" s="154">
        <v>503033</v>
      </c>
      <c r="Z31" s="154"/>
      <c r="AA31" s="154"/>
    </row>
    <row r="32" spans="1:27" ht="21.75" customHeight="1" x14ac:dyDescent="0.2">
      <c r="A32" s="4"/>
      <c r="B32" s="5" t="s">
        <v>60</v>
      </c>
      <c r="C32" s="6" t="s">
        <v>61</v>
      </c>
      <c r="D32" s="7">
        <v>0</v>
      </c>
      <c r="E32" s="7">
        <v>1920171</v>
      </c>
      <c r="F32" s="7">
        <v>1934705</v>
      </c>
      <c r="G32" s="7">
        <v>1970844</v>
      </c>
      <c r="H32" s="7">
        <v>1928344</v>
      </c>
      <c r="I32" s="7">
        <v>1895170</v>
      </c>
      <c r="J32" s="7">
        <v>1935685</v>
      </c>
      <c r="K32" s="7">
        <v>1864851</v>
      </c>
      <c r="L32" s="7">
        <v>1754722</v>
      </c>
      <c r="M32" s="7">
        <v>1747345</v>
      </c>
      <c r="N32" s="7">
        <v>1670584</v>
      </c>
      <c r="O32" s="7">
        <v>1761827</v>
      </c>
      <c r="P32" s="7">
        <v>1794997</v>
      </c>
      <c r="Q32" s="7">
        <v>1805033</v>
      </c>
      <c r="R32" s="7">
        <v>1768512</v>
      </c>
      <c r="S32" s="7">
        <v>1836099</v>
      </c>
      <c r="T32" s="7">
        <v>1788142</v>
      </c>
      <c r="U32" s="11">
        <v>1772450</v>
      </c>
      <c r="V32" s="11">
        <v>1710470</v>
      </c>
      <c r="W32" s="11">
        <v>1744297</v>
      </c>
      <c r="X32" s="11">
        <v>1728591</v>
      </c>
      <c r="Y32" s="154">
        <v>1671377</v>
      </c>
      <c r="Z32" s="154"/>
      <c r="AA32" s="154"/>
    </row>
    <row r="33" spans="1:27" ht="25.5" customHeight="1" x14ac:dyDescent="0.2">
      <c r="A33" s="172" t="s">
        <v>62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164"/>
      <c r="P33" s="164"/>
      <c r="Q33" s="164"/>
      <c r="R33" s="164"/>
      <c r="S33" s="164"/>
      <c r="T33" s="164"/>
      <c r="U33" s="164"/>
      <c r="V33" s="164"/>
      <c r="W33" s="164"/>
      <c r="X33" s="164"/>
      <c r="Y33" s="151"/>
      <c r="Z33" s="151"/>
      <c r="AA33" s="151"/>
    </row>
    <row r="34" spans="1:27" ht="18.75" customHeight="1" x14ac:dyDescent="0.2">
      <c r="A34" s="166" t="s">
        <v>63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51"/>
      <c r="Z34" s="151"/>
      <c r="AA34" s="151"/>
    </row>
    <row r="35" spans="1:27" ht="21.75" customHeight="1" x14ac:dyDescent="0.2">
      <c r="A35" s="20"/>
      <c r="B35" s="9" t="s">
        <v>64</v>
      </c>
      <c r="C35" s="10" t="s">
        <v>32</v>
      </c>
      <c r="D35" s="7">
        <v>1091554316</v>
      </c>
      <c r="E35" s="7">
        <v>499607370</v>
      </c>
      <c r="F35" s="7">
        <v>567264028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511779723</v>
      </c>
      <c r="L35" s="7">
        <v>450985516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511897403</v>
      </c>
      <c r="V35" s="8">
        <v>532369434</v>
      </c>
      <c r="W35" s="8">
        <v>479586306</v>
      </c>
      <c r="X35" s="8">
        <v>451831952</v>
      </c>
      <c r="Y35" s="153">
        <v>174202222</v>
      </c>
      <c r="Z35" s="153"/>
      <c r="AA35" s="153"/>
    </row>
    <row r="36" spans="1:27" ht="21.75" customHeight="1" x14ac:dyDescent="0.2">
      <c r="A36" s="20"/>
      <c r="B36" s="15" t="s">
        <v>65</v>
      </c>
      <c r="C36" s="6" t="s">
        <v>32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259327182</v>
      </c>
      <c r="V36" s="8">
        <v>274528089</v>
      </c>
      <c r="W36" s="8">
        <v>242620655</v>
      </c>
      <c r="X36" s="8">
        <v>232187993</v>
      </c>
      <c r="Y36" s="153">
        <v>83324610</v>
      </c>
      <c r="Z36" s="153"/>
      <c r="AA36" s="153"/>
    </row>
    <row r="37" spans="1:27" ht="21.75" customHeight="1" x14ac:dyDescent="0.2">
      <c r="A37" s="20"/>
      <c r="B37" s="17" t="s">
        <v>66</v>
      </c>
      <c r="C37" s="10" t="s">
        <v>32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126589058</v>
      </c>
      <c r="V37" s="8">
        <v>129418093</v>
      </c>
      <c r="W37" s="8">
        <v>125115639</v>
      </c>
      <c r="X37" s="8">
        <v>120531728</v>
      </c>
      <c r="Y37" s="153">
        <v>58265588</v>
      </c>
      <c r="Z37" s="153"/>
      <c r="AA37" s="153"/>
    </row>
    <row r="38" spans="1:27" ht="21.75" customHeight="1" x14ac:dyDescent="0.2">
      <c r="A38" s="20"/>
      <c r="B38" s="15" t="s">
        <v>67</v>
      </c>
      <c r="C38" s="6" t="s">
        <v>32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125981163</v>
      </c>
      <c r="V38" s="8">
        <v>128423252</v>
      </c>
      <c r="W38" s="8">
        <v>111850012</v>
      </c>
      <c r="X38" s="8">
        <v>99112231</v>
      </c>
      <c r="Y38" s="153">
        <v>32612024</v>
      </c>
      <c r="Z38" s="153"/>
      <c r="AA38" s="153"/>
    </row>
    <row r="39" spans="1:27" ht="21.75" customHeight="1" x14ac:dyDescent="0.2">
      <c r="A39" s="20"/>
      <c r="B39" s="9" t="s">
        <v>68</v>
      </c>
      <c r="C39" s="10" t="s">
        <v>34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1672</v>
      </c>
      <c r="V39" s="8">
        <v>1725</v>
      </c>
      <c r="W39" s="8">
        <v>1542</v>
      </c>
      <c r="X39" s="8">
        <v>1405</v>
      </c>
      <c r="Y39" s="153">
        <v>595</v>
      </c>
      <c r="Z39" s="153"/>
      <c r="AA39" s="153"/>
    </row>
    <row r="40" spans="1:27" ht="21.75" customHeight="1" x14ac:dyDescent="0.2">
      <c r="A40" s="20"/>
      <c r="B40" s="5" t="s">
        <v>69</v>
      </c>
      <c r="C40" s="6" t="s">
        <v>36</v>
      </c>
      <c r="D40" s="7">
        <v>414252</v>
      </c>
      <c r="E40" s="7">
        <v>402260</v>
      </c>
      <c r="F40" s="7">
        <v>361085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311491</v>
      </c>
      <c r="L40" s="7">
        <v>298666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306159</v>
      </c>
      <c r="V40" s="8">
        <v>308620</v>
      </c>
      <c r="W40" s="8">
        <v>311016</v>
      </c>
      <c r="X40" s="8">
        <v>321589</v>
      </c>
      <c r="Y40" s="153">
        <v>292777</v>
      </c>
      <c r="Z40" s="153"/>
      <c r="AA40" s="153"/>
    </row>
    <row r="41" spans="1:27" ht="18.75" customHeight="1" x14ac:dyDescent="0.2">
      <c r="A41" s="148"/>
      <c r="B41" s="149" t="s">
        <v>70</v>
      </c>
      <c r="C41" t="s">
        <v>32</v>
      </c>
      <c r="D41" s="150">
        <v>197855700</v>
      </c>
      <c r="E41" s="150">
        <v>80871600</v>
      </c>
      <c r="F41" s="150">
        <v>90632300</v>
      </c>
      <c r="G41" s="150">
        <v>78819000</v>
      </c>
      <c r="H41" s="150">
        <v>81460000</v>
      </c>
      <c r="I41" s="150">
        <v>79296461</v>
      </c>
      <c r="J41" s="150">
        <v>85433380</v>
      </c>
      <c r="K41" s="150">
        <v>72001899</v>
      </c>
      <c r="L41" s="150">
        <v>60530252</v>
      </c>
      <c r="M41" s="150">
        <v>85030158</v>
      </c>
      <c r="N41" s="150">
        <v>46133063</v>
      </c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8"/>
      <c r="Z41" s="158"/>
      <c r="AA41" s="158"/>
    </row>
    <row r="42" spans="1:27" ht="18.75" customHeight="1" x14ac:dyDescent="0.2">
      <c r="A42" s="171"/>
      <c r="B42" s="164"/>
      <c r="C42" s="164"/>
      <c r="D42" s="164"/>
      <c r="E42" s="164"/>
      <c r="F42" s="164"/>
      <c r="G42" s="164"/>
      <c r="H42" s="164"/>
      <c r="I42" s="164"/>
      <c r="J42" s="164"/>
      <c r="K42" s="164"/>
      <c r="L42" s="164"/>
      <c r="M42" s="164"/>
      <c r="N42" s="164"/>
      <c r="O42" s="164"/>
      <c r="P42" s="164"/>
      <c r="Q42" s="164"/>
      <c r="R42" s="164"/>
      <c r="S42" s="164"/>
      <c r="T42" s="164"/>
      <c r="U42" s="164"/>
      <c r="V42" s="164"/>
      <c r="W42" s="164"/>
      <c r="X42" s="165"/>
      <c r="Y42" s="151"/>
      <c r="Z42" s="151"/>
      <c r="AA42" s="151"/>
    </row>
    <row r="43" spans="1:27" ht="21.75" customHeight="1" x14ac:dyDescent="0.2">
      <c r="A43" s="20"/>
      <c r="B43" s="9" t="s">
        <v>71</v>
      </c>
      <c r="C43" s="10" t="s">
        <v>45</v>
      </c>
      <c r="D43" s="7">
        <v>1644</v>
      </c>
      <c r="E43" s="7">
        <v>710</v>
      </c>
      <c r="F43" s="7">
        <v>809</v>
      </c>
      <c r="G43" s="7">
        <v>805</v>
      </c>
      <c r="H43" s="7">
        <v>803</v>
      </c>
      <c r="I43" s="7">
        <v>800</v>
      </c>
      <c r="J43" s="7">
        <v>862</v>
      </c>
      <c r="K43" s="7">
        <v>768</v>
      </c>
      <c r="L43" s="7">
        <v>770</v>
      </c>
      <c r="M43" s="7">
        <v>994</v>
      </c>
      <c r="N43" s="7">
        <v>1124</v>
      </c>
      <c r="O43" s="7">
        <v>1236</v>
      </c>
      <c r="P43" s="7">
        <v>1432</v>
      </c>
      <c r="Q43" s="7">
        <v>1365</v>
      </c>
      <c r="R43" s="7">
        <v>809</v>
      </c>
      <c r="S43" s="7">
        <v>745</v>
      </c>
      <c r="T43" s="7">
        <v>640</v>
      </c>
      <c r="U43" s="11">
        <v>588</v>
      </c>
      <c r="V43" s="11">
        <v>640</v>
      </c>
      <c r="W43" s="11">
        <v>527</v>
      </c>
      <c r="X43" s="11">
        <v>486</v>
      </c>
      <c r="Y43" s="154">
        <v>192</v>
      </c>
      <c r="Z43" s="154"/>
      <c r="AA43" s="154"/>
    </row>
    <row r="44" spans="1:27" ht="21.75" customHeight="1" x14ac:dyDescent="0.2">
      <c r="A44" s="20"/>
      <c r="B44" s="15" t="s">
        <v>72</v>
      </c>
      <c r="C44" s="6" t="s">
        <v>36</v>
      </c>
      <c r="D44" s="7">
        <v>449729</v>
      </c>
      <c r="E44" s="7">
        <v>445358</v>
      </c>
      <c r="F44" s="7">
        <v>383012</v>
      </c>
      <c r="G44" s="7">
        <v>373856</v>
      </c>
      <c r="H44" s="7">
        <v>328767</v>
      </c>
      <c r="I44" s="7">
        <v>373397</v>
      </c>
      <c r="J44" s="7">
        <v>370860</v>
      </c>
      <c r="K44" s="7">
        <v>349367</v>
      </c>
      <c r="L44" s="7">
        <v>315943</v>
      </c>
      <c r="M44" s="7">
        <v>313350</v>
      </c>
      <c r="N44" s="7">
        <v>299471</v>
      </c>
      <c r="O44" s="7">
        <v>331818</v>
      </c>
      <c r="P44" s="7">
        <v>328741</v>
      </c>
      <c r="Q44" s="7">
        <v>354289</v>
      </c>
      <c r="R44" s="7">
        <v>321968</v>
      </c>
      <c r="S44" s="7">
        <v>334688</v>
      </c>
      <c r="T44" s="7">
        <v>308833</v>
      </c>
      <c r="U44" s="11">
        <v>340315</v>
      </c>
      <c r="V44" s="11">
        <v>318946</v>
      </c>
      <c r="W44" s="11">
        <v>338511</v>
      </c>
      <c r="X44" s="11">
        <v>372095</v>
      </c>
      <c r="Y44" s="154">
        <v>312313</v>
      </c>
      <c r="Z44" s="154"/>
      <c r="AA44" s="154"/>
    </row>
    <row r="45" spans="1:27" ht="21.75" customHeight="1" x14ac:dyDescent="0.2">
      <c r="A45" s="20"/>
      <c r="B45" s="9" t="s">
        <v>47</v>
      </c>
      <c r="C45" s="10" t="s">
        <v>40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60</v>
      </c>
      <c r="X45" s="144">
        <v>59</v>
      </c>
      <c r="Y45" s="159">
        <v>30</v>
      </c>
      <c r="Z45" s="159"/>
      <c r="AA45" s="159"/>
    </row>
    <row r="46" spans="1:27" ht="21.75" customHeight="1" x14ac:dyDescent="0.2">
      <c r="A46" s="20"/>
      <c r="B46" s="5" t="s">
        <v>48</v>
      </c>
      <c r="C46" s="6" t="s">
        <v>40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83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44</v>
      </c>
      <c r="V46" s="49">
        <v>36</v>
      </c>
      <c r="W46" s="49">
        <v>34</v>
      </c>
      <c r="X46" s="144">
        <v>28</v>
      </c>
      <c r="Y46" s="159">
        <v>13</v>
      </c>
      <c r="Z46" s="159"/>
      <c r="AA46" s="159"/>
    </row>
    <row r="47" spans="1:27" ht="18.75" customHeight="1" x14ac:dyDescent="0.2">
      <c r="A47" s="167" t="s">
        <v>49</v>
      </c>
      <c r="B47" s="164"/>
      <c r="C47" s="164"/>
      <c r="D47" s="164"/>
      <c r="E47" s="164"/>
      <c r="F47" s="164"/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64"/>
      <c r="R47" s="164"/>
      <c r="S47" s="164"/>
      <c r="T47" s="164"/>
      <c r="U47" s="164"/>
      <c r="V47" s="164"/>
      <c r="W47" s="164"/>
      <c r="X47" s="164"/>
      <c r="Y47" s="151"/>
      <c r="Z47" s="151"/>
      <c r="AA47" s="151"/>
    </row>
    <row r="48" spans="1:27" ht="21.75" customHeight="1" x14ac:dyDescent="0.2">
      <c r="A48" s="20"/>
      <c r="B48" s="5" t="s">
        <v>73</v>
      </c>
      <c r="C48" s="6" t="s">
        <v>45</v>
      </c>
      <c r="D48" s="7">
        <v>701</v>
      </c>
      <c r="E48" s="7">
        <v>371</v>
      </c>
      <c r="F48" s="7">
        <v>526</v>
      </c>
      <c r="G48" s="7">
        <v>500</v>
      </c>
      <c r="H48" s="7">
        <v>542</v>
      </c>
      <c r="I48" s="7">
        <v>590</v>
      </c>
      <c r="J48" s="7">
        <v>625</v>
      </c>
      <c r="K48" s="7">
        <v>631</v>
      </c>
      <c r="L48" s="7">
        <v>533</v>
      </c>
      <c r="M48" s="7">
        <v>714</v>
      </c>
      <c r="N48" s="7">
        <v>825</v>
      </c>
      <c r="O48" s="7">
        <v>1026</v>
      </c>
      <c r="P48" s="7">
        <v>1165</v>
      </c>
      <c r="Q48" s="7">
        <v>1206</v>
      </c>
      <c r="R48" s="7">
        <v>782</v>
      </c>
      <c r="S48" s="7">
        <v>871</v>
      </c>
      <c r="T48" s="7">
        <v>835</v>
      </c>
      <c r="U48" s="11">
        <v>845</v>
      </c>
      <c r="V48" s="11">
        <v>826</v>
      </c>
      <c r="W48" s="11">
        <v>791</v>
      </c>
      <c r="X48" s="11">
        <v>676</v>
      </c>
      <c r="Y48" s="154">
        <v>322</v>
      </c>
      <c r="Z48" s="154"/>
      <c r="AA48" s="154"/>
    </row>
    <row r="49" spans="1:27" ht="21.75" customHeight="1" x14ac:dyDescent="0.2">
      <c r="A49" s="20"/>
      <c r="B49" s="17" t="s">
        <v>74</v>
      </c>
      <c r="C49" s="10" t="s">
        <v>36</v>
      </c>
      <c r="D49" s="7">
        <v>502425</v>
      </c>
      <c r="E49" s="7">
        <v>494348</v>
      </c>
      <c r="F49" s="7">
        <v>489367</v>
      </c>
      <c r="G49" s="7">
        <v>455280</v>
      </c>
      <c r="H49" s="7">
        <v>432119</v>
      </c>
      <c r="I49" s="7">
        <v>414727</v>
      </c>
      <c r="J49" s="7">
        <v>420852</v>
      </c>
      <c r="K49" s="7">
        <v>385841</v>
      </c>
      <c r="L49" s="7">
        <v>389699</v>
      </c>
      <c r="M49" s="7">
        <v>352375</v>
      </c>
      <c r="N49" s="7">
        <v>340076</v>
      </c>
      <c r="O49" s="7">
        <v>378038</v>
      </c>
      <c r="P49" s="7">
        <v>390295</v>
      </c>
      <c r="Q49" s="7">
        <v>404234</v>
      </c>
      <c r="R49" s="7">
        <v>369644</v>
      </c>
      <c r="S49" s="7">
        <v>382429</v>
      </c>
      <c r="T49" s="7">
        <v>367104</v>
      </c>
      <c r="U49" s="11">
        <v>368985</v>
      </c>
      <c r="V49" s="11">
        <v>397390</v>
      </c>
      <c r="W49" s="11">
        <v>380772</v>
      </c>
      <c r="X49" s="11">
        <v>400879</v>
      </c>
      <c r="Y49" s="154">
        <v>355833</v>
      </c>
      <c r="Z49" s="154"/>
      <c r="AA49" s="154"/>
    </row>
    <row r="50" spans="1:27" ht="21.75" customHeight="1" x14ac:dyDescent="0.2">
      <c r="A50" s="20"/>
      <c r="B50" s="5" t="s">
        <v>75</v>
      </c>
      <c r="C50" s="6" t="s">
        <v>40</v>
      </c>
      <c r="D50" s="16">
        <v>0.2989</v>
      </c>
      <c r="E50" s="16">
        <v>0.34320000000000001</v>
      </c>
      <c r="F50" s="16">
        <v>0.39400000000000002</v>
      </c>
      <c r="G50" s="16">
        <v>0.3831</v>
      </c>
      <c r="H50" s="16">
        <v>0.40300000000000002</v>
      </c>
      <c r="I50" s="16">
        <v>0.42449999999999999</v>
      </c>
      <c r="J50" s="16">
        <v>0.42030000000000001</v>
      </c>
      <c r="K50" s="16">
        <v>0.45100000000000001</v>
      </c>
      <c r="L50" s="16">
        <v>0.40910000000000002</v>
      </c>
      <c r="M50" s="16">
        <v>0.41799999999999998</v>
      </c>
      <c r="N50" s="16">
        <v>0.42330000000000001</v>
      </c>
      <c r="O50" s="16">
        <v>0.4536</v>
      </c>
      <c r="P50" s="16">
        <v>0.4486</v>
      </c>
      <c r="Q50" s="16">
        <v>0.46910000000000002</v>
      </c>
      <c r="R50" s="16">
        <v>0.49149999999999999</v>
      </c>
      <c r="S50" s="16">
        <v>0.53900000000000003</v>
      </c>
      <c r="T50" s="16">
        <v>0.56610000000000005</v>
      </c>
      <c r="U50" s="13">
        <v>0.5897</v>
      </c>
      <c r="V50" s="13">
        <v>0.56340000000000001</v>
      </c>
      <c r="W50" s="13">
        <v>0.60019999999999996</v>
      </c>
      <c r="X50" s="13">
        <v>0.58179999999999998</v>
      </c>
      <c r="Y50" s="157">
        <v>0.62649999999999995</v>
      </c>
      <c r="Z50" s="157"/>
      <c r="AA50" s="157"/>
    </row>
    <row r="51" spans="1:27" ht="21.75" customHeight="1" x14ac:dyDescent="0.2">
      <c r="A51" s="20"/>
      <c r="B51" s="17" t="s">
        <v>53</v>
      </c>
      <c r="C51" s="10" t="s">
        <v>45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174</v>
      </c>
      <c r="X51" s="11">
        <v>125</v>
      </c>
      <c r="Y51" s="154">
        <v>61</v>
      </c>
      <c r="Z51" s="154"/>
      <c r="AA51" s="154"/>
    </row>
    <row r="52" spans="1:27" ht="21.75" customHeight="1" x14ac:dyDescent="0.2">
      <c r="A52" s="20"/>
      <c r="B52" s="15" t="s">
        <v>54</v>
      </c>
      <c r="C52" s="6" t="s">
        <v>36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500388</v>
      </c>
      <c r="X52" s="11">
        <v>526821</v>
      </c>
      <c r="Y52" s="154">
        <v>463296</v>
      </c>
      <c r="Z52" s="154"/>
      <c r="AA52" s="154"/>
    </row>
    <row r="53" spans="1:27" ht="21.75" customHeight="1" x14ac:dyDescent="0.2">
      <c r="A53" s="20"/>
      <c r="B53" s="17" t="s">
        <v>55</v>
      </c>
      <c r="C53" s="10" t="s">
        <v>45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223</v>
      </c>
      <c r="X53" s="11">
        <v>187</v>
      </c>
      <c r="Y53" s="154">
        <v>100</v>
      </c>
      <c r="Z53" s="154"/>
      <c r="AA53" s="154"/>
    </row>
    <row r="54" spans="1:27" ht="21.75" customHeight="1" x14ac:dyDescent="0.2">
      <c r="A54" s="20"/>
      <c r="B54" s="15" t="s">
        <v>54</v>
      </c>
      <c r="C54" s="6" t="s">
        <v>36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369027</v>
      </c>
      <c r="X54" s="11">
        <v>374974</v>
      </c>
      <c r="Y54" s="154">
        <v>305748</v>
      </c>
      <c r="Z54" s="154"/>
      <c r="AA54" s="154"/>
    </row>
    <row r="55" spans="1:27" ht="21.75" customHeight="1" x14ac:dyDescent="0.2">
      <c r="A55" s="20"/>
      <c r="B55" s="17" t="s">
        <v>56</v>
      </c>
      <c r="C55" s="10" t="s">
        <v>45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394</v>
      </c>
      <c r="X55" s="11">
        <v>319</v>
      </c>
      <c r="Y55" s="154">
        <v>161</v>
      </c>
      <c r="Z55" s="154"/>
      <c r="AA55" s="154"/>
    </row>
    <row r="56" spans="1:27" ht="21.75" customHeight="1" x14ac:dyDescent="0.2">
      <c r="A56" s="20"/>
      <c r="B56" s="15" t="s">
        <v>54</v>
      </c>
      <c r="C56" s="6" t="s">
        <v>36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334595</v>
      </c>
      <c r="X56" s="11">
        <v>362945</v>
      </c>
      <c r="Y56" s="154">
        <v>346226</v>
      </c>
      <c r="Z56" s="154"/>
      <c r="AA56" s="154"/>
    </row>
    <row r="57" spans="1:27" ht="18.75" customHeight="1" x14ac:dyDescent="0.2">
      <c r="A57" s="167" t="s">
        <v>57</v>
      </c>
      <c r="B57" s="164"/>
      <c r="C57" s="164"/>
      <c r="D57" s="164"/>
      <c r="E57" s="164"/>
      <c r="F57" s="164"/>
      <c r="G57" s="164"/>
      <c r="H57" s="164"/>
      <c r="I57" s="164"/>
      <c r="J57" s="164"/>
      <c r="K57" s="164"/>
      <c r="L57" s="164"/>
      <c r="M57" s="164"/>
      <c r="N57" s="164"/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51"/>
      <c r="Z57" s="151"/>
      <c r="AA57" s="151"/>
    </row>
    <row r="58" spans="1:27" ht="21.75" customHeight="1" x14ac:dyDescent="0.2">
      <c r="A58" s="20"/>
      <c r="B58" s="5" t="s">
        <v>76</v>
      </c>
      <c r="C58" s="6" t="s">
        <v>45</v>
      </c>
      <c r="D58" s="7">
        <v>543</v>
      </c>
      <c r="E58" s="7">
        <v>294</v>
      </c>
      <c r="F58" s="7">
        <v>396</v>
      </c>
      <c r="G58" s="7">
        <v>411</v>
      </c>
      <c r="H58" s="7">
        <v>432</v>
      </c>
      <c r="I58" s="7">
        <v>486</v>
      </c>
      <c r="J58" s="7">
        <v>492</v>
      </c>
      <c r="K58" s="7">
        <v>515</v>
      </c>
      <c r="L58" s="7">
        <v>419</v>
      </c>
      <c r="M58" s="7">
        <v>562</v>
      </c>
      <c r="N58" s="7">
        <v>630</v>
      </c>
      <c r="O58" s="7">
        <v>798</v>
      </c>
      <c r="P58" s="7">
        <v>862</v>
      </c>
      <c r="Q58" s="7">
        <v>878</v>
      </c>
      <c r="R58" s="7">
        <v>595</v>
      </c>
      <c r="S58" s="7">
        <v>677</v>
      </c>
      <c r="T58" s="7">
        <v>621</v>
      </c>
      <c r="U58" s="11">
        <v>642</v>
      </c>
      <c r="V58" s="11">
        <v>624</v>
      </c>
      <c r="W58" s="11">
        <v>599</v>
      </c>
      <c r="X58" s="11">
        <v>513</v>
      </c>
      <c r="Y58" s="154">
        <v>234</v>
      </c>
      <c r="Z58" s="154"/>
      <c r="AA58" s="154"/>
    </row>
    <row r="59" spans="1:27" ht="21.75" customHeight="1" x14ac:dyDescent="0.2">
      <c r="A59" s="20"/>
      <c r="B59" s="17" t="s">
        <v>59</v>
      </c>
      <c r="C59" s="10" t="s">
        <v>36</v>
      </c>
      <c r="D59" s="7">
        <v>522589</v>
      </c>
      <c r="E59" s="7">
        <v>506436</v>
      </c>
      <c r="F59" s="7">
        <v>511349</v>
      </c>
      <c r="G59" s="7">
        <v>465799</v>
      </c>
      <c r="H59" s="7">
        <v>448520</v>
      </c>
      <c r="I59" s="7">
        <v>438740</v>
      </c>
      <c r="J59" s="7">
        <v>437617</v>
      </c>
      <c r="K59" s="7">
        <v>404388</v>
      </c>
      <c r="L59" s="7">
        <v>414450</v>
      </c>
      <c r="M59" s="7">
        <v>370627</v>
      </c>
      <c r="N59" s="7">
        <v>356899</v>
      </c>
      <c r="O59" s="7">
        <v>403118</v>
      </c>
      <c r="P59" s="7">
        <v>412354</v>
      </c>
      <c r="Q59" s="7">
        <v>425525</v>
      </c>
      <c r="R59" s="7">
        <v>382619</v>
      </c>
      <c r="S59" s="7">
        <v>400449</v>
      </c>
      <c r="T59" s="7">
        <v>391955</v>
      </c>
      <c r="U59" s="11">
        <v>390952</v>
      </c>
      <c r="V59" s="11">
        <v>421658</v>
      </c>
      <c r="W59" s="11">
        <v>404393</v>
      </c>
      <c r="X59" s="11">
        <v>435451</v>
      </c>
      <c r="Y59" s="154">
        <v>374724</v>
      </c>
      <c r="Z59" s="154"/>
      <c r="AA59" s="154"/>
    </row>
    <row r="60" spans="1:27" ht="21.75" customHeight="1" x14ac:dyDescent="0.2">
      <c r="A60" s="20"/>
      <c r="B60" s="5" t="s">
        <v>77</v>
      </c>
      <c r="C60" s="6" t="s">
        <v>61</v>
      </c>
      <c r="D60" s="7">
        <v>1833851</v>
      </c>
      <c r="E60" s="7">
        <v>1804370</v>
      </c>
      <c r="F60" s="7">
        <v>1786190</v>
      </c>
      <c r="G60" s="7">
        <v>1661772</v>
      </c>
      <c r="H60" s="7">
        <v>1577234</v>
      </c>
      <c r="I60" s="7">
        <v>1513754</v>
      </c>
      <c r="J60" s="7">
        <v>1536110</v>
      </c>
      <c r="K60" s="7">
        <v>1408320</v>
      </c>
      <c r="L60" s="7">
        <v>1422401</v>
      </c>
      <c r="M60" s="7">
        <v>1286169</v>
      </c>
      <c r="N60" s="7">
        <v>1241277</v>
      </c>
      <c r="O60" s="7">
        <v>1379839</v>
      </c>
      <c r="P60" s="7">
        <v>1424577</v>
      </c>
      <c r="Q60" s="7">
        <v>1475454</v>
      </c>
      <c r="R60" s="7">
        <v>1349201</v>
      </c>
      <c r="S60" s="7">
        <v>1395866</v>
      </c>
      <c r="T60" s="7">
        <v>1339930</v>
      </c>
      <c r="U60" s="11">
        <v>1346795</v>
      </c>
      <c r="V60" s="11">
        <v>1450474</v>
      </c>
      <c r="W60" s="11">
        <v>1389818</v>
      </c>
      <c r="X60" s="11">
        <v>1463208</v>
      </c>
      <c r="Y60" s="154">
        <v>1298790</v>
      </c>
      <c r="Z60" s="154"/>
      <c r="AA60" s="154"/>
    </row>
    <row r="61" spans="1:27" ht="49.5" customHeight="1" x14ac:dyDescent="0.2">
      <c r="A61" s="18" t="s">
        <v>78</v>
      </c>
      <c r="Y61" s="151"/>
      <c r="Z61" s="151"/>
      <c r="AA61" s="151"/>
    </row>
    <row r="62" spans="1:27" ht="33" customHeight="1" x14ac:dyDescent="0.2">
      <c r="A62" s="19" t="s">
        <v>79</v>
      </c>
      <c r="Y62" s="151"/>
      <c r="Z62" s="151"/>
      <c r="AA62" s="151"/>
    </row>
    <row r="63" spans="1:27" ht="21.75" customHeight="1" x14ac:dyDescent="0.2">
      <c r="A63" s="20"/>
      <c r="B63" s="9" t="s">
        <v>80</v>
      </c>
      <c r="C63" s="10" t="s">
        <v>32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30530917</v>
      </c>
      <c r="X63" s="8">
        <v>17388002</v>
      </c>
      <c r="Y63" s="153">
        <v>5791126</v>
      </c>
      <c r="Z63" s="153"/>
      <c r="AA63" s="153"/>
    </row>
    <row r="64" spans="1:27" ht="21.75" customHeight="1" x14ac:dyDescent="0.2">
      <c r="A64" s="20"/>
      <c r="B64" s="9" t="s">
        <v>81</v>
      </c>
      <c r="C64" s="10" t="s">
        <v>40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1.8781108525479821E-2</v>
      </c>
      <c r="X64" s="132">
        <v>1.201E-2</v>
      </c>
      <c r="Y64" s="160">
        <v>1.0352E-2</v>
      </c>
      <c r="Z64" s="160"/>
      <c r="AA64" s="160"/>
    </row>
    <row r="65" spans="1:27" ht="21.75" customHeight="1" x14ac:dyDescent="0.2"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Y65" s="151"/>
      <c r="Z65" s="151"/>
      <c r="AA65" s="151"/>
    </row>
    <row r="66" spans="1:27" ht="21.75" customHeight="1" x14ac:dyDescent="0.2">
      <c r="A66" s="22" t="s">
        <v>82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161"/>
      <c r="Z66" s="161"/>
      <c r="AA66" s="161"/>
    </row>
    <row r="67" spans="1:27" ht="21.75" customHeight="1" x14ac:dyDescent="0.2">
      <c r="A67" s="24" t="s">
        <v>83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161"/>
      <c r="Z67" s="161"/>
      <c r="AA67" s="161"/>
    </row>
    <row r="68" spans="1:27" ht="21.75" customHeight="1" x14ac:dyDescent="0.2">
      <c r="A68" s="25"/>
      <c r="B68" s="9" t="s">
        <v>84</v>
      </c>
      <c r="C68" s="10" t="s">
        <v>32</v>
      </c>
      <c r="D68" s="7">
        <v>3684820724</v>
      </c>
      <c r="E68" s="7">
        <v>2051642620</v>
      </c>
      <c r="F68" s="7">
        <v>2278142827</v>
      </c>
      <c r="G68" s="7">
        <v>2153759828</v>
      </c>
      <c r="H68" s="7">
        <v>2110950962</v>
      </c>
      <c r="I68" s="7">
        <v>2028514835</v>
      </c>
      <c r="J68" s="7">
        <v>2099367808</v>
      </c>
      <c r="K68" s="7">
        <v>2036074925</v>
      </c>
      <c r="L68" s="7">
        <v>1703806103</v>
      </c>
      <c r="M68" s="7">
        <v>1967970503</v>
      </c>
      <c r="N68" s="7">
        <v>2070226814</v>
      </c>
      <c r="O68" s="7">
        <v>2342410646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1615046822</v>
      </c>
      <c r="U68" s="8">
        <v>1620165380</v>
      </c>
      <c r="V68" s="8">
        <v>1728908260</v>
      </c>
      <c r="W68" s="8">
        <v>1632576977</v>
      </c>
      <c r="X68" s="8">
        <v>1448314945</v>
      </c>
      <c r="Y68" s="153">
        <v>559414729</v>
      </c>
      <c r="Z68" s="153"/>
      <c r="AA68" s="153"/>
    </row>
    <row r="69" spans="1:27" ht="18.75" customHeight="1" x14ac:dyDescent="0.2">
      <c r="A69" s="163"/>
      <c r="B69" s="164"/>
      <c r="C69" s="164"/>
      <c r="D69" s="164"/>
      <c r="E69" s="164"/>
      <c r="F69" s="164"/>
      <c r="G69" s="164"/>
      <c r="H69" s="164"/>
      <c r="I69" s="164"/>
      <c r="J69" s="164"/>
      <c r="K69" s="164"/>
      <c r="L69" s="164"/>
      <c r="M69" s="164"/>
      <c r="N69" s="164"/>
      <c r="O69" s="164"/>
      <c r="P69" s="164"/>
      <c r="Q69" s="164"/>
      <c r="R69" s="164"/>
      <c r="S69" s="164"/>
      <c r="T69" s="164"/>
      <c r="U69" s="164"/>
      <c r="V69" s="164"/>
      <c r="W69" s="164"/>
      <c r="X69" s="165"/>
      <c r="Y69" s="151"/>
      <c r="Z69" s="151"/>
      <c r="AA69" s="151"/>
    </row>
    <row r="70" spans="1:27" ht="21.75" customHeight="1" x14ac:dyDescent="0.2">
      <c r="A70" s="25"/>
      <c r="B70" s="9" t="s">
        <v>85</v>
      </c>
      <c r="C70" s="10" t="s">
        <v>41</v>
      </c>
      <c r="D70" s="26">
        <v>1.091</v>
      </c>
      <c r="E70" s="26">
        <v>1.111</v>
      </c>
      <c r="F70" s="26">
        <v>1.1240000000000001</v>
      </c>
      <c r="G70" s="26">
        <v>1.1200000000000001</v>
      </c>
      <c r="H70" s="26">
        <v>1.1240000000000001</v>
      </c>
      <c r="I70" s="26">
        <v>1.113</v>
      </c>
      <c r="J70" s="26">
        <v>1.133</v>
      </c>
      <c r="K70" s="26">
        <v>1.1359999999999999</v>
      </c>
      <c r="L70" s="26">
        <v>1.121</v>
      </c>
      <c r="M70" s="26">
        <v>1.157</v>
      </c>
      <c r="N70" s="26">
        <v>1.1359999999999999</v>
      </c>
      <c r="O70" s="26">
        <v>1.1479999999999999</v>
      </c>
      <c r="P70" s="26">
        <v>1.1299999999999999</v>
      </c>
      <c r="Q70" s="26">
        <v>1.1100000000000001</v>
      </c>
      <c r="R70" s="26">
        <v>1.1339999999999999</v>
      </c>
      <c r="S70" s="26">
        <v>1.1259999999999999</v>
      </c>
      <c r="T70" s="26">
        <v>1.1379999999999999</v>
      </c>
      <c r="U70" s="14">
        <v>1.143</v>
      </c>
      <c r="V70" s="14">
        <v>1.141</v>
      </c>
      <c r="W70" s="14">
        <v>1.135</v>
      </c>
      <c r="X70" s="14">
        <v>1.1599999999999999</v>
      </c>
      <c r="Y70" s="156">
        <v>1.1080000000000001</v>
      </c>
      <c r="Z70" s="156"/>
      <c r="AA70" s="156"/>
    </row>
    <row r="71" spans="1:27" ht="21.75" customHeight="1" x14ac:dyDescent="0.2">
      <c r="A71" s="25"/>
      <c r="B71" s="5" t="s">
        <v>86</v>
      </c>
      <c r="C71" s="6" t="s">
        <v>45</v>
      </c>
      <c r="D71" s="7">
        <v>4862</v>
      </c>
      <c r="E71" s="7">
        <v>5582</v>
      </c>
      <c r="F71" s="7">
        <v>8931</v>
      </c>
      <c r="G71" s="7">
        <v>10614</v>
      </c>
      <c r="H71" s="7">
        <v>12426</v>
      </c>
      <c r="I71" s="7">
        <v>14194</v>
      </c>
      <c r="J71" s="7">
        <v>15991</v>
      </c>
      <c r="K71" s="7">
        <v>17806</v>
      </c>
      <c r="L71" s="7">
        <v>19598</v>
      </c>
      <c r="M71" s="7">
        <v>21392</v>
      </c>
      <c r="N71" s="7">
        <v>22983</v>
      </c>
      <c r="O71" s="7">
        <v>25041</v>
      </c>
      <c r="P71" s="7">
        <v>27412</v>
      </c>
      <c r="Q71" s="7">
        <v>29635</v>
      </c>
      <c r="R71" s="7">
        <v>32710</v>
      </c>
      <c r="S71" s="7">
        <v>35971</v>
      </c>
      <c r="T71" s="7">
        <v>37996</v>
      </c>
      <c r="U71" s="11">
        <v>39886</v>
      </c>
      <c r="V71" s="11">
        <v>41729</v>
      </c>
      <c r="W71" s="11">
        <v>43648</v>
      </c>
      <c r="X71" s="11">
        <v>45843</v>
      </c>
      <c r="Y71" s="154">
        <v>17444</v>
      </c>
      <c r="Z71" s="154"/>
      <c r="AA71" s="154"/>
    </row>
    <row r="72" spans="1:27" ht="21.75" customHeight="1" x14ac:dyDescent="0.2">
      <c r="A72" s="25"/>
      <c r="B72" s="9" t="s">
        <v>87</v>
      </c>
      <c r="C72" s="10" t="s">
        <v>45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1449</v>
      </c>
      <c r="X72" s="11">
        <v>1228</v>
      </c>
      <c r="Y72" s="154">
        <v>472</v>
      </c>
      <c r="Z72" s="154"/>
      <c r="AA72" s="154"/>
    </row>
    <row r="73" spans="1:27" ht="21.75" customHeight="1" x14ac:dyDescent="0.2">
      <c r="A73" s="25"/>
      <c r="B73" s="5" t="s">
        <v>88</v>
      </c>
      <c r="C73" s="6" t="s">
        <v>89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96</v>
      </c>
      <c r="Y73" s="162">
        <v>86</v>
      </c>
      <c r="Z73" s="162"/>
      <c r="AA73" s="162"/>
    </row>
    <row r="74" spans="1:27" ht="25.5" customHeight="1" x14ac:dyDescent="0.2">
      <c r="B74" s="113" t="s">
        <v>90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106</v>
      </c>
      <c r="Y74" s="151">
        <v>88</v>
      </c>
      <c r="Z74" s="151"/>
      <c r="AA74" s="151"/>
    </row>
    <row r="75" spans="1:27" ht="21.75" customHeight="1" x14ac:dyDescent="0.2">
      <c r="B75" s="113" t="s">
        <v>91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93</v>
      </c>
      <c r="Y75" s="151">
        <v>94</v>
      </c>
      <c r="Z75" s="151"/>
      <c r="AA75" s="151"/>
    </row>
    <row r="76" spans="1:27" ht="21.75" customHeight="1" x14ac:dyDescent="0.2">
      <c r="A76" s="24" t="s">
        <v>92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51"/>
      <c r="Z76" s="151"/>
      <c r="AA76" s="151"/>
    </row>
    <row r="77" spans="1:27" ht="21.75" customHeight="1" x14ac:dyDescent="0.2">
      <c r="A77" s="25"/>
      <c r="B77" s="15" t="s">
        <v>93</v>
      </c>
      <c r="C77" s="6" t="s">
        <v>61</v>
      </c>
      <c r="D77" s="7">
        <v>0</v>
      </c>
      <c r="E77" s="7">
        <v>618741</v>
      </c>
      <c r="F77" s="7">
        <v>623424</v>
      </c>
      <c r="G77" s="7">
        <v>635069</v>
      </c>
      <c r="H77" s="7">
        <v>621375</v>
      </c>
      <c r="I77" s="7">
        <v>610685</v>
      </c>
      <c r="J77" s="7">
        <v>623740</v>
      </c>
      <c r="K77" s="7">
        <v>600915</v>
      </c>
      <c r="L77" s="7">
        <v>565428</v>
      </c>
      <c r="M77" s="7">
        <v>563051</v>
      </c>
      <c r="N77" s="7">
        <v>538316</v>
      </c>
      <c r="O77" s="7">
        <v>567718</v>
      </c>
      <c r="P77" s="7">
        <v>578406</v>
      </c>
      <c r="Q77" s="7">
        <v>581640</v>
      </c>
      <c r="R77" s="7">
        <v>569872</v>
      </c>
      <c r="S77" s="7">
        <v>591651</v>
      </c>
      <c r="T77" s="7">
        <v>576197</v>
      </c>
      <c r="U77" s="11">
        <v>571141</v>
      </c>
      <c r="V77" s="11">
        <v>551169</v>
      </c>
      <c r="W77" s="11">
        <v>562069</v>
      </c>
      <c r="X77" s="11">
        <v>557008</v>
      </c>
      <c r="Y77" s="154">
        <v>1362882</v>
      </c>
      <c r="Z77" s="154"/>
      <c r="AA77" s="154"/>
    </row>
    <row r="78" spans="1:27" ht="21.75" customHeight="1" x14ac:dyDescent="0.2">
      <c r="A78" s="25"/>
      <c r="B78" s="17" t="s">
        <v>94</v>
      </c>
      <c r="C78" s="10" t="s">
        <v>61</v>
      </c>
      <c r="D78" s="7">
        <v>526419</v>
      </c>
      <c r="E78" s="7">
        <v>517956</v>
      </c>
      <c r="F78" s="7">
        <v>512737</v>
      </c>
      <c r="G78" s="7">
        <v>477022</v>
      </c>
      <c r="H78" s="7">
        <v>452755</v>
      </c>
      <c r="I78" s="7">
        <v>434533</v>
      </c>
      <c r="J78" s="7">
        <v>440950</v>
      </c>
      <c r="K78" s="7">
        <v>404267</v>
      </c>
      <c r="L78" s="7">
        <v>408310</v>
      </c>
      <c r="M78" s="7">
        <v>369203</v>
      </c>
      <c r="N78" s="7">
        <v>356317</v>
      </c>
      <c r="O78" s="7">
        <v>396092</v>
      </c>
      <c r="P78" s="7">
        <v>408934</v>
      </c>
      <c r="Q78" s="7">
        <v>423539</v>
      </c>
      <c r="R78" s="7">
        <v>387297</v>
      </c>
      <c r="S78" s="7">
        <v>400692</v>
      </c>
      <c r="T78" s="7">
        <v>384635</v>
      </c>
      <c r="U78" s="11">
        <v>386606</v>
      </c>
      <c r="V78" s="11">
        <v>416368</v>
      </c>
      <c r="W78" s="11">
        <v>398956</v>
      </c>
      <c r="X78" s="11">
        <v>420023</v>
      </c>
      <c r="Y78" s="154">
        <v>854533</v>
      </c>
      <c r="Z78" s="154"/>
      <c r="AA78" s="154"/>
    </row>
    <row r="79" spans="1:27" ht="21.75" customHeight="1" x14ac:dyDescent="0.2">
      <c r="A79" s="25"/>
      <c r="B79" s="15" t="s">
        <v>95</v>
      </c>
      <c r="C79" s="6" t="s">
        <v>61</v>
      </c>
      <c r="D79" s="7">
        <v>0</v>
      </c>
      <c r="E79" s="7">
        <v>1920171</v>
      </c>
      <c r="F79" s="7">
        <v>1934705</v>
      </c>
      <c r="G79" s="7">
        <v>1970844</v>
      </c>
      <c r="H79" s="7">
        <v>1928344</v>
      </c>
      <c r="I79" s="7">
        <v>1895170</v>
      </c>
      <c r="J79" s="7">
        <v>1935685</v>
      </c>
      <c r="K79" s="7">
        <v>1864851</v>
      </c>
      <c r="L79" s="7">
        <v>1754722</v>
      </c>
      <c r="M79" s="7">
        <v>1747345</v>
      </c>
      <c r="N79" s="7">
        <v>1670584</v>
      </c>
      <c r="O79" s="7">
        <v>1761827</v>
      </c>
      <c r="P79" s="7">
        <v>1794997</v>
      </c>
      <c r="Q79" s="7">
        <v>1805033</v>
      </c>
      <c r="R79" s="7">
        <v>1768512</v>
      </c>
      <c r="S79" s="7">
        <v>1836099</v>
      </c>
      <c r="T79" s="7">
        <v>1788142</v>
      </c>
      <c r="U79" s="11">
        <v>1772450</v>
      </c>
      <c r="V79" s="11">
        <v>1710470</v>
      </c>
      <c r="W79" s="11">
        <v>1744297</v>
      </c>
      <c r="X79" s="11">
        <v>1728591</v>
      </c>
      <c r="Y79" s="154">
        <v>1671377</v>
      </c>
      <c r="Z79" s="154"/>
      <c r="AA79" s="154"/>
    </row>
    <row r="80" spans="1:27" ht="21.75" customHeight="1" x14ac:dyDescent="0.2">
      <c r="A80" s="25"/>
      <c r="B80" s="17" t="s">
        <v>96</v>
      </c>
      <c r="C80" s="10" t="s">
        <v>61</v>
      </c>
      <c r="D80" s="7">
        <v>1833851</v>
      </c>
      <c r="E80" s="7">
        <v>1804370</v>
      </c>
      <c r="F80" s="7">
        <v>1786190</v>
      </c>
      <c r="G80" s="7">
        <v>1661772</v>
      </c>
      <c r="H80" s="7">
        <v>1577234</v>
      </c>
      <c r="I80" s="7">
        <v>1513754</v>
      </c>
      <c r="J80" s="7">
        <v>1536110</v>
      </c>
      <c r="K80" s="7">
        <v>1408320</v>
      </c>
      <c r="L80" s="7">
        <v>1422401</v>
      </c>
      <c r="M80" s="7">
        <v>1286169</v>
      </c>
      <c r="N80" s="7">
        <v>1241277</v>
      </c>
      <c r="O80" s="7">
        <v>1379839</v>
      </c>
      <c r="P80" s="7">
        <v>1424577</v>
      </c>
      <c r="Q80" s="7">
        <v>1475454</v>
      </c>
      <c r="R80" s="7">
        <v>1349201</v>
      </c>
      <c r="S80" s="7">
        <v>1395866</v>
      </c>
      <c r="T80" s="7">
        <v>1339930</v>
      </c>
      <c r="U80" s="11">
        <v>1346795</v>
      </c>
      <c r="V80" s="11">
        <v>1450474</v>
      </c>
      <c r="W80" s="11">
        <v>1389818</v>
      </c>
      <c r="X80" s="11">
        <v>1463208</v>
      </c>
      <c r="Y80" s="154">
        <v>1298790</v>
      </c>
      <c r="Z80" s="154"/>
      <c r="AA80" s="154"/>
    </row>
    <row r="81" spans="1:27" ht="21.75" customHeight="1" x14ac:dyDescent="0.2">
      <c r="A81" s="169" t="s">
        <v>97</v>
      </c>
      <c r="B81" s="164"/>
      <c r="C81" s="16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/>
      <c r="Y81" s="151"/>
      <c r="Z81" s="151"/>
      <c r="AA81" s="151"/>
    </row>
    <row r="82" spans="1:27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  <c r="Y82" s="154"/>
      <c r="Z82" s="154"/>
      <c r="AA82" s="154"/>
    </row>
    <row r="83" spans="1:27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  <c r="Y83" s="151"/>
      <c r="Z83" s="151"/>
      <c r="AA83" s="151"/>
    </row>
    <row r="84" spans="1:27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  <c r="Y84" s="157"/>
      <c r="Z84" s="157"/>
      <c r="AA84" s="157"/>
    </row>
    <row r="85" spans="1:27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  <c r="Y85" s="154"/>
      <c r="Z85" s="154"/>
      <c r="AA85" s="154"/>
    </row>
    <row r="86" spans="1:27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  <c r="Y86" s="154"/>
      <c r="Z86" s="154"/>
      <c r="AA86" s="154"/>
    </row>
    <row r="87" spans="1:27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  <c r="Y87" s="154"/>
      <c r="Z87" s="154"/>
      <c r="AA87" s="154"/>
    </row>
    <row r="88" spans="1:27" ht="18.75" customHeight="1" x14ac:dyDescent="0.2">
      <c r="A88" s="30" t="s">
        <v>98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161"/>
      <c r="Z88" s="161"/>
      <c r="AA88" s="161"/>
    </row>
    <row r="89" spans="1:27" ht="18.75" customHeight="1" x14ac:dyDescent="0.2"/>
    <row r="90" spans="1:27" ht="18.75" customHeight="1" x14ac:dyDescent="0.2"/>
    <row r="91" spans="1:27" ht="18.75" customHeight="1" x14ac:dyDescent="0.2"/>
    <row r="92" spans="1:27" ht="18.75" customHeight="1" x14ac:dyDescent="0.2"/>
    <row r="93" spans="1:27" ht="18.75" customHeight="1" x14ac:dyDescent="0.2"/>
    <row r="94" spans="1:27" ht="18.75" customHeight="1" x14ac:dyDescent="0.2"/>
    <row r="95" spans="1:27" ht="18.75" customHeight="1" x14ac:dyDescent="0.2"/>
    <row r="96" spans="1:27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5">
    <mergeCell ref="A1:X1"/>
    <mergeCell ref="A5:X5"/>
    <mergeCell ref="A13:X13"/>
    <mergeCell ref="A14:X14"/>
    <mergeCell ref="A2:X2"/>
    <mergeCell ref="A42:X42"/>
    <mergeCell ref="A19:X19"/>
    <mergeCell ref="A33:X33"/>
    <mergeCell ref="A47:X47"/>
    <mergeCell ref="A69:X69"/>
    <mergeCell ref="A34:X34"/>
    <mergeCell ref="A29:X29"/>
    <mergeCell ref="A4:X4"/>
    <mergeCell ref="A81:X81"/>
    <mergeCell ref="A57:X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412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440</v>
      </c>
      <c r="C6" s="49">
        <v>19591791</v>
      </c>
      <c r="D6" s="49">
        <v>49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26563923</v>
      </c>
      <c r="O6" s="8">
        <f t="shared" ref="O6:O35" si="2">IFERROR(IF(D6&gt;0,C6/D6,""),"")</f>
        <v>399832.46938775509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441</v>
      </c>
      <c r="C7" s="49">
        <v>14043038</v>
      </c>
      <c r="D7" s="49">
        <v>35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24301495</v>
      </c>
      <c r="O7" s="8">
        <f t="shared" si="2"/>
        <v>401229.65714285715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442</v>
      </c>
      <c r="C8" s="49">
        <v>31595138</v>
      </c>
      <c r="D8" s="49">
        <v>64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4030000</v>
      </c>
      <c r="L8" s="50"/>
      <c r="M8" s="8">
        <f t="shared" si="0"/>
        <v>8624144</v>
      </c>
      <c r="N8" s="8">
        <f t="shared" si="1"/>
        <v>40219282</v>
      </c>
      <c r="O8" s="8">
        <f t="shared" si="2"/>
        <v>493674.03125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443</v>
      </c>
      <c r="C9" s="49">
        <v>36834727</v>
      </c>
      <c r="D9" s="49">
        <v>81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64017297</v>
      </c>
      <c r="O9" s="8">
        <f t="shared" si="2"/>
        <v>454749.7160493827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444</v>
      </c>
      <c r="C10" s="49">
        <v>58478953</v>
      </c>
      <c r="D10" s="49">
        <v>115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5809149</v>
      </c>
      <c r="L10" s="50"/>
      <c r="M10" s="8">
        <f t="shared" si="0"/>
        <v>13366506</v>
      </c>
      <c r="N10" s="8">
        <f t="shared" si="1"/>
        <v>71845459</v>
      </c>
      <c r="O10" s="8">
        <f t="shared" si="2"/>
        <v>508512.63478260871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445</v>
      </c>
      <c r="C11" s="49">
        <v>58385506</v>
      </c>
      <c r="D11" s="49">
        <v>119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444444</v>
      </c>
      <c r="L11" s="50"/>
      <c r="M11" s="8">
        <f t="shared" si="0"/>
        <v>16297746</v>
      </c>
      <c r="N11" s="8">
        <f t="shared" si="1"/>
        <v>74683252</v>
      </c>
      <c r="O11" s="8">
        <f t="shared" si="2"/>
        <v>490634.50420168065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446</v>
      </c>
      <c r="C12" s="49">
        <v>39395437</v>
      </c>
      <c r="D12" s="49">
        <v>96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>
        <v>83333</v>
      </c>
      <c r="L12" s="50"/>
      <c r="M12" s="8">
        <f t="shared" si="0"/>
        <v>16348830</v>
      </c>
      <c r="N12" s="8">
        <f t="shared" si="1"/>
        <v>55744267</v>
      </c>
      <c r="O12" s="8">
        <f t="shared" si="2"/>
        <v>410369.13541666669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440</v>
      </c>
      <c r="C13" s="49">
        <v>38961107</v>
      </c>
      <c r="D13" s="49">
        <v>83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1130158</v>
      </c>
      <c r="L13" s="50"/>
      <c r="M13" s="8">
        <f t="shared" si="0"/>
        <v>12628907</v>
      </c>
      <c r="N13" s="8">
        <f t="shared" si="1"/>
        <v>51590014</v>
      </c>
      <c r="O13" s="8">
        <f t="shared" si="2"/>
        <v>469410.92771084339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441</v>
      </c>
      <c r="C14" s="49">
        <v>47980110</v>
      </c>
      <c r="D14" s="49">
        <v>97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58903178</v>
      </c>
      <c r="O14" s="8">
        <f t="shared" si="2"/>
        <v>494640.3092783505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442</v>
      </c>
      <c r="C15" s="49">
        <v>42957529</v>
      </c>
      <c r="D15" s="49">
        <v>89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55837945</v>
      </c>
      <c r="O15" s="8">
        <f t="shared" si="2"/>
        <v>482668.86516853934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443</v>
      </c>
      <c r="C16" s="49">
        <v>35423290</v>
      </c>
      <c r="D16" s="49">
        <v>82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48017349</v>
      </c>
      <c r="O16" s="8">
        <f t="shared" si="2"/>
        <v>431991.34146341466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444</v>
      </c>
      <c r="C17" s="49">
        <v>41835540</v>
      </c>
      <c r="D17" s="49">
        <v>106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57839347</v>
      </c>
      <c r="O17" s="8">
        <f t="shared" si="2"/>
        <v>394674.90566037735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445</v>
      </c>
      <c r="C18" s="49">
        <v>39390229</v>
      </c>
      <c r="D18" s="49">
        <v>94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55865111</v>
      </c>
      <c r="O18" s="8">
        <f t="shared" si="2"/>
        <v>419044.98936170212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446</v>
      </c>
      <c r="C19" s="49">
        <v>41538532</v>
      </c>
      <c r="D19" s="49">
        <v>96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62728545</v>
      </c>
      <c r="O19" s="8">
        <f t="shared" si="2"/>
        <v>432693.04166666669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440</v>
      </c>
      <c r="C20" s="49">
        <v>46874211</v>
      </c>
      <c r="D20" s="49">
        <v>116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67630857</v>
      </c>
      <c r="O20" s="8">
        <f t="shared" si="2"/>
        <v>404088.02586206899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441</v>
      </c>
      <c r="C21" s="49">
        <v>49914494</v>
      </c>
      <c r="D21" s="49">
        <v>104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5024001</v>
      </c>
      <c r="L21" s="50"/>
      <c r="M21" s="8">
        <f t="shared" si="0"/>
        <v>13643106</v>
      </c>
      <c r="N21" s="8">
        <f t="shared" si="1"/>
        <v>63557600</v>
      </c>
      <c r="O21" s="8">
        <f t="shared" si="2"/>
        <v>479947.05769230769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442</v>
      </c>
      <c r="C22" s="49">
        <v>54567632</v>
      </c>
      <c r="D22" s="49">
        <v>102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>
        <v>1038000</v>
      </c>
      <c r="L22" s="50"/>
      <c r="M22" s="8">
        <f t="shared" si="0"/>
        <v>17675841</v>
      </c>
      <c r="N22" s="8">
        <f t="shared" si="1"/>
        <v>72243473</v>
      </c>
      <c r="O22" s="8">
        <f t="shared" si="2"/>
        <v>534976.78431372554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443</v>
      </c>
      <c r="C23" s="49">
        <v>39077968</v>
      </c>
      <c r="D23" s="49">
        <v>87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50889134</v>
      </c>
      <c r="O23" s="8">
        <f t="shared" si="2"/>
        <v>449172.0459770115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444</v>
      </c>
      <c r="C24" s="49">
        <v>48614994</v>
      </c>
      <c r="D24" s="49">
        <v>113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64187048</v>
      </c>
      <c r="O24" s="8">
        <f t="shared" si="2"/>
        <v>430221.18584070797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445</v>
      </c>
      <c r="C25" s="49">
        <v>64184051</v>
      </c>
      <c r="D25" s="49">
        <v>133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81654145</v>
      </c>
      <c r="O25" s="8">
        <f t="shared" si="2"/>
        <v>482586.84962406015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446</v>
      </c>
      <c r="C26" s="49">
        <v>29669073</v>
      </c>
      <c r="D26" s="49">
        <v>69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2301376</v>
      </c>
      <c r="L26" s="50"/>
      <c r="M26" s="8">
        <f t="shared" si="0"/>
        <v>23505940</v>
      </c>
      <c r="N26" s="8">
        <f t="shared" si="1"/>
        <v>53175013</v>
      </c>
      <c r="O26" s="8">
        <f t="shared" si="2"/>
        <v>429986.5652173913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440</v>
      </c>
      <c r="C27" s="49">
        <v>33268229</v>
      </c>
      <c r="D27" s="49">
        <v>73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1790066</v>
      </c>
      <c r="L27" s="50"/>
      <c r="M27" s="8">
        <f t="shared" si="0"/>
        <v>11545372</v>
      </c>
      <c r="N27" s="8">
        <f t="shared" si="1"/>
        <v>44813601</v>
      </c>
      <c r="O27" s="8">
        <f t="shared" si="2"/>
        <v>455729.16438356164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441</v>
      </c>
      <c r="C28" s="49">
        <v>57928241</v>
      </c>
      <c r="D28" s="49">
        <v>130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3048770</v>
      </c>
      <c r="L28" s="50"/>
      <c r="M28" s="8">
        <f t="shared" si="0"/>
        <v>13629259</v>
      </c>
      <c r="N28" s="8">
        <f t="shared" si="1"/>
        <v>71557500</v>
      </c>
      <c r="O28" s="8">
        <f t="shared" si="2"/>
        <v>445601.85384615383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442</v>
      </c>
      <c r="C29" s="49">
        <v>49006759</v>
      </c>
      <c r="D29" s="49">
        <v>109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2779974</v>
      </c>
      <c r="L29" s="50"/>
      <c r="M29" s="8">
        <f t="shared" si="0"/>
        <v>15977543</v>
      </c>
      <c r="N29" s="8">
        <f t="shared" si="1"/>
        <v>64984302</v>
      </c>
      <c r="O29" s="8">
        <f t="shared" si="2"/>
        <v>449603.29357798165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443</v>
      </c>
      <c r="C30" s="49">
        <v>43995205</v>
      </c>
      <c r="D30" s="49">
        <v>102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59592124</v>
      </c>
      <c r="O30" s="8">
        <f t="shared" si="2"/>
        <v>431325.53921568627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444</v>
      </c>
      <c r="C31" s="49">
        <v>46995217</v>
      </c>
      <c r="D31" s="49">
        <v>112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1286000</v>
      </c>
      <c r="L31" s="50"/>
      <c r="M31" s="8">
        <f t="shared" si="0"/>
        <v>13919702</v>
      </c>
      <c r="N31" s="8">
        <f t="shared" si="1"/>
        <v>60914919</v>
      </c>
      <c r="O31" s="8">
        <f t="shared" si="2"/>
        <v>419600.15178571426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445</v>
      </c>
      <c r="C32" s="49">
        <v>49614957</v>
      </c>
      <c r="D32" s="49">
        <v>115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68044896</v>
      </c>
      <c r="O32" s="8">
        <f t="shared" si="2"/>
        <v>431434.40869565215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446</v>
      </c>
      <c r="C33" s="49">
        <v>29293212</v>
      </c>
      <c r="D33" s="49">
        <v>80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46774113</v>
      </c>
      <c r="O33" s="8">
        <f t="shared" si="2"/>
        <v>366165.15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440</v>
      </c>
      <c r="C34" s="49">
        <v>36826801</v>
      </c>
      <c r="D34" s="49">
        <v>80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45488334</v>
      </c>
      <c r="O34" s="8">
        <f t="shared" si="2"/>
        <v>460335.01250000001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441</v>
      </c>
      <c r="C35" s="49">
        <v>26578616</v>
      </c>
      <c r="D35" s="49">
        <v>66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39963080</v>
      </c>
      <c r="O35" s="8">
        <f t="shared" si="2"/>
        <v>402706.30303030304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447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442</v>
      </c>
      <c r="C6" s="49">
        <v>45010927</v>
      </c>
      <c r="D6" s="49">
        <v>88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4639334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64106956</v>
      </c>
      <c r="O6" s="8">
        <f t="shared" ref="O6:O36" si="2">IFERROR(IF(D6&gt;0,C6/D6,""),"")</f>
        <v>511487.80681818182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443</v>
      </c>
      <c r="C7" s="49">
        <v>58008442</v>
      </c>
      <c r="D7" s="49">
        <v>140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231481</v>
      </c>
      <c r="L7" s="50"/>
      <c r="M7" s="8">
        <f t="shared" si="0"/>
        <v>25719623</v>
      </c>
      <c r="N7" s="8">
        <f t="shared" si="1"/>
        <v>83728065</v>
      </c>
      <c r="O7" s="8">
        <f t="shared" si="2"/>
        <v>414346.01428571431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444</v>
      </c>
      <c r="C8" s="49">
        <v>49601544</v>
      </c>
      <c r="D8" s="49">
        <v>115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65816249</v>
      </c>
      <c r="O8" s="8">
        <f t="shared" si="2"/>
        <v>431317.77391304349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445</v>
      </c>
      <c r="C9" s="49">
        <v>61264067</v>
      </c>
      <c r="D9" s="49">
        <v>144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85956383</v>
      </c>
      <c r="O9" s="8">
        <f t="shared" si="2"/>
        <v>425444.90972222225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446</v>
      </c>
      <c r="C10" s="49">
        <v>45157076</v>
      </c>
      <c r="D10" s="49">
        <v>94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64459488</v>
      </c>
      <c r="O10" s="8">
        <f t="shared" si="2"/>
        <v>480394.42553191487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440</v>
      </c>
      <c r="C11" s="49">
        <v>51694731</v>
      </c>
      <c r="D11" s="49">
        <v>118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3377158</v>
      </c>
      <c r="L11" s="50"/>
      <c r="M11" s="8">
        <f t="shared" si="0"/>
        <v>9157635</v>
      </c>
      <c r="N11" s="8">
        <f t="shared" si="1"/>
        <v>60852366</v>
      </c>
      <c r="O11" s="8">
        <f t="shared" si="2"/>
        <v>438090.94067796611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441</v>
      </c>
      <c r="C12" s="49">
        <v>39795110</v>
      </c>
      <c r="D12" s="49">
        <v>80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648148</v>
      </c>
      <c r="L12" s="50"/>
      <c r="M12" s="8">
        <f t="shared" si="0"/>
        <v>17805648</v>
      </c>
      <c r="N12" s="8">
        <f t="shared" si="1"/>
        <v>57600758</v>
      </c>
      <c r="O12" s="8">
        <f t="shared" si="2"/>
        <v>497438.875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442</v>
      </c>
      <c r="C13" s="49">
        <v>45887750</v>
      </c>
      <c r="D13" s="49">
        <v>113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>
        <v>762117</v>
      </c>
      <c r="L13" s="50"/>
      <c r="M13" s="8">
        <f t="shared" si="0"/>
        <v>14729882</v>
      </c>
      <c r="N13" s="8">
        <f t="shared" si="1"/>
        <v>60617632</v>
      </c>
      <c r="O13" s="8">
        <f t="shared" si="2"/>
        <v>406086.2831858407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443</v>
      </c>
      <c r="C14" s="49">
        <v>46210499</v>
      </c>
      <c r="D14" s="49">
        <v>122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65700202</v>
      </c>
      <c r="O14" s="8">
        <f t="shared" si="2"/>
        <v>378774.58196721313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444</v>
      </c>
      <c r="C15" s="49">
        <v>63115431</v>
      </c>
      <c r="D15" s="49">
        <v>151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7349175</v>
      </c>
      <c r="L15" s="50"/>
      <c r="M15" s="8">
        <f t="shared" si="0"/>
        <v>19188138</v>
      </c>
      <c r="N15" s="8">
        <f t="shared" si="1"/>
        <v>82303569</v>
      </c>
      <c r="O15" s="8">
        <f t="shared" si="2"/>
        <v>417982.9867549669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445</v>
      </c>
      <c r="C16" s="49">
        <v>43361508</v>
      </c>
      <c r="D16" s="49">
        <v>95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868800</v>
      </c>
      <c r="L16" s="50"/>
      <c r="M16" s="8">
        <f t="shared" si="0"/>
        <v>26207183</v>
      </c>
      <c r="N16" s="8">
        <f t="shared" si="1"/>
        <v>69568691</v>
      </c>
      <c r="O16" s="8">
        <f t="shared" si="2"/>
        <v>456436.92631578946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446</v>
      </c>
      <c r="C17" s="49">
        <v>38404085</v>
      </c>
      <c r="D17" s="49">
        <v>98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63330326</v>
      </c>
      <c r="O17" s="8">
        <f t="shared" si="2"/>
        <v>391878.41836734692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440</v>
      </c>
      <c r="C18" s="49">
        <v>30501930</v>
      </c>
      <c r="D18" s="49">
        <v>78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38936764</v>
      </c>
      <c r="O18" s="8">
        <f t="shared" si="2"/>
        <v>391050.38461538462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441</v>
      </c>
      <c r="C19" s="49">
        <v>47037132</v>
      </c>
      <c r="D19" s="49">
        <v>123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1820646</v>
      </c>
      <c r="L19" s="50"/>
      <c r="M19" s="8">
        <f t="shared" si="0"/>
        <v>11911246</v>
      </c>
      <c r="N19" s="8">
        <f t="shared" si="1"/>
        <v>58948378</v>
      </c>
      <c r="O19" s="8">
        <f t="shared" si="2"/>
        <v>382415.70731707319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442</v>
      </c>
      <c r="C20" s="49">
        <v>55649153</v>
      </c>
      <c r="D20" s="49">
        <v>135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1064814</v>
      </c>
      <c r="L20" s="50"/>
      <c r="M20" s="8">
        <f t="shared" si="0"/>
        <v>18190009</v>
      </c>
      <c r="N20" s="8">
        <f t="shared" si="1"/>
        <v>73839162</v>
      </c>
      <c r="O20" s="8">
        <f t="shared" si="2"/>
        <v>412215.94814814813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443</v>
      </c>
      <c r="C21" s="49">
        <v>50156379</v>
      </c>
      <c r="D21" s="49">
        <v>129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71699850</v>
      </c>
      <c r="O21" s="8">
        <f t="shared" si="2"/>
        <v>388809.13953488372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444</v>
      </c>
      <c r="C22" s="49">
        <v>39413081</v>
      </c>
      <c r="D22" s="49">
        <v>103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2728304</v>
      </c>
      <c r="L22" s="50"/>
      <c r="M22" s="8">
        <f t="shared" si="0"/>
        <v>18194899</v>
      </c>
      <c r="N22" s="8">
        <f t="shared" si="1"/>
        <v>57607980</v>
      </c>
      <c r="O22" s="8">
        <f t="shared" si="2"/>
        <v>382651.27184466022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445</v>
      </c>
      <c r="C23" s="49">
        <v>46272506</v>
      </c>
      <c r="D23" s="49">
        <v>112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70330179</v>
      </c>
      <c r="O23" s="8">
        <f t="shared" si="2"/>
        <v>413147.375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446</v>
      </c>
      <c r="C24" s="49">
        <v>34450984</v>
      </c>
      <c r="D24" s="49">
        <v>93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49031728</v>
      </c>
      <c r="O24" s="8">
        <f t="shared" si="2"/>
        <v>370440.68817204301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440</v>
      </c>
      <c r="C25" s="49">
        <v>38832798</v>
      </c>
      <c r="D25" s="49">
        <v>93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51948060</v>
      </c>
      <c r="O25" s="8">
        <f t="shared" si="2"/>
        <v>417556.96774193546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441</v>
      </c>
      <c r="C26" s="49">
        <v>44302785</v>
      </c>
      <c r="D26" s="49">
        <v>110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61958206</v>
      </c>
      <c r="O26" s="8">
        <f t="shared" si="2"/>
        <v>402752.59090909088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442</v>
      </c>
      <c r="C27" s="49">
        <v>41505430</v>
      </c>
      <c r="D27" s="49">
        <v>96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2720000</v>
      </c>
      <c r="L27" s="50"/>
      <c r="M27" s="8">
        <f t="shared" si="0"/>
        <v>20492642</v>
      </c>
      <c r="N27" s="8">
        <f t="shared" si="1"/>
        <v>61998072</v>
      </c>
      <c r="O27" s="8">
        <f t="shared" si="2"/>
        <v>432348.22916666669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443</v>
      </c>
      <c r="C28" s="49">
        <v>43735282</v>
      </c>
      <c r="D28" s="49">
        <v>106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58408650</v>
      </c>
      <c r="O28" s="8">
        <f t="shared" si="2"/>
        <v>412597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444</v>
      </c>
      <c r="C29" s="49">
        <v>47394192</v>
      </c>
      <c r="D29" s="49">
        <v>121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66424388</v>
      </c>
      <c r="O29" s="8">
        <f t="shared" si="2"/>
        <v>391687.53719008266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445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5492877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446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440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441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4551019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442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443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2536000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444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448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445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1028800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446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440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441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442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944973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443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814815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444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1560355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445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985767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446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1714972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440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441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2635200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442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8266438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443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444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445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2262630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446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440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441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753600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442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443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444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2887619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445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446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440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7711141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441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442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502400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443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1352874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444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6860979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445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2136281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446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138889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449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440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441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442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2171200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443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444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4274972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445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446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440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441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442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443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444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445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1288059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446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502400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440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441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442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443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444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1796172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445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446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440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1142400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441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2635430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442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443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259259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444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1820000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445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1004800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446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440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441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502400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442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2216117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443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444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1303222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445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753600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446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440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441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442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2057600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443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1828800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444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445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446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440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441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442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443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753600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444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445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446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440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2194972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441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1141882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442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3930983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443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1028572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444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3622588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445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446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440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441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442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443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444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347223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445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451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446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440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6488365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441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442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443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1061518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444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1028800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445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446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1105452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440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5416324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441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442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1790400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443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6987966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444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1827496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445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3152458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446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440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443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444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445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446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440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441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442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443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2224000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444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445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4044814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446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3016190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440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441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442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443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444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445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446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440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1828800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441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442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443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2560000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444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445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685714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446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440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753600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441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442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2562422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443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753600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444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1028800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445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1828800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446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440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2704990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441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442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3770972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443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444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445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1002519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446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440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441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643000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442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1715200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443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444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445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446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440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1510281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441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442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443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714000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444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445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446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440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2582400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441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2084611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442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443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444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445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446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440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441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1496429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442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1028800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443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444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445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446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440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509259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441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442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443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454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444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445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446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440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441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442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443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444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445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446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440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543000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441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442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443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444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445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446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440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441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1936000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442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2261258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443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444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370370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445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446</v>
      </c>
      <c r="C29" s="49">
        <v>28293572</v>
      </c>
      <c r="D29" s="49">
        <v>70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49864632</v>
      </c>
      <c r="O29" s="8">
        <f t="shared" si="2"/>
        <v>404193.88571428572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440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441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442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443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444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445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446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440</v>
      </c>
      <c r="C6" s="49">
        <v>45107806</v>
      </c>
      <c r="D6" s="49">
        <v>98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687037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58358520</v>
      </c>
      <c r="O6" s="8">
        <f t="shared" ref="O6:O35" si="2">IFERROR(IF(D6&gt;0,C6/D6,""),"")</f>
        <v>460283.73469387757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441</v>
      </c>
      <c r="C7" s="49">
        <v>32694802</v>
      </c>
      <c r="D7" s="49">
        <v>67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324074</v>
      </c>
      <c r="L7" s="50"/>
      <c r="M7" s="8">
        <f t="shared" si="0"/>
        <v>13481512</v>
      </c>
      <c r="N7" s="8">
        <f t="shared" si="1"/>
        <v>46176314</v>
      </c>
      <c r="O7" s="8">
        <f t="shared" si="2"/>
        <v>487982.11940298509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442</v>
      </c>
      <c r="C8" s="49">
        <v>36993477</v>
      </c>
      <c r="D8" s="49">
        <v>89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51393492</v>
      </c>
      <c r="O8" s="8">
        <f t="shared" si="2"/>
        <v>415657.04494382022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443</v>
      </c>
      <c r="C9" s="49">
        <v>36154516</v>
      </c>
      <c r="D9" s="49">
        <v>84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56016029</v>
      </c>
      <c r="O9" s="8">
        <f t="shared" si="2"/>
        <v>430410.90476190473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444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445</v>
      </c>
      <c r="C11" s="49">
        <v>36088690</v>
      </c>
      <c r="D11" s="49">
        <v>83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56464440</v>
      </c>
      <c r="O11" s="8">
        <f t="shared" si="2"/>
        <v>434803.49397590361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446</v>
      </c>
      <c r="C12" s="49">
        <v>26475036</v>
      </c>
      <c r="D12" s="49">
        <v>65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48925253</v>
      </c>
      <c r="O12" s="8">
        <f t="shared" si="2"/>
        <v>407308.24615384615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440</v>
      </c>
      <c r="C13" s="49">
        <v>37366494</v>
      </c>
      <c r="D13" s="49">
        <v>77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53670244</v>
      </c>
      <c r="O13" s="8">
        <f t="shared" si="2"/>
        <v>485279.14285714284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441</v>
      </c>
      <c r="C14" s="49">
        <v>32556501</v>
      </c>
      <c r="D14" s="49">
        <v>78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44130905</v>
      </c>
      <c r="O14" s="8">
        <f t="shared" si="2"/>
        <v>417391.03846153844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442</v>
      </c>
      <c r="C15" s="49">
        <v>35076777</v>
      </c>
      <c r="D15" s="49">
        <v>78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51071278</v>
      </c>
      <c r="O15" s="8">
        <f t="shared" si="2"/>
        <v>449702.26923076925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443</v>
      </c>
      <c r="C16" s="49">
        <v>38982670</v>
      </c>
      <c r="D16" s="49">
        <v>93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54175672</v>
      </c>
      <c r="O16" s="8">
        <f t="shared" si="2"/>
        <v>419168.49462365592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444</v>
      </c>
      <c r="C17" s="49">
        <v>38728177</v>
      </c>
      <c r="D17" s="49">
        <v>91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57931692</v>
      </c>
      <c r="O17" s="8">
        <f t="shared" si="2"/>
        <v>425584.36263736262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445</v>
      </c>
      <c r="C18" s="49">
        <v>31497793</v>
      </c>
      <c r="D18" s="49">
        <v>83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247224</v>
      </c>
      <c r="L18" s="50"/>
      <c r="M18" s="8">
        <f t="shared" si="0"/>
        <v>24697769</v>
      </c>
      <c r="N18" s="8">
        <f t="shared" si="1"/>
        <v>56195562</v>
      </c>
      <c r="O18" s="8">
        <f t="shared" si="2"/>
        <v>379491.48192771082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446</v>
      </c>
      <c r="C19" s="49">
        <v>28744795</v>
      </c>
      <c r="D19" s="49">
        <v>66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1325096</v>
      </c>
      <c r="L19" s="50"/>
      <c r="M19" s="8">
        <f t="shared" si="0"/>
        <v>21950252</v>
      </c>
      <c r="N19" s="8">
        <f t="shared" si="1"/>
        <v>50695047</v>
      </c>
      <c r="O19" s="8">
        <f t="shared" si="2"/>
        <v>435527.19696969696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440</v>
      </c>
      <c r="C20" s="49">
        <v>43171287</v>
      </c>
      <c r="D20" s="49">
        <v>108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56399040</v>
      </c>
      <c r="O20" s="8">
        <f t="shared" si="2"/>
        <v>399734.13888888888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441</v>
      </c>
      <c r="C21" s="49">
        <v>46580087</v>
      </c>
      <c r="D21" s="49">
        <v>111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63611590</v>
      </c>
      <c r="O21" s="8">
        <f t="shared" si="2"/>
        <v>419640.42342342343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442</v>
      </c>
      <c r="C22" s="49">
        <v>43863858</v>
      </c>
      <c r="D22" s="49">
        <v>101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686400</v>
      </c>
      <c r="L22" s="50"/>
      <c r="M22" s="8">
        <f t="shared" si="0"/>
        <v>13988702</v>
      </c>
      <c r="N22" s="8">
        <f t="shared" si="1"/>
        <v>57852560</v>
      </c>
      <c r="O22" s="8">
        <f t="shared" si="2"/>
        <v>434295.62376237626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443</v>
      </c>
      <c r="C23" s="49">
        <v>50451089</v>
      </c>
      <c r="D23" s="49">
        <v>116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68865847</v>
      </c>
      <c r="O23" s="8">
        <f t="shared" si="2"/>
        <v>434923.18103448278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444</v>
      </c>
      <c r="C24" s="49">
        <v>46483315</v>
      </c>
      <c r="D24" s="49">
        <v>104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2124867</v>
      </c>
      <c r="L24" s="50"/>
      <c r="M24" s="8">
        <f t="shared" si="0"/>
        <v>20930249</v>
      </c>
      <c r="N24" s="8">
        <f t="shared" si="1"/>
        <v>67413564</v>
      </c>
      <c r="O24" s="8">
        <f t="shared" si="2"/>
        <v>446954.95192307694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445</v>
      </c>
      <c r="C25" s="49">
        <v>35169565</v>
      </c>
      <c r="D25" s="49">
        <v>81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51255823</v>
      </c>
      <c r="O25" s="8">
        <f t="shared" si="2"/>
        <v>434192.16049382713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446</v>
      </c>
      <c r="C26" s="49">
        <v>36436552</v>
      </c>
      <c r="D26" s="49">
        <v>65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3473370</v>
      </c>
      <c r="L26" s="50"/>
      <c r="M26" s="8">
        <f t="shared" si="0"/>
        <v>15508531</v>
      </c>
      <c r="N26" s="8">
        <f t="shared" si="1"/>
        <v>51945083</v>
      </c>
      <c r="O26" s="8">
        <f t="shared" si="2"/>
        <v>560562.33846153843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440</v>
      </c>
      <c r="C27" s="49">
        <v>45398787</v>
      </c>
      <c r="D27" s="49">
        <v>84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259259</v>
      </c>
      <c r="L27" s="50"/>
      <c r="M27" s="8">
        <f t="shared" si="0"/>
        <v>13034904</v>
      </c>
      <c r="N27" s="8">
        <f t="shared" si="1"/>
        <v>58433691</v>
      </c>
      <c r="O27" s="8">
        <f t="shared" si="2"/>
        <v>540461.75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441</v>
      </c>
      <c r="C28" s="49">
        <v>33422535</v>
      </c>
      <c r="D28" s="49">
        <v>72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45194049</v>
      </c>
      <c r="O28" s="8">
        <f t="shared" si="2"/>
        <v>464201.875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442</v>
      </c>
      <c r="C29" s="49">
        <v>32879297</v>
      </c>
      <c r="D29" s="49">
        <v>84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48110315</v>
      </c>
      <c r="O29" s="8">
        <f t="shared" si="2"/>
        <v>391420.20238095237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443</v>
      </c>
      <c r="C30" s="49">
        <v>39936389</v>
      </c>
      <c r="D30" s="49">
        <v>100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53626387</v>
      </c>
      <c r="O30" s="8">
        <f t="shared" si="2"/>
        <v>399363.89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444</v>
      </c>
      <c r="C31" s="49">
        <v>34725263</v>
      </c>
      <c r="D31" s="49">
        <v>83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55276266</v>
      </c>
      <c r="O31" s="8">
        <f t="shared" si="2"/>
        <v>418376.6626506024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445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446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440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441</v>
      </c>
      <c r="C35" s="49">
        <v>36062654</v>
      </c>
      <c r="D35" s="49">
        <v>84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52430167</v>
      </c>
      <c r="O35" s="8">
        <f t="shared" si="2"/>
        <v>429317.30952380953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85" t="s">
        <v>456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12" ht="18.75" customHeight="1" x14ac:dyDescent="0.2">
      <c r="A2" s="170" t="s">
        <v>457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</row>
    <row r="3" spans="1:12" ht="36" customHeight="1" x14ac:dyDescent="0.2">
      <c r="A3" s="35" t="s">
        <v>458</v>
      </c>
      <c r="B3" s="35" t="s">
        <v>422</v>
      </c>
      <c r="C3" s="35" t="s">
        <v>424</v>
      </c>
      <c r="D3" s="35" t="s">
        <v>425</v>
      </c>
      <c r="E3" s="35" t="s">
        <v>459</v>
      </c>
      <c r="F3" s="36" t="s">
        <v>427</v>
      </c>
      <c r="G3" s="36" t="s">
        <v>460</v>
      </c>
      <c r="H3" s="37" t="s">
        <v>461</v>
      </c>
      <c r="I3" s="40" t="s">
        <v>462</v>
      </c>
      <c r="J3" s="40" t="s">
        <v>463</v>
      </c>
      <c r="K3" s="40" t="s">
        <v>464</v>
      </c>
      <c r="L3" s="39" t="s">
        <v>433</v>
      </c>
    </row>
    <row r="4" spans="1:12" ht="24" customHeight="1" x14ac:dyDescent="0.2">
      <c r="A4" s="53" t="s">
        <v>465</v>
      </c>
      <c r="B4" s="54" t="s">
        <v>466</v>
      </c>
      <c r="C4" s="55">
        <v>245464513</v>
      </c>
      <c r="D4" s="55">
        <v>551</v>
      </c>
      <c r="E4" s="55">
        <v>441193</v>
      </c>
      <c r="F4" s="56">
        <v>562</v>
      </c>
      <c r="G4" s="57">
        <v>436769</v>
      </c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467</v>
      </c>
      <c r="B5" s="63" t="s">
        <v>468</v>
      </c>
      <c r="C5" s="55">
        <v>242953207</v>
      </c>
      <c r="D5" s="55">
        <v>549</v>
      </c>
      <c r="E5" s="55">
        <v>431143</v>
      </c>
      <c r="F5" s="56">
        <v>566</v>
      </c>
      <c r="G5" s="57">
        <v>429245</v>
      </c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469</v>
      </c>
      <c r="B6" s="65" t="s">
        <v>470</v>
      </c>
      <c r="C6" s="55">
        <v>302155753</v>
      </c>
      <c r="D6" s="55">
        <v>668</v>
      </c>
      <c r="E6" s="55">
        <v>441213</v>
      </c>
      <c r="F6" s="56">
        <v>686</v>
      </c>
      <c r="G6" s="57">
        <v>440460</v>
      </c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471</v>
      </c>
      <c r="B7" s="67" t="s">
        <v>472</v>
      </c>
      <c r="C7" s="55">
        <v>246031828</v>
      </c>
      <c r="D7" s="55">
        <v>547</v>
      </c>
      <c r="E7" s="55">
        <v>445341</v>
      </c>
      <c r="F7" s="56">
        <v>558</v>
      </c>
      <c r="G7" s="57">
        <v>440917</v>
      </c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473</v>
      </c>
      <c r="B8" s="69" t="s">
        <v>474</v>
      </c>
      <c r="C8" s="55">
        <v>71662676</v>
      </c>
      <c r="D8" s="55">
        <v>156</v>
      </c>
      <c r="E8" s="55">
        <v>452653</v>
      </c>
      <c r="F8" s="56">
        <v>157</v>
      </c>
      <c r="G8" s="57">
        <v>456450</v>
      </c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475</v>
      </c>
      <c r="B21" s="72" t="s">
        <v>476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90" t="s">
        <v>477</v>
      </c>
      <c r="B23" s="164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89" t="s">
        <v>478</v>
      </c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</row>
    <row r="26" spans="1:20" ht="18.75" customHeight="1" x14ac:dyDescent="0.2"/>
    <row r="27" spans="1:20" ht="42" customHeight="1" x14ac:dyDescent="0.2">
      <c r="A27" s="187" t="s">
        <v>479</v>
      </c>
      <c r="B27" s="164"/>
      <c r="C27" s="164"/>
      <c r="D27" s="164"/>
      <c r="E27" s="164"/>
      <c r="F27" s="164"/>
      <c r="G27" s="164"/>
      <c r="H27" s="164"/>
      <c r="I27" s="164"/>
      <c r="J27" s="164"/>
      <c r="K27" s="164"/>
      <c r="L27" s="188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480</v>
      </c>
      <c r="B28" s="80" t="s">
        <v>481</v>
      </c>
      <c r="C28" s="80" t="s">
        <v>482</v>
      </c>
      <c r="D28" s="80" t="s">
        <v>483</v>
      </c>
      <c r="E28" s="80" t="s">
        <v>484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485</v>
      </c>
      <c r="C29" s="82" t="s">
        <v>486</v>
      </c>
      <c r="D29" s="82" t="s">
        <v>487</v>
      </c>
      <c r="E29" s="83" t="s">
        <v>488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489</v>
      </c>
      <c r="C30" s="82" t="s">
        <v>490</v>
      </c>
      <c r="D30" s="82" t="s">
        <v>487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491</v>
      </c>
      <c r="C31" s="82" t="s">
        <v>492</v>
      </c>
      <c r="D31" s="82" t="s">
        <v>493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494</v>
      </c>
      <c r="C32" s="82" t="s">
        <v>495</v>
      </c>
      <c r="D32" s="82" t="s">
        <v>487</v>
      </c>
      <c r="E32" s="83">
        <v>0.85</v>
      </c>
      <c r="F32" s="84" t="s">
        <v>496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497</v>
      </c>
      <c r="C33" s="82"/>
      <c r="D33" s="82" t="s">
        <v>498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499</v>
      </c>
      <c r="C34" s="82" t="s">
        <v>500</v>
      </c>
      <c r="D34" s="82" t="s">
        <v>501</v>
      </c>
      <c r="E34" s="82" t="s">
        <v>502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87" t="s">
        <v>503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88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480</v>
      </c>
      <c r="B36" s="82" t="s">
        <v>504</v>
      </c>
      <c r="C36" s="82" t="s">
        <v>505</v>
      </c>
      <c r="D36" s="82" t="s">
        <v>506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507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442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502858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443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444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796000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445</v>
      </c>
      <c r="C9" s="49">
        <v>39630033</v>
      </c>
      <c r="D9" s="49">
        <v>98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868800</v>
      </c>
      <c r="L9" s="50"/>
      <c r="M9" s="8">
        <f t="shared" si="0"/>
        <v>16428000</v>
      </c>
      <c r="N9" s="8">
        <f t="shared" si="1"/>
        <v>56058033</v>
      </c>
      <c r="O9" s="8">
        <f t="shared" si="2"/>
        <v>404388.09183673467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446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440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4991000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441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442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443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444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3843081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445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446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440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441</v>
      </c>
      <c r="C19" s="49">
        <v>33894819</v>
      </c>
      <c r="D19" s="49">
        <v>90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53858076</v>
      </c>
      <c r="O19" s="8">
        <f t="shared" si="2"/>
        <v>376609.1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442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443</v>
      </c>
      <c r="C21" s="49">
        <v>39665520</v>
      </c>
      <c r="D21" s="49">
        <v>89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56605262</v>
      </c>
      <c r="O21" s="8">
        <f t="shared" si="2"/>
        <v>445680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444</v>
      </c>
      <c r="C22" s="49">
        <v>47083158</v>
      </c>
      <c r="D22" s="49">
        <v>104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1028800</v>
      </c>
      <c r="L22" s="50"/>
      <c r="M22" s="8">
        <f t="shared" si="0"/>
        <v>16543200</v>
      </c>
      <c r="N22" s="8">
        <f t="shared" si="1"/>
        <v>63626358</v>
      </c>
      <c r="O22" s="8">
        <f t="shared" si="2"/>
        <v>452722.67307692306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445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446</v>
      </c>
      <c r="C24" s="49">
        <v>25358036</v>
      </c>
      <c r="D24" s="49">
        <v>69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42543802</v>
      </c>
      <c r="O24" s="8">
        <f t="shared" si="2"/>
        <v>367507.76811594202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440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2742400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441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1762422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442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443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444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445</v>
      </c>
      <c r="C30" s="49">
        <v>40492710</v>
      </c>
      <c r="D30" s="49">
        <v>92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60000958</v>
      </c>
      <c r="O30" s="8">
        <f t="shared" si="2"/>
        <v>440138.15217391303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446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440</v>
      </c>
      <c r="C32" s="49">
        <v>47824789</v>
      </c>
      <c r="D32" s="49">
        <v>104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58152799</v>
      </c>
      <c r="O32" s="8">
        <f t="shared" si="2"/>
        <v>459853.74038461538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441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324074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442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443</v>
      </c>
      <c r="C35" s="49">
        <v>48866153</v>
      </c>
      <c r="D35" s="49">
        <v>115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64884654</v>
      </c>
      <c r="O35" s="8">
        <f t="shared" si="2"/>
        <v>424923.06956521742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444</v>
      </c>
      <c r="C36" s="49">
        <v>54839066</v>
      </c>
      <c r="D36" s="49">
        <v>111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75101317</v>
      </c>
      <c r="O36" s="8">
        <f t="shared" si="2"/>
        <v>494045.63963963964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85" t="s">
        <v>508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12" ht="18.75" customHeight="1" x14ac:dyDescent="0.2">
      <c r="A2" s="170" t="s">
        <v>457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</row>
    <row r="3" spans="1:12" ht="36" customHeight="1" x14ac:dyDescent="0.2">
      <c r="A3" s="35" t="s">
        <v>458</v>
      </c>
      <c r="B3" s="35" t="s">
        <v>422</v>
      </c>
      <c r="C3" s="35" t="s">
        <v>424</v>
      </c>
      <c r="D3" s="35" t="s">
        <v>425</v>
      </c>
      <c r="E3" s="35" t="s">
        <v>459</v>
      </c>
      <c r="F3" s="36" t="s">
        <v>427</v>
      </c>
      <c r="G3" s="36" t="s">
        <v>460</v>
      </c>
      <c r="H3" s="37" t="s">
        <v>461</v>
      </c>
      <c r="I3" s="40" t="s">
        <v>462</v>
      </c>
      <c r="J3" s="40" t="s">
        <v>463</v>
      </c>
      <c r="K3" s="40" t="s">
        <v>464</v>
      </c>
      <c r="L3" s="39" t="s">
        <v>433</v>
      </c>
    </row>
    <row r="4" spans="1:12" ht="24" customHeight="1" x14ac:dyDescent="0.2">
      <c r="A4" s="53" t="s">
        <v>465</v>
      </c>
      <c r="B4" s="54" t="s">
        <v>509</v>
      </c>
      <c r="C4" s="55">
        <v>196650098</v>
      </c>
      <c r="D4" s="55">
        <f>IFERROR(SUM('📅 DAILY T7'!D6:D10),0)</f>
        <v>467</v>
      </c>
      <c r="E4" s="55">
        <f>IFERROR(SUM('📅 DAILY T7'!C6:C10)/SUM('📅 DAILY T7'!D6:D10),"")</f>
        <v>421092.28693790152</v>
      </c>
      <c r="F4" s="56">
        <v>467</v>
      </c>
      <c r="G4" s="57">
        <v>421092</v>
      </c>
      <c r="H4" s="58">
        <f>IFERROR(SUM('📅 DAILY T7'!M6:M10),0)</f>
        <v>89379044</v>
      </c>
      <c r="I4" s="59">
        <f>IFERROR(SUM('📅 DAILY T7'!N6:N10),0)</f>
        <v>286029142</v>
      </c>
      <c r="J4" s="60">
        <f>IFERROR(SUM('📅 DAILY T7'!C6:C10)/1277560078,"")</f>
        <v>0.15392630169522251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467</v>
      </c>
      <c r="B5" s="63" t="s">
        <v>510</v>
      </c>
      <c r="C5" s="55"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v>613</v>
      </c>
      <c r="G5" s="57">
        <v>409784</v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0.35054927256422924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469</v>
      </c>
      <c r="B6" s="65" t="s">
        <v>511</v>
      </c>
      <c r="C6" s="55">
        <v>267588753</v>
      </c>
      <c r="D6" s="55">
        <f>IFERROR(SUM('📅 DAILY T7'!D18:D24),0)</f>
        <v>634</v>
      </c>
      <c r="E6" s="55">
        <f>IFERROR(SUM('📅 DAILY T7'!C18:C24)/SUM('📅 DAILY T7'!D18:D24),"")</f>
        <v>422064.27917981072</v>
      </c>
      <c r="F6" s="56">
        <v>634</v>
      </c>
      <c r="G6" s="57">
        <v>422064</v>
      </c>
      <c r="H6" s="58">
        <f>IFERROR(SUM('📅 DAILY T7'!M18:M24),0)</f>
        <v>115945783</v>
      </c>
      <c r="I6" s="59">
        <f>IFERROR(SUM('📅 DAILY T7'!N18:N24),0)</f>
        <v>383534536</v>
      </c>
      <c r="J6" s="60">
        <f>IFERROR(SUM('📅 DAILY T7'!C6:C24)/1277560078,"")</f>
        <v>0.56000224280646316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471</v>
      </c>
      <c r="B7" s="67" t="s">
        <v>512</v>
      </c>
      <c r="C7" s="55">
        <v>268507227</v>
      </c>
      <c r="D7" s="55">
        <f>IFERROR(SUM('📅 DAILY T7'!D25:D31),0)</f>
        <v>637</v>
      </c>
      <c r="E7" s="55">
        <f>IFERROR(SUM('📅 DAILY T7'!C25:C31)/SUM('📅 DAILY T7'!D25:D31),"")</f>
        <v>421518.40973312402</v>
      </c>
      <c r="F7" s="56">
        <v>637</v>
      </c>
      <c r="G7" s="57">
        <v>421518</v>
      </c>
      <c r="H7" s="58">
        <f>IFERROR(SUM('📅 DAILY T7'!M25:M31),0)</f>
        <v>121943093</v>
      </c>
      <c r="I7" s="59">
        <f>IFERROR(SUM('📅 DAILY T7'!N25:N31),0)</f>
        <v>390450320</v>
      </c>
      <c r="J7" s="60">
        <f>IFERROR(SUM('📅 DAILY T7'!C6:C31)/1277560078,"")</f>
        <v>0.77017414127431738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473</v>
      </c>
      <c r="B8" s="69" t="s">
        <v>513</v>
      </c>
      <c r="C8" s="55">
        <v>212595090</v>
      </c>
      <c r="D8" s="55">
        <f>IFERROR(SUM('📅 DAILY T7'!D32:D36),0)</f>
        <v>483</v>
      </c>
      <c r="E8" s="55">
        <f>IFERROR(SUM('📅 DAILY T7'!C32:C36)/SUM('📅 DAILY T7'!D32:D36),"")</f>
        <v>440155.46583850932</v>
      </c>
      <c r="F8" s="56">
        <v>483</v>
      </c>
      <c r="G8" s="57">
        <v>440155</v>
      </c>
      <c r="H8" s="58">
        <f>IFERROR(SUM('📅 DAILY T7'!M32:M36),0)</f>
        <v>78581774</v>
      </c>
      <c r="I8" s="59">
        <f>IFERROR(SUM('📅 DAILY T7'!N32:N36),0)</f>
        <v>291176864</v>
      </c>
      <c r="J8" s="60">
        <f>IFERROR(SUM('📅 DAILY T7'!C6:C36)/1277560078,"")</f>
        <v>0.93658125876409859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475</v>
      </c>
      <c r="B21" s="72" t="s">
        <v>514</v>
      </c>
      <c r="C21" s="73">
        <f>IFERROR(SUM('📅 DAILY T7'!C6:C36),0)</f>
        <v>1196538826</v>
      </c>
      <c r="D21" s="73">
        <f>IFERROR(SUM('📅 DAILY T7'!D6:D36),0)</f>
        <v>2834</v>
      </c>
      <c r="E21" s="73">
        <f>IFERROR(SUM('📅 DAILY T7'!C6:C36)/SUM('📅 DAILY T7'!D6:D36),"")</f>
        <v>422208.47776993649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1726622262</v>
      </c>
      <c r="J21" s="75">
        <f>IFERROR(SUM('📅 DAILY T7'!C6:C36)/1277560078,"")</f>
        <v>0.93658125876409859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90" t="s">
        <v>477</v>
      </c>
      <c r="B23" s="164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89" t="s">
        <v>478</v>
      </c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515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445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446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440</v>
      </c>
      <c r="C8" s="49">
        <v>37052313</v>
      </c>
      <c r="D8" s="49">
        <v>86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1950459</v>
      </c>
      <c r="L8" s="50"/>
      <c r="M8" s="8">
        <f t="shared" si="0"/>
        <v>13454755</v>
      </c>
      <c r="N8" s="8">
        <f t="shared" si="1"/>
        <v>50507068</v>
      </c>
      <c r="O8" s="8">
        <f t="shared" si="2"/>
        <v>430840.84883720928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441</v>
      </c>
      <c r="C9" s="49">
        <v>28938033</v>
      </c>
      <c r="D9" s="49">
        <v>70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41516630</v>
      </c>
      <c r="O9" s="8">
        <f t="shared" si="2"/>
        <v>413400.47142857144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442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443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444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445</v>
      </c>
      <c r="C13" s="49">
        <v>45051371</v>
      </c>
      <c r="D13" s="49">
        <v>108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518519</v>
      </c>
      <c r="L13" s="50"/>
      <c r="M13" s="8">
        <f t="shared" si="0"/>
        <v>16660504</v>
      </c>
      <c r="N13" s="8">
        <f t="shared" si="1"/>
        <v>61711875</v>
      </c>
      <c r="O13" s="8">
        <f t="shared" si="2"/>
        <v>417142.3240740741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446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440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441</v>
      </c>
      <c r="C16" s="49">
        <v>36640061</v>
      </c>
      <c r="D16" s="49">
        <v>79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48569073</v>
      </c>
      <c r="O16" s="8">
        <f t="shared" si="2"/>
        <v>463798.24050632911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442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443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444</v>
      </c>
      <c r="C19" s="49">
        <v>38339657</v>
      </c>
      <c r="D19" s="49">
        <v>91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1200800</v>
      </c>
      <c r="L19" s="50"/>
      <c r="M19" s="8">
        <f t="shared" si="0"/>
        <v>13226001</v>
      </c>
      <c r="N19" s="8">
        <f t="shared" si="1"/>
        <v>51565658</v>
      </c>
      <c r="O19" s="8">
        <f t="shared" si="2"/>
        <v>421314.91208791209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445</v>
      </c>
      <c r="C20" s="49">
        <v>39029110</v>
      </c>
      <c r="D20" s="49">
        <v>85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58619873</v>
      </c>
      <c r="O20" s="8">
        <f t="shared" si="2"/>
        <v>459166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446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440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441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442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443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444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502400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445</v>
      </c>
      <c r="C27" s="49">
        <v>34205287</v>
      </c>
      <c r="D27" s="49">
        <v>80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49406537</v>
      </c>
      <c r="O27" s="8">
        <f t="shared" si="2"/>
        <v>427566.08750000002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446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440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583333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441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2663200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442</v>
      </c>
      <c r="C31" s="49">
        <v>44617794</v>
      </c>
      <c r="D31" s="49">
        <v>88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56095784</v>
      </c>
      <c r="O31" s="8">
        <f t="shared" si="2"/>
        <v>507020.38636363635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443</v>
      </c>
      <c r="C32" s="49">
        <v>42471798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59318810</v>
      </c>
      <c r="O32" s="8">
        <f t="shared" si="2"/>
        <v>433385.69387755101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444</v>
      </c>
      <c r="C33" s="49">
        <v>44191773</v>
      </c>
      <c r="D33" s="49">
        <v>95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6026400</v>
      </c>
      <c r="L33" s="50"/>
      <c r="M33" s="8">
        <f t="shared" si="0"/>
        <v>20283506</v>
      </c>
      <c r="N33" s="8">
        <f t="shared" si="1"/>
        <v>64475279</v>
      </c>
      <c r="O33" s="8">
        <f t="shared" si="2"/>
        <v>465176.55789473682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445</v>
      </c>
      <c r="C34" s="49">
        <v>41420809</v>
      </c>
      <c r="D34" s="49">
        <v>92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60032815</v>
      </c>
      <c r="O34" s="8">
        <f t="shared" si="2"/>
        <v>450226.1847826087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446</v>
      </c>
      <c r="C35" s="49">
        <v>24342789</v>
      </c>
      <c r="D35" s="49">
        <v>65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39310790</v>
      </c>
      <c r="O35" s="8">
        <f t="shared" si="2"/>
        <v>374504.44615384616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440</v>
      </c>
      <c r="C36" s="49">
        <v>36495023</v>
      </c>
      <c r="D36" s="49">
        <v>81</v>
      </c>
      <c r="E36" s="49"/>
      <c r="F36" s="49"/>
      <c r="G36" s="49">
        <v>10592003</v>
      </c>
      <c r="H36" s="49">
        <v>2593000</v>
      </c>
      <c r="I36" s="49">
        <v>3687000</v>
      </c>
      <c r="J36" s="49">
        <v>50</v>
      </c>
      <c r="K36" s="49">
        <v>3345659</v>
      </c>
      <c r="L36" s="50"/>
      <c r="M36" s="8">
        <f t="shared" si="0"/>
        <v>16872003</v>
      </c>
      <c r="N36" s="8">
        <f t="shared" si="1"/>
        <v>53367026</v>
      </c>
      <c r="O36" s="8">
        <f t="shared" si="2"/>
        <v>450555.83950617287</v>
      </c>
      <c r="P36" s="8">
        <f t="shared" si="3"/>
        <v>337440.06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85" t="s">
        <v>516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12" ht="18.75" customHeight="1" x14ac:dyDescent="0.2">
      <c r="A2" s="170" t="s">
        <v>457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</row>
    <row r="3" spans="1:12" ht="36" customHeight="1" x14ac:dyDescent="0.2">
      <c r="A3" s="35" t="s">
        <v>458</v>
      </c>
      <c r="B3" s="35" t="s">
        <v>422</v>
      </c>
      <c r="C3" s="35" t="s">
        <v>424</v>
      </c>
      <c r="D3" s="35" t="s">
        <v>425</v>
      </c>
      <c r="E3" s="35" t="s">
        <v>459</v>
      </c>
      <c r="F3" s="36" t="s">
        <v>427</v>
      </c>
      <c r="G3" s="36" t="s">
        <v>460</v>
      </c>
      <c r="H3" s="37" t="s">
        <v>461</v>
      </c>
      <c r="I3" s="40" t="s">
        <v>462</v>
      </c>
      <c r="J3" s="40" t="s">
        <v>463</v>
      </c>
      <c r="K3" s="40" t="s">
        <v>464</v>
      </c>
      <c r="L3" s="39" t="s">
        <v>433</v>
      </c>
    </row>
    <row r="4" spans="1:12" ht="24" customHeight="1" x14ac:dyDescent="0.2">
      <c r="A4" s="53" t="s">
        <v>465</v>
      </c>
      <c r="B4" s="54" t="s">
        <v>517</v>
      </c>
      <c r="C4" s="55">
        <v>76451078</v>
      </c>
      <c r="D4" s="55">
        <f>IFERROR(SUM('📅 DAILY T8'!D6:D12),0)</f>
        <v>614</v>
      </c>
      <c r="E4" s="55">
        <f>IFERROR(SUM('📅 DAILY T8'!C6:C12)/SUM('📅 DAILY T8'!D6:D12),"")</f>
        <v>413374.32247557002</v>
      </c>
      <c r="F4" s="56">
        <v>187</v>
      </c>
      <c r="G4" s="57">
        <v>408829</v>
      </c>
      <c r="H4" s="58">
        <f>IFERROR(SUM('📅 DAILY T8'!M6:M12),0)</f>
        <v>126826387</v>
      </c>
      <c r="I4" s="59">
        <f>IFERROR(SUM('📅 DAILY T8'!N6:N12),0)</f>
        <v>380638221</v>
      </c>
      <c r="J4" s="60">
        <f>IFERROR(SUM('📅 DAILY T8'!C6:C12)/1292244677,"")</f>
        <v>0.19641159179640405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467</v>
      </c>
      <c r="B5" s="63" t="s">
        <v>518</v>
      </c>
      <c r="C5" s="55">
        <v>251987902</v>
      </c>
      <c r="D5" s="55">
        <f>IFERROR(SUM('📅 DAILY T8'!D13:D19),0)</f>
        <v>633</v>
      </c>
      <c r="E5" s="55">
        <f>IFERROR(SUM('📅 DAILY T8'!C13:C19)/SUM('📅 DAILY T8'!D13:D19),"")</f>
        <v>423776.57661927328</v>
      </c>
      <c r="F5" s="56">
        <v>613</v>
      </c>
      <c r="G5" s="57">
        <v>411073</v>
      </c>
      <c r="H5" s="58">
        <f>IFERROR(SUM('📅 DAILY T8'!M13:M19),0)</f>
        <v>97036411</v>
      </c>
      <c r="I5" s="59">
        <f>IFERROR(SUM('📅 DAILY T8'!N13:N19),0)</f>
        <v>365286984</v>
      </c>
      <c r="J5" s="60">
        <f>IFERROR(SUM('📅 DAILY T8'!C6:C19)/1292244677,"")</f>
        <v>0.4039965621773654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469</v>
      </c>
      <c r="B6" s="65" t="s">
        <v>519</v>
      </c>
      <c r="C6" s="55">
        <v>261267060</v>
      </c>
      <c r="D6" s="55">
        <f>IFERROR(SUM('📅 DAILY T8'!D20:D26),0)</f>
        <v>561</v>
      </c>
      <c r="E6" s="55">
        <f>IFERROR(SUM('📅 DAILY T8'!C20:C26)/SUM('📅 DAILY T8'!D20:D26),"")</f>
        <v>453130.10338680929</v>
      </c>
      <c r="F6" s="56">
        <v>599</v>
      </c>
      <c r="G6" s="57">
        <v>436172</v>
      </c>
      <c r="H6" s="58">
        <f>IFERROR(SUM('📅 DAILY T8'!M20:M26),0)</f>
        <v>96636035</v>
      </c>
      <c r="I6" s="59">
        <f>IFERROR(SUM('📅 DAILY T8'!N20:N26),0)</f>
        <v>350842023</v>
      </c>
      <c r="J6" s="60">
        <f>IFERROR(SUM('📅 DAILY T8'!C6:C26)/1292244677,"")</f>
        <v>0.60071316896591098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471</v>
      </c>
      <c r="B7" s="67" t="s">
        <v>520</v>
      </c>
      <c r="C7" s="55">
        <v>258341940</v>
      </c>
      <c r="D7" s="55">
        <f>IFERROR(SUM('📅 DAILY T8'!D27:D33),0)</f>
        <v>598</v>
      </c>
      <c r="E7" s="55">
        <f>IFERROR(SUM('📅 DAILY T8'!C27:C33)/SUM('📅 DAILY T8'!D27:D33),"")</f>
        <v>458969.32274247491</v>
      </c>
      <c r="F7" s="56">
        <v>566</v>
      </c>
      <c r="G7" s="57">
        <v>456434</v>
      </c>
      <c r="H7" s="58">
        <f>IFERROR(SUM('📅 DAILY T8'!M27:M33),0)</f>
        <v>107106961</v>
      </c>
      <c r="I7" s="59">
        <f>IFERROR(SUM('📅 DAILY T8'!N27:N33),0)</f>
        <v>381570616</v>
      </c>
      <c r="J7" s="60">
        <f>IFERROR(SUM('📅 DAILY T8'!C6:C33)/1292244677,"")</f>
        <v>0.8131061158164864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473</v>
      </c>
      <c r="B8" s="69" t="s">
        <v>521</v>
      </c>
      <c r="C8" s="55">
        <v>268447668</v>
      </c>
      <c r="D8" s="55">
        <f>IFERROR(SUM('📅 DAILY T8'!D28:D34),0)</f>
        <v>610</v>
      </c>
      <c r="E8" s="55"/>
      <c r="F8" s="56">
        <v>598</v>
      </c>
      <c r="G8" s="57">
        <v>448909</v>
      </c>
      <c r="H8" s="58">
        <f>IFERROR(SUM('📅 DAILY T8'!M28:M34),0)</f>
        <v>110517717</v>
      </c>
      <c r="I8" s="59">
        <f>IFERROR(SUM('📅 DAILY T8'!N28:N34),0)</f>
        <v>392196894</v>
      </c>
      <c r="J8" s="60">
        <f>IFERROR(SUM('📅 DAILY T8'!C7:C34)/1292244677,"")</f>
        <v>0.81478402406296002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522</v>
      </c>
      <c r="B9" s="109">
        <v>46265</v>
      </c>
      <c r="C9" s="55">
        <v>36495023</v>
      </c>
      <c r="D9" s="55">
        <f>IFERROR(SUM('📅 DAILY T8'!D34:D36),0)</f>
        <v>238</v>
      </c>
      <c r="E9" s="55">
        <f>IFERROR(SUM('📅 DAILY T8'!C34:C36)/SUM('📅 DAILY T8'!D34:D36),"")</f>
        <v>429658.07142857142</v>
      </c>
      <c r="F9" s="56">
        <v>81</v>
      </c>
      <c r="G9" s="57">
        <v>450555</v>
      </c>
      <c r="H9" s="58">
        <f>IFERROR(SUM('📅 DAILY T8'!M34:M36),0)</f>
        <v>50452010</v>
      </c>
      <c r="I9" s="59">
        <f>IFERROR(SUM('📅 DAILY T8'!N34:N36),0)</f>
        <v>152710631</v>
      </c>
      <c r="J9" s="60">
        <f>IFERROR(SUM('📅 DAILY T8'!C6:C36)/1292244677,"")</f>
        <v>0.8922386692872406</v>
      </c>
      <c r="K9" s="60">
        <f>IFERROR(SUM('📅 DAILY T8'!M6:M36)/730208327,"")</f>
        <v>0.65468686992938108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475</v>
      </c>
      <c r="B22" s="72" t="s">
        <v>523</v>
      </c>
      <c r="C22" s="73">
        <f>IFERROR(SUM('📅 DAILY T8'!C6:C36),0)</f>
        <v>1152990671</v>
      </c>
      <c r="D22" s="73">
        <f>IFERROR(SUM('📅 DAILY T8'!D6:D36),0)</f>
        <v>2644</v>
      </c>
      <c r="E22" s="73">
        <f>IFERROR(SUM('📅 DAILY T8'!C6:C36)/SUM('📅 DAILY T8'!D6:D36),"")</f>
        <v>436078.16603630863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478057804</v>
      </c>
      <c r="I22" s="73">
        <f>IFERROR(SUM('📅 DAILY T8'!N6:N36),0)</f>
        <v>1631048475</v>
      </c>
      <c r="J22" s="75">
        <f>IFERROR(SUM('📅 DAILY T8'!C6:C36)/1292244677,"")</f>
        <v>0.8922386692872406</v>
      </c>
      <c r="K22" s="75">
        <f>IFERROR(SUM('📅 DAILY T8'!M6:M36)/730208327,"")</f>
        <v>0.65468686992938108</v>
      </c>
      <c r="L22" s="70"/>
    </row>
    <row r="23" spans="1:12" ht="18.75" customHeight="1" x14ac:dyDescent="0.2"/>
    <row r="24" spans="1:12" ht="21.75" customHeight="1" x14ac:dyDescent="0.2">
      <c r="A24" s="190" t="s">
        <v>477</v>
      </c>
      <c r="B24" s="164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89" t="s">
        <v>478</v>
      </c>
      <c r="B26" s="164"/>
      <c r="C26" s="164"/>
      <c r="D26" s="164"/>
      <c r="E26" s="164"/>
      <c r="F26" s="164"/>
      <c r="G26" s="164"/>
      <c r="H26" s="164"/>
      <c r="I26" s="164"/>
      <c r="J26" s="164"/>
      <c r="K26" s="164"/>
      <c r="L26" s="164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524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441</v>
      </c>
      <c r="C6" s="49">
        <v>20495514</v>
      </c>
      <c r="D6" s="49">
        <v>51</v>
      </c>
      <c r="E6" s="49"/>
      <c r="F6" s="49"/>
      <c r="G6" s="49">
        <v>11075023</v>
      </c>
      <c r="H6" s="49">
        <v>2705001</v>
      </c>
      <c r="I6" s="49">
        <v>1394500</v>
      </c>
      <c r="J6" s="49">
        <v>34</v>
      </c>
      <c r="K6" s="49">
        <v>280000</v>
      </c>
      <c r="L6" s="50"/>
      <c r="M6" s="8">
        <f t="shared" ref="M6:M35" si="0">IF(SUM(G6:I6)&gt;0,SUM(G6:I6),"")</f>
        <v>15174524</v>
      </c>
      <c r="N6" s="8">
        <f t="shared" ref="N6:N35" si="1">IF(N(C6)+N(M6)&gt;0,N(C6)+N(M6),"")</f>
        <v>35670038</v>
      </c>
      <c r="O6" s="8">
        <f t="shared" ref="O6:O35" si="2">IFERROR(IF(D6&gt;0,C6/D6,""),"")</f>
        <v>401872.82352941175</v>
      </c>
      <c r="P6" s="8">
        <f t="shared" ref="P6:P35" si="3">IFERROR(IF(J6&gt;0,M6/J6,""),"")</f>
        <v>446309.5294117647</v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442</v>
      </c>
      <c r="C7" s="49">
        <v>14806283</v>
      </c>
      <c r="D7" s="49">
        <v>40</v>
      </c>
      <c r="E7" s="49"/>
      <c r="F7" s="49"/>
      <c r="G7" s="49">
        <v>3345002</v>
      </c>
      <c r="H7" s="49">
        <v>3983001</v>
      </c>
      <c r="I7" s="49">
        <v>2156000</v>
      </c>
      <c r="J7" s="49">
        <v>32</v>
      </c>
      <c r="K7" s="49">
        <v>502400</v>
      </c>
      <c r="L7" s="50"/>
      <c r="M7" s="8">
        <f t="shared" si="0"/>
        <v>9484003</v>
      </c>
      <c r="N7" s="8">
        <f t="shared" si="1"/>
        <v>24290286</v>
      </c>
      <c r="O7" s="8">
        <f t="shared" si="2"/>
        <v>370157.07500000001</v>
      </c>
      <c r="P7" s="8">
        <f t="shared" si="3"/>
        <v>296375.09375</v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443</v>
      </c>
      <c r="C8" s="49">
        <v>28089291</v>
      </c>
      <c r="D8" s="49">
        <v>70</v>
      </c>
      <c r="E8" s="49"/>
      <c r="F8" s="49"/>
      <c r="G8" s="49">
        <v>11121246</v>
      </c>
      <c r="H8" s="49">
        <v>2138500</v>
      </c>
      <c r="I8" s="49">
        <v>3173502</v>
      </c>
      <c r="J8" s="49">
        <v>48</v>
      </c>
      <c r="K8" s="49"/>
      <c r="L8" s="50"/>
      <c r="M8" s="8">
        <f t="shared" si="0"/>
        <v>16433248</v>
      </c>
      <c r="N8" s="8">
        <f t="shared" si="1"/>
        <v>44522539</v>
      </c>
      <c r="O8" s="8">
        <f t="shared" si="2"/>
        <v>401275.58571428573</v>
      </c>
      <c r="P8" s="8">
        <f t="shared" si="3"/>
        <v>342359.33333333331</v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444</v>
      </c>
      <c r="C9" s="49">
        <v>53997297</v>
      </c>
      <c r="D9" s="49">
        <v>102</v>
      </c>
      <c r="E9" s="49"/>
      <c r="F9" s="49"/>
      <c r="G9" s="49">
        <v>13345018</v>
      </c>
      <c r="H9" s="49">
        <v>6985000</v>
      </c>
      <c r="I9" s="49">
        <v>4598003</v>
      </c>
      <c r="J9" s="49">
        <v>76</v>
      </c>
      <c r="K9" s="49">
        <v>3828100</v>
      </c>
      <c r="L9" s="50"/>
      <c r="M9" s="8">
        <f t="shared" si="0"/>
        <v>24928021</v>
      </c>
      <c r="N9" s="8">
        <f t="shared" si="1"/>
        <v>78925318</v>
      </c>
      <c r="O9" s="8">
        <f t="shared" si="2"/>
        <v>529385.26470588241</v>
      </c>
      <c r="P9" s="8">
        <f t="shared" si="3"/>
        <v>328000.2763157895</v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445</v>
      </c>
      <c r="C10" s="49">
        <v>33364781</v>
      </c>
      <c r="D10" s="49">
        <v>97</v>
      </c>
      <c r="E10" s="49"/>
      <c r="F10" s="49"/>
      <c r="G10" s="49">
        <v>7316499</v>
      </c>
      <c r="H10" s="49">
        <v>10553998</v>
      </c>
      <c r="I10" s="49">
        <v>4043002</v>
      </c>
      <c r="J10" s="49">
        <v>54</v>
      </c>
      <c r="K10" s="49"/>
      <c r="L10" s="50"/>
      <c r="M10" s="8">
        <f t="shared" si="0"/>
        <v>21913499</v>
      </c>
      <c r="N10" s="8">
        <f t="shared" si="1"/>
        <v>55278280</v>
      </c>
      <c r="O10" s="8">
        <f t="shared" si="2"/>
        <v>343966.81443298969</v>
      </c>
      <c r="P10" s="8">
        <f t="shared" si="3"/>
        <v>405805.53703703702</v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446</v>
      </c>
      <c r="C11" s="49">
        <v>29886021</v>
      </c>
      <c r="D11" s="49">
        <v>75</v>
      </c>
      <c r="E11" s="49"/>
      <c r="F11" s="49"/>
      <c r="G11" s="49">
        <v>9747999</v>
      </c>
      <c r="H11" s="49">
        <v>6598002</v>
      </c>
      <c r="I11" s="49">
        <v>2870500</v>
      </c>
      <c r="J11" s="49">
        <v>63</v>
      </c>
      <c r="K11" s="49">
        <v>280000</v>
      </c>
      <c r="L11" s="50"/>
      <c r="M11" s="8">
        <f t="shared" si="0"/>
        <v>19216501</v>
      </c>
      <c r="N11" s="8">
        <f t="shared" si="1"/>
        <v>49102522</v>
      </c>
      <c r="O11" s="8">
        <f t="shared" si="2"/>
        <v>398480.28</v>
      </c>
      <c r="P11" s="8">
        <f t="shared" si="3"/>
        <v>305023.82539682538</v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440</v>
      </c>
      <c r="C12" s="49">
        <v>35421885</v>
      </c>
      <c r="D12" s="49">
        <v>83</v>
      </c>
      <c r="E12" s="49"/>
      <c r="F12" s="49"/>
      <c r="G12" s="49">
        <v>6254004</v>
      </c>
      <c r="H12" s="49">
        <v>3830501</v>
      </c>
      <c r="I12" s="49">
        <v>3769255</v>
      </c>
      <c r="J12" s="49">
        <v>35</v>
      </c>
      <c r="K12" s="49">
        <v>1028800</v>
      </c>
      <c r="L12" s="50"/>
      <c r="M12" s="8">
        <f t="shared" si="0"/>
        <v>13853760</v>
      </c>
      <c r="N12" s="8">
        <f t="shared" si="1"/>
        <v>49275645</v>
      </c>
      <c r="O12" s="8">
        <f t="shared" si="2"/>
        <v>426769.69879518071</v>
      </c>
      <c r="P12" s="8">
        <f t="shared" si="3"/>
        <v>395821.71428571426</v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441</v>
      </c>
      <c r="C13" s="49">
        <v>36832306</v>
      </c>
      <c r="D13" s="49">
        <v>85</v>
      </c>
      <c r="E13" s="49"/>
      <c r="F13" s="49"/>
      <c r="G13" s="49">
        <v>8823251</v>
      </c>
      <c r="H13" s="49">
        <v>3697004</v>
      </c>
      <c r="I13" s="49">
        <v>2528498</v>
      </c>
      <c r="J13" s="49">
        <v>48</v>
      </c>
      <c r="K13" s="49">
        <v>449999</v>
      </c>
      <c r="L13" s="50"/>
      <c r="M13" s="8">
        <f t="shared" si="0"/>
        <v>15048753</v>
      </c>
      <c r="N13" s="8">
        <f t="shared" si="1"/>
        <v>51881059</v>
      </c>
      <c r="O13" s="8">
        <f t="shared" si="2"/>
        <v>433321.24705882353</v>
      </c>
      <c r="P13" s="8">
        <f t="shared" si="3"/>
        <v>313515.6875</v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442</v>
      </c>
      <c r="C14" s="49">
        <v>43825044</v>
      </c>
      <c r="D14" s="49">
        <v>77</v>
      </c>
      <c r="E14" s="49"/>
      <c r="F14" s="49"/>
      <c r="G14" s="49">
        <v>4526000</v>
      </c>
      <c r="H14" s="49">
        <v>3158503</v>
      </c>
      <c r="I14" s="49">
        <v>2158001</v>
      </c>
      <c r="J14" s="49">
        <v>35</v>
      </c>
      <c r="K14" s="49"/>
      <c r="L14" s="50"/>
      <c r="M14" s="8">
        <f t="shared" si="0"/>
        <v>9842504</v>
      </c>
      <c r="N14" s="8">
        <f t="shared" si="1"/>
        <v>53667548</v>
      </c>
      <c r="O14" s="8">
        <f t="shared" si="2"/>
        <v>569156.41558441555</v>
      </c>
      <c r="P14" s="8">
        <f t="shared" si="3"/>
        <v>281214.40000000002</v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443</v>
      </c>
      <c r="C15" s="49">
        <v>27762575</v>
      </c>
      <c r="D15" s="49">
        <v>71</v>
      </c>
      <c r="E15" s="49"/>
      <c r="F15" s="49"/>
      <c r="G15" s="49">
        <v>2183500</v>
      </c>
      <c r="H15" s="49">
        <v>5738502</v>
      </c>
      <c r="I15" s="49">
        <v>2332749</v>
      </c>
      <c r="J15" s="49">
        <v>35</v>
      </c>
      <c r="K15" s="49">
        <v>1727207</v>
      </c>
      <c r="L15" s="50"/>
      <c r="M15" s="8">
        <f t="shared" si="0"/>
        <v>10254751</v>
      </c>
      <c r="N15" s="8">
        <f t="shared" si="1"/>
        <v>38017326</v>
      </c>
      <c r="O15" s="8">
        <f t="shared" si="2"/>
        <v>391022.18309859157</v>
      </c>
      <c r="P15" s="8">
        <f t="shared" si="3"/>
        <v>292992.88571428572</v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444</v>
      </c>
      <c r="C16" s="49">
        <v>39021786</v>
      </c>
      <c r="D16" s="49">
        <v>89</v>
      </c>
      <c r="E16" s="49"/>
      <c r="F16" s="49"/>
      <c r="G16" s="49">
        <v>10870752</v>
      </c>
      <c r="H16" s="49">
        <v>3791499</v>
      </c>
      <c r="I16" s="49">
        <v>5493702</v>
      </c>
      <c r="J16" s="49">
        <v>59</v>
      </c>
      <c r="K16" s="49">
        <v>364700</v>
      </c>
      <c r="L16" s="50"/>
      <c r="M16" s="8">
        <f t="shared" si="0"/>
        <v>20155953</v>
      </c>
      <c r="N16" s="8">
        <f t="shared" si="1"/>
        <v>59177739</v>
      </c>
      <c r="O16" s="8">
        <f t="shared" si="2"/>
        <v>438447.03370786516</v>
      </c>
      <c r="P16" s="8">
        <f t="shared" si="3"/>
        <v>341626.32203389832</v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445</v>
      </c>
      <c r="C17" s="49">
        <v>38556033</v>
      </c>
      <c r="D17" s="49">
        <v>90</v>
      </c>
      <c r="E17" s="49"/>
      <c r="F17" s="49"/>
      <c r="G17" s="49">
        <v>9599257</v>
      </c>
      <c r="H17" s="49">
        <v>3314753</v>
      </c>
      <c r="I17" s="49">
        <v>4445351</v>
      </c>
      <c r="J17" s="49">
        <v>62</v>
      </c>
      <c r="K17" s="49"/>
      <c r="L17" s="50"/>
      <c r="M17" s="8">
        <f t="shared" si="0"/>
        <v>17359361</v>
      </c>
      <c r="N17" s="8">
        <f t="shared" si="1"/>
        <v>55915394</v>
      </c>
      <c r="O17" s="8">
        <f t="shared" si="2"/>
        <v>428400.36666666664</v>
      </c>
      <c r="P17" s="8">
        <f t="shared" si="3"/>
        <v>279989.69354838709</v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446</v>
      </c>
      <c r="C18" s="49">
        <v>26490027</v>
      </c>
      <c r="D18" s="49">
        <v>67</v>
      </c>
      <c r="E18" s="49"/>
      <c r="F18" s="49"/>
      <c r="G18" s="49">
        <v>10090499</v>
      </c>
      <c r="H18" s="49">
        <v>4896999</v>
      </c>
      <c r="I18" s="49">
        <v>4483500</v>
      </c>
      <c r="J18" s="49">
        <v>60</v>
      </c>
      <c r="K18" s="49">
        <v>1188800</v>
      </c>
      <c r="L18" s="50"/>
      <c r="M18" s="8">
        <f t="shared" si="0"/>
        <v>19470998</v>
      </c>
      <c r="N18" s="8">
        <f t="shared" si="1"/>
        <v>45961025</v>
      </c>
      <c r="O18" s="8">
        <f t="shared" si="2"/>
        <v>395373.53731343284</v>
      </c>
      <c r="P18" s="8">
        <f t="shared" si="3"/>
        <v>324516.63333333336</v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440</v>
      </c>
      <c r="C19" s="49">
        <v>31189531</v>
      </c>
      <c r="D19" s="49">
        <v>73</v>
      </c>
      <c r="E19" s="49"/>
      <c r="F19" s="49"/>
      <c r="G19" s="49">
        <v>12817011</v>
      </c>
      <c r="H19" s="49">
        <v>3634005</v>
      </c>
      <c r="I19" s="49">
        <v>5753493</v>
      </c>
      <c r="J19" s="49">
        <v>63</v>
      </c>
      <c r="K19" s="49"/>
      <c r="L19" s="50"/>
      <c r="M19" s="8">
        <f t="shared" si="0"/>
        <v>22204509</v>
      </c>
      <c r="N19" s="8">
        <f t="shared" si="1"/>
        <v>53394040</v>
      </c>
      <c r="O19" s="8">
        <f t="shared" si="2"/>
        <v>427253.84931506851</v>
      </c>
      <c r="P19" s="8">
        <f t="shared" si="3"/>
        <v>352452.52380952379</v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441</v>
      </c>
      <c r="C20" s="49">
        <v>30568282</v>
      </c>
      <c r="D20" s="49">
        <v>75</v>
      </c>
      <c r="E20" s="49"/>
      <c r="F20" s="49"/>
      <c r="G20" s="49">
        <v>5637999</v>
      </c>
      <c r="H20" s="49">
        <v>2679502</v>
      </c>
      <c r="I20" s="49">
        <v>935000</v>
      </c>
      <c r="J20" s="49">
        <v>27</v>
      </c>
      <c r="K20" s="49"/>
      <c r="L20" s="50"/>
      <c r="M20" s="8">
        <f t="shared" si="0"/>
        <v>9252501</v>
      </c>
      <c r="N20" s="8">
        <f t="shared" si="1"/>
        <v>39820783</v>
      </c>
      <c r="O20" s="8">
        <f t="shared" si="2"/>
        <v>407577.09333333332</v>
      </c>
      <c r="P20" s="8">
        <f t="shared" si="3"/>
        <v>342685.22222222225</v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442</v>
      </c>
      <c r="C21" s="49">
        <v>50475789</v>
      </c>
      <c r="D21" s="49">
        <v>86</v>
      </c>
      <c r="E21" s="49"/>
      <c r="F21" s="49"/>
      <c r="G21" s="49">
        <v>5925850</v>
      </c>
      <c r="H21" s="49">
        <v>2915000</v>
      </c>
      <c r="I21" s="49">
        <v>2107499</v>
      </c>
      <c r="J21" s="49">
        <v>38</v>
      </c>
      <c r="K21" s="49">
        <v>1820000</v>
      </c>
      <c r="L21" s="50"/>
      <c r="M21" s="8">
        <f t="shared" si="0"/>
        <v>10948349</v>
      </c>
      <c r="N21" s="8">
        <f t="shared" si="1"/>
        <v>61424138</v>
      </c>
      <c r="O21" s="8">
        <f t="shared" si="2"/>
        <v>586927.77906976745</v>
      </c>
      <c r="P21" s="8">
        <f t="shared" si="3"/>
        <v>288114.44736842107</v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443</v>
      </c>
      <c r="C22" s="49">
        <v>34573226</v>
      </c>
      <c r="D22" s="49">
        <v>83</v>
      </c>
      <c r="E22" s="49"/>
      <c r="F22" s="49"/>
      <c r="G22" s="49">
        <v>8734253</v>
      </c>
      <c r="H22" s="49">
        <v>3045001</v>
      </c>
      <c r="I22" s="49">
        <v>3692004</v>
      </c>
      <c r="J22" s="49">
        <v>54</v>
      </c>
      <c r="K22" s="49">
        <v>231481</v>
      </c>
      <c r="L22" s="50"/>
      <c r="M22" s="8">
        <f t="shared" si="0"/>
        <v>15471258</v>
      </c>
      <c r="N22" s="8">
        <f t="shared" si="1"/>
        <v>50044484</v>
      </c>
      <c r="O22" s="8">
        <f t="shared" si="2"/>
        <v>416544.89156626508</v>
      </c>
      <c r="P22" s="8">
        <f t="shared" si="3"/>
        <v>286504.77777777775</v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444</v>
      </c>
      <c r="C23" s="49">
        <v>38179278</v>
      </c>
      <c r="D23" s="49">
        <v>94</v>
      </c>
      <c r="E23" s="49"/>
      <c r="F23" s="49"/>
      <c r="G23" s="49">
        <v>8010006</v>
      </c>
      <c r="H23" s="49">
        <v>6313252</v>
      </c>
      <c r="I23" s="49">
        <v>2536847</v>
      </c>
      <c r="J23" s="49">
        <v>57</v>
      </c>
      <c r="K23" s="49">
        <v>280000</v>
      </c>
      <c r="L23" s="50"/>
      <c r="M23" s="8">
        <f t="shared" si="0"/>
        <v>16860105</v>
      </c>
      <c r="N23" s="8">
        <f t="shared" si="1"/>
        <v>55039383</v>
      </c>
      <c r="O23" s="8">
        <f t="shared" si="2"/>
        <v>406162.5319148936</v>
      </c>
      <c r="P23" s="8">
        <f t="shared" si="3"/>
        <v>295791.31578947371</v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445</v>
      </c>
      <c r="C24" s="49">
        <v>37986291</v>
      </c>
      <c r="D24" s="49">
        <v>98</v>
      </c>
      <c r="E24" s="49"/>
      <c r="F24" s="49"/>
      <c r="G24" s="49">
        <v>9667497</v>
      </c>
      <c r="H24" s="49">
        <v>5098502</v>
      </c>
      <c r="I24" s="49">
        <v>4775499</v>
      </c>
      <c r="J24" s="49">
        <v>67</v>
      </c>
      <c r="K24" s="49"/>
      <c r="L24" s="50"/>
      <c r="M24" s="8">
        <f t="shared" si="0"/>
        <v>19541498</v>
      </c>
      <c r="N24" s="8">
        <f t="shared" si="1"/>
        <v>57527789</v>
      </c>
      <c r="O24" s="8">
        <f t="shared" si="2"/>
        <v>387615.21428571426</v>
      </c>
      <c r="P24" s="8">
        <f t="shared" si="3"/>
        <v>291664.14925373136</v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446</v>
      </c>
      <c r="C25" s="49">
        <v>23959777</v>
      </c>
      <c r="D25" s="49">
        <v>61</v>
      </c>
      <c r="E25" s="49"/>
      <c r="F25" s="49"/>
      <c r="G25" s="49">
        <v>6665001</v>
      </c>
      <c r="H25" s="49">
        <v>2439502</v>
      </c>
      <c r="I25" s="49">
        <v>4378877</v>
      </c>
      <c r="J25" s="49">
        <v>49</v>
      </c>
      <c r="K25" s="49"/>
      <c r="L25" s="50"/>
      <c r="M25" s="8">
        <f t="shared" si="0"/>
        <v>13483380</v>
      </c>
      <c r="N25" s="8">
        <f t="shared" si="1"/>
        <v>37443157</v>
      </c>
      <c r="O25" s="8">
        <f t="shared" si="2"/>
        <v>392783.2295081967</v>
      </c>
      <c r="P25" s="8">
        <f t="shared" si="3"/>
        <v>275171.02040816325</v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440</v>
      </c>
      <c r="C26" s="49">
        <v>31744375</v>
      </c>
      <c r="D26" s="49">
        <v>76</v>
      </c>
      <c r="E26" s="49"/>
      <c r="F26" s="49"/>
      <c r="G26" s="49">
        <v>5214808</v>
      </c>
      <c r="H26" s="49">
        <v>3531997</v>
      </c>
      <c r="I26" s="49">
        <v>3603998</v>
      </c>
      <c r="J26" s="49">
        <v>37</v>
      </c>
      <c r="K26" s="49">
        <v>14700</v>
      </c>
      <c r="L26" s="50"/>
      <c r="M26" s="8">
        <f t="shared" si="0"/>
        <v>12350803</v>
      </c>
      <c r="N26" s="8">
        <f t="shared" si="1"/>
        <v>44095178</v>
      </c>
      <c r="O26" s="8">
        <f t="shared" si="2"/>
        <v>417689.14473684208</v>
      </c>
      <c r="P26" s="8">
        <f t="shared" si="3"/>
        <v>333805.48648648651</v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441</v>
      </c>
      <c r="C27" s="49">
        <v>36027824</v>
      </c>
      <c r="D27" s="49">
        <v>93</v>
      </c>
      <c r="E27" s="49"/>
      <c r="F27" s="49"/>
      <c r="G27" s="49">
        <v>3521500</v>
      </c>
      <c r="H27" s="49">
        <v>1125002</v>
      </c>
      <c r="I27" s="49">
        <v>645000</v>
      </c>
      <c r="J27" s="49">
        <v>20</v>
      </c>
      <c r="K27" s="49">
        <v>502400</v>
      </c>
      <c r="L27" s="50"/>
      <c r="M27" s="8">
        <f t="shared" si="0"/>
        <v>5291502</v>
      </c>
      <c r="N27" s="8">
        <f t="shared" si="1"/>
        <v>41319326</v>
      </c>
      <c r="O27" s="8">
        <f t="shared" si="2"/>
        <v>387395.95698924729</v>
      </c>
      <c r="P27" s="8">
        <f t="shared" si="3"/>
        <v>264575.09999999998</v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442</v>
      </c>
      <c r="C28" s="49">
        <v>33193661</v>
      </c>
      <c r="D28" s="49">
        <v>76</v>
      </c>
      <c r="E28" s="49"/>
      <c r="F28" s="49"/>
      <c r="G28" s="49">
        <v>4569498</v>
      </c>
      <c r="H28" s="49">
        <v>2523001</v>
      </c>
      <c r="I28" s="49">
        <v>2478502</v>
      </c>
      <c r="J28" s="49">
        <v>33</v>
      </c>
      <c r="K28" s="49">
        <v>2628696</v>
      </c>
      <c r="L28" s="50"/>
      <c r="M28" s="8">
        <f t="shared" si="0"/>
        <v>9571001</v>
      </c>
      <c r="N28" s="8">
        <f t="shared" si="1"/>
        <v>42764662</v>
      </c>
      <c r="O28" s="8">
        <f t="shared" si="2"/>
        <v>436758.69736842107</v>
      </c>
      <c r="P28" s="8">
        <f t="shared" si="3"/>
        <v>290030.33333333331</v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443</v>
      </c>
      <c r="C29" s="49">
        <v>28528630</v>
      </c>
      <c r="D29" s="49">
        <v>74</v>
      </c>
      <c r="E29" s="49"/>
      <c r="F29" s="49"/>
      <c r="G29" s="49">
        <v>9246499</v>
      </c>
      <c r="H29" s="49">
        <v>5211900</v>
      </c>
      <c r="I29" s="49">
        <v>3829999</v>
      </c>
      <c r="J29" s="49">
        <v>49</v>
      </c>
      <c r="K29" s="49">
        <v>719999</v>
      </c>
      <c r="L29" s="50"/>
      <c r="M29" s="8">
        <f t="shared" si="0"/>
        <v>18288398</v>
      </c>
      <c r="N29" s="8">
        <f t="shared" si="1"/>
        <v>46817028</v>
      </c>
      <c r="O29" s="8">
        <f t="shared" si="2"/>
        <v>385522.02702702704</v>
      </c>
      <c r="P29" s="8">
        <f t="shared" si="3"/>
        <v>373232.61224489799</v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444</v>
      </c>
      <c r="C30" s="49">
        <v>29080521</v>
      </c>
      <c r="D30" s="49">
        <v>75</v>
      </c>
      <c r="E30" s="49"/>
      <c r="F30" s="49"/>
      <c r="G30" s="49">
        <v>7425502</v>
      </c>
      <c r="H30" s="49">
        <v>4797503</v>
      </c>
      <c r="I30" s="49">
        <v>5179503</v>
      </c>
      <c r="J30" s="49">
        <v>61</v>
      </c>
      <c r="K30" s="49"/>
      <c r="L30" s="50"/>
      <c r="M30" s="8">
        <f t="shared" si="0"/>
        <v>17402508</v>
      </c>
      <c r="N30" s="8">
        <f t="shared" si="1"/>
        <v>46483029</v>
      </c>
      <c r="O30" s="8">
        <f t="shared" si="2"/>
        <v>387740.28</v>
      </c>
      <c r="P30" s="8">
        <f t="shared" si="3"/>
        <v>285287.01639344264</v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445</v>
      </c>
      <c r="C31" s="49">
        <v>34696992</v>
      </c>
      <c r="D31" s="49">
        <v>83</v>
      </c>
      <c r="E31" s="49"/>
      <c r="F31" s="49"/>
      <c r="G31" s="49">
        <v>9942762</v>
      </c>
      <c r="H31" s="49">
        <v>4676300</v>
      </c>
      <c r="I31" s="49">
        <v>3529497</v>
      </c>
      <c r="J31" s="49">
        <v>63</v>
      </c>
      <c r="K31" s="49">
        <v>1104000</v>
      </c>
      <c r="L31" s="50"/>
      <c r="M31" s="8">
        <f t="shared" si="0"/>
        <v>18148559</v>
      </c>
      <c r="N31" s="8">
        <f t="shared" si="1"/>
        <v>52845551</v>
      </c>
      <c r="O31" s="8">
        <f t="shared" si="2"/>
        <v>418036.04819277109</v>
      </c>
      <c r="P31" s="8">
        <f t="shared" si="3"/>
        <v>288072.36507936509</v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446</v>
      </c>
      <c r="C32" s="49">
        <v>25823132</v>
      </c>
      <c r="D32" s="49">
        <v>67</v>
      </c>
      <c r="E32" s="49"/>
      <c r="F32" s="49"/>
      <c r="G32" s="49">
        <v>9085999</v>
      </c>
      <c r="H32" s="49">
        <v>3328500</v>
      </c>
      <c r="I32" s="49">
        <v>3209251</v>
      </c>
      <c r="J32" s="49">
        <v>38</v>
      </c>
      <c r="K32" s="49"/>
      <c r="L32" s="50"/>
      <c r="M32" s="8">
        <f t="shared" si="0"/>
        <v>15623750</v>
      </c>
      <c r="N32" s="8">
        <f t="shared" si="1"/>
        <v>41446882</v>
      </c>
      <c r="O32" s="8">
        <f t="shared" si="2"/>
        <v>385419.88059701491</v>
      </c>
      <c r="P32" s="8">
        <f t="shared" si="3"/>
        <v>411151.31578947371</v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440</v>
      </c>
      <c r="C33" s="49">
        <v>34152775</v>
      </c>
      <c r="D33" s="49">
        <v>83</v>
      </c>
      <c r="E33" s="49"/>
      <c r="F33" s="49"/>
      <c r="G33" s="49">
        <v>4527753</v>
      </c>
      <c r="H33" s="49">
        <v>2619498</v>
      </c>
      <c r="I33" s="49">
        <v>2659198</v>
      </c>
      <c r="J33" s="49">
        <v>32</v>
      </c>
      <c r="K33" s="49">
        <v>1473244</v>
      </c>
      <c r="L33" s="50"/>
      <c r="M33" s="8">
        <f t="shared" si="0"/>
        <v>9806449</v>
      </c>
      <c r="N33" s="8">
        <f t="shared" si="1"/>
        <v>43959224</v>
      </c>
      <c r="O33" s="8">
        <f t="shared" si="2"/>
        <v>411479.21686746989</v>
      </c>
      <c r="P33" s="8">
        <f t="shared" si="3"/>
        <v>306451.53125</v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441</v>
      </c>
      <c r="C34" s="49">
        <v>29914184</v>
      </c>
      <c r="D34" s="49">
        <v>80</v>
      </c>
      <c r="E34" s="49"/>
      <c r="F34" s="49"/>
      <c r="G34" s="49">
        <v>6549504</v>
      </c>
      <c r="H34" s="49">
        <v>1578501</v>
      </c>
      <c r="I34" s="49">
        <v>3759502</v>
      </c>
      <c r="J34" s="49">
        <v>39</v>
      </c>
      <c r="K34" s="49">
        <v>280000</v>
      </c>
      <c r="L34" s="50"/>
      <c r="M34" s="8">
        <f t="shared" si="0"/>
        <v>11887507</v>
      </c>
      <c r="N34" s="8">
        <f t="shared" si="1"/>
        <v>41801691</v>
      </c>
      <c r="O34" s="8">
        <f t="shared" si="2"/>
        <v>373927.3</v>
      </c>
      <c r="P34" s="8">
        <f t="shared" si="3"/>
        <v>304807.87179487181</v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442</v>
      </c>
      <c r="C35" s="49">
        <v>37839882</v>
      </c>
      <c r="D35" s="49">
        <v>79</v>
      </c>
      <c r="E35" s="49"/>
      <c r="F35" s="49"/>
      <c r="G35" s="49">
        <v>5363501</v>
      </c>
      <c r="H35" s="49">
        <v>3408499</v>
      </c>
      <c r="I35" s="49">
        <v>2591999</v>
      </c>
      <c r="J35" s="49">
        <v>33</v>
      </c>
      <c r="K35" s="49">
        <v>1352874</v>
      </c>
      <c r="L35" s="50"/>
      <c r="M35" s="8">
        <f t="shared" si="0"/>
        <v>11363999</v>
      </c>
      <c r="N35" s="8">
        <f t="shared" si="1"/>
        <v>49203881</v>
      </c>
      <c r="O35" s="8">
        <f t="shared" si="2"/>
        <v>478985.84810126584</v>
      </c>
      <c r="P35" s="8">
        <f t="shared" si="3"/>
        <v>344363.60606060608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525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530</v>
      </c>
      <c r="C4" s="124">
        <v>180639187</v>
      </c>
      <c r="D4" s="125">
        <v>201819517</v>
      </c>
      <c r="E4" s="126">
        <f>IFERROR(IF(D4&gt;0,C4/D4,""),"")</f>
        <v>0.89505311322293968</v>
      </c>
      <c r="F4" s="124">
        <v>435</v>
      </c>
      <c r="G4" s="124">
        <v>415262</v>
      </c>
      <c r="H4" s="127">
        <f>IFERROR(SUM('📅 DAILY T9'!F6:F11),0)</f>
        <v>0</v>
      </c>
      <c r="I4" s="128" t="str">
        <f>IFERROR(IF(H4&gt;0,C4/H4,""),"")</f>
        <v/>
      </c>
      <c r="J4" s="129">
        <v>107149796</v>
      </c>
      <c r="K4" s="125">
        <v>108339991</v>
      </c>
      <c r="L4" s="126">
        <f>IFERROR(IF(K4&gt;0,J4/K4,""),"")</f>
        <v>0.98901425974827706</v>
      </c>
      <c r="M4" s="130">
        <v>287788983</v>
      </c>
      <c r="N4" s="131"/>
    </row>
    <row r="5" spans="1:14" ht="18" customHeight="1" x14ac:dyDescent="0.2">
      <c r="A5" s="122" t="s">
        <v>467</v>
      </c>
      <c r="B5" s="123" t="s">
        <v>531</v>
      </c>
      <c r="C5" s="124">
        <v>247909656</v>
      </c>
      <c r="D5" s="125">
        <v>235456103</v>
      </c>
      <c r="E5" s="126">
        <f>IFERROR(IF(D5&gt;0,C5/D5,""),"")</f>
        <v>1.0528911879595664</v>
      </c>
      <c r="F5" s="124">
        <v>562</v>
      </c>
      <c r="G5" s="124">
        <v>441120</v>
      </c>
      <c r="H5" s="127">
        <f>IFERROR(SUM('📅 DAILY T9'!F12:F18),0)</f>
        <v>0</v>
      </c>
      <c r="I5" s="128" t="str">
        <f>IFERROR(IF(H5&gt;0,C5/H5,""),"")</f>
        <v/>
      </c>
      <c r="J5" s="129">
        <v>105986080</v>
      </c>
      <c r="K5" s="125">
        <v>126396657</v>
      </c>
      <c r="L5" s="126">
        <f>IFERROR(IF(K5&gt;0,J5/K5,""),"")</f>
        <v>0.83851964534156942</v>
      </c>
      <c r="M5" s="130">
        <v>353895736</v>
      </c>
      <c r="N5" s="131"/>
    </row>
    <row r="6" spans="1:14" ht="18" customHeight="1" x14ac:dyDescent="0.2">
      <c r="A6" s="122" t="s">
        <v>469</v>
      </c>
      <c r="B6" s="123" t="s">
        <v>532</v>
      </c>
      <c r="C6" s="124">
        <v>246932174</v>
      </c>
      <c r="D6" s="125">
        <v>235456103</v>
      </c>
      <c r="E6" s="126">
        <f>IFERROR(IF(D6&gt;0,C6/D6,""),"")</f>
        <v>1.0487397474679176</v>
      </c>
      <c r="F6" s="124">
        <v>570</v>
      </c>
      <c r="G6" s="124">
        <v>433214</v>
      </c>
      <c r="H6" s="127">
        <f>IFERROR(SUM('📅 DAILY T9'!F19:F25),0)</f>
        <v>0</v>
      </c>
      <c r="I6" s="128" t="str">
        <f>IFERROR(IF(H6&gt;0,C6/H6,""),"")</f>
        <v/>
      </c>
      <c r="J6" s="129">
        <v>107761600</v>
      </c>
      <c r="K6" s="125">
        <v>126396657</v>
      </c>
      <c r="L6" s="126">
        <f>IFERROR(IF(K6&gt;0,J6/K6,""),"")</f>
        <v>0.85256685230211426</v>
      </c>
      <c r="M6" s="130">
        <v>354693774</v>
      </c>
      <c r="N6" s="131"/>
    </row>
    <row r="7" spans="1:14" ht="18" customHeight="1" x14ac:dyDescent="0.2">
      <c r="A7" s="122" t="s">
        <v>471</v>
      </c>
      <c r="B7" s="123" t="s">
        <v>533</v>
      </c>
      <c r="C7" s="124">
        <v>219095135</v>
      </c>
      <c r="D7" s="125">
        <v>235456103</v>
      </c>
      <c r="E7" s="126">
        <f>IFERROR(IF(D7&gt;0,C7/D7,""),"")</f>
        <v>0.93051372297621016</v>
      </c>
      <c r="F7" s="124">
        <v>544</v>
      </c>
      <c r="G7" s="124">
        <v>402748</v>
      </c>
      <c r="H7" s="127">
        <f>IFERROR(SUM('📅 DAILY T9'!F26:F32),0)</f>
        <v>0</v>
      </c>
      <c r="I7" s="128" t="str">
        <f>IFERROR(IF(H7&gt;0,C7/H7,""),"")</f>
        <v/>
      </c>
      <c r="J7" s="129">
        <v>96676521</v>
      </c>
      <c r="K7" s="125">
        <v>126396657</v>
      </c>
      <c r="L7" s="126">
        <f>IFERROR(IF(K7&gt;0,J7/K7,""),"")</f>
        <v>0.76486612300197143</v>
      </c>
      <c r="M7" s="130">
        <v>315771656</v>
      </c>
      <c r="N7" s="131"/>
    </row>
    <row r="8" spans="1:14" ht="18" customHeight="1" x14ac:dyDescent="0.2">
      <c r="A8" s="122" t="s">
        <v>473</v>
      </c>
      <c r="B8" s="123" t="s">
        <v>534</v>
      </c>
      <c r="C8" s="124">
        <v>101906841</v>
      </c>
      <c r="D8" s="125">
        <v>100909758</v>
      </c>
      <c r="E8" s="126">
        <f>IFERROR(IF(D8&gt;0,C8/D8,""),"")</f>
        <v>1.009880937381695</v>
      </c>
      <c r="F8" s="124">
        <v>242</v>
      </c>
      <c r="G8" s="124">
        <v>421102</v>
      </c>
      <c r="H8" s="127">
        <f>IFERROR(SUM('📅 DAILY T9'!F33:F35),0)</f>
        <v>0</v>
      </c>
      <c r="I8" s="128" t="str">
        <f>IFERROR(IF(H8&gt;0,C8/H8,""),"")</f>
        <v/>
      </c>
      <c r="J8" s="129">
        <v>33057955</v>
      </c>
      <c r="K8" s="125">
        <v>54169996</v>
      </c>
      <c r="L8" s="126">
        <f>IFERROR(IF(K8&gt;0,J8/K8,""),"")</f>
        <v>0.61026319809955309</v>
      </c>
      <c r="M8" s="130">
        <v>134964796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535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443</v>
      </c>
      <c r="C6" s="49">
        <v>34078267</v>
      </c>
      <c r="D6" s="49">
        <v>76</v>
      </c>
      <c r="E6" s="49"/>
      <c r="F6" s="49"/>
      <c r="G6" s="49">
        <v>7560509</v>
      </c>
      <c r="H6" s="49">
        <v>5368006</v>
      </c>
      <c r="I6" s="49">
        <v>1675000</v>
      </c>
      <c r="J6" s="49">
        <v>42</v>
      </c>
      <c r="K6" s="49"/>
      <c r="L6" s="50"/>
      <c r="M6" s="8">
        <f t="shared" ref="M6:M36" si="0">IF(SUM(G6:I6)&gt;0,SUM(G6:I6),"")</f>
        <v>14603515</v>
      </c>
      <c r="N6" s="8">
        <f t="shared" ref="N6:N36" si="1">IF(N(C6)+N(M6)&gt;0,N(C6)+N(M6),"")</f>
        <v>48681782</v>
      </c>
      <c r="O6" s="8">
        <f t="shared" ref="O6:O36" si="2">IFERROR(IF(D6&gt;0,C6/D6,""),"")</f>
        <v>448398.25</v>
      </c>
      <c r="P6" s="8">
        <f t="shared" ref="P6:P36" si="3">IFERROR(IF(J6&gt;0,M6/J6,""),"")</f>
        <v>347702.73809523811</v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444</v>
      </c>
      <c r="C7" s="49">
        <v>43627068</v>
      </c>
      <c r="D7" s="49">
        <v>93</v>
      </c>
      <c r="E7" s="49"/>
      <c r="F7" s="49"/>
      <c r="G7" s="49">
        <v>9048018</v>
      </c>
      <c r="H7" s="49">
        <v>6984504</v>
      </c>
      <c r="I7" s="49">
        <v>2132502</v>
      </c>
      <c r="J7" s="49">
        <v>70</v>
      </c>
      <c r="K7" s="49">
        <v>166667</v>
      </c>
      <c r="L7" s="50"/>
      <c r="M7" s="8">
        <f t="shared" si="0"/>
        <v>18165024</v>
      </c>
      <c r="N7" s="8">
        <f t="shared" si="1"/>
        <v>61792092</v>
      </c>
      <c r="O7" s="8">
        <f t="shared" si="2"/>
        <v>469108.25806451612</v>
      </c>
      <c r="P7" s="8">
        <f t="shared" si="3"/>
        <v>259500.34285714285</v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445</v>
      </c>
      <c r="C8" s="49">
        <v>34302836</v>
      </c>
      <c r="D8" s="49">
        <v>82</v>
      </c>
      <c r="E8" s="49"/>
      <c r="F8" s="49"/>
      <c r="G8" s="49">
        <v>13842763</v>
      </c>
      <c r="H8" s="49">
        <v>5741008</v>
      </c>
      <c r="I8" s="49">
        <v>4314504</v>
      </c>
      <c r="J8" s="49">
        <v>85</v>
      </c>
      <c r="K8" s="49"/>
      <c r="L8" s="50"/>
      <c r="M8" s="8">
        <f t="shared" si="0"/>
        <v>23898275</v>
      </c>
      <c r="N8" s="8">
        <f t="shared" si="1"/>
        <v>58201111</v>
      </c>
      <c r="O8" s="8">
        <f t="shared" si="2"/>
        <v>418327.26829268294</v>
      </c>
      <c r="P8" s="8">
        <f t="shared" si="3"/>
        <v>281156.17647058825</v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446</v>
      </c>
      <c r="C9" s="49">
        <v>24213532</v>
      </c>
      <c r="D9" s="49">
        <v>68</v>
      </c>
      <c r="E9" s="49"/>
      <c r="F9" s="49"/>
      <c r="G9" s="49">
        <v>4715007</v>
      </c>
      <c r="H9" s="49">
        <v>6497765</v>
      </c>
      <c r="I9" s="49">
        <v>4143501</v>
      </c>
      <c r="J9" s="49">
        <v>46</v>
      </c>
      <c r="K9" s="49"/>
      <c r="L9" s="50"/>
      <c r="M9" s="8">
        <f t="shared" si="0"/>
        <v>15356273</v>
      </c>
      <c r="N9" s="8">
        <f t="shared" si="1"/>
        <v>39569805</v>
      </c>
      <c r="O9" s="8">
        <f t="shared" si="2"/>
        <v>356081.35294117645</v>
      </c>
      <c r="P9" s="8">
        <f t="shared" si="3"/>
        <v>333832.02173913043</v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440</v>
      </c>
      <c r="C10" s="49">
        <v>33048842</v>
      </c>
      <c r="D10" s="49">
        <v>71</v>
      </c>
      <c r="E10" s="49"/>
      <c r="F10" s="49"/>
      <c r="G10" s="49">
        <v>4277761</v>
      </c>
      <c r="H10" s="49">
        <v>2097755</v>
      </c>
      <c r="I10" s="49">
        <v>1198502</v>
      </c>
      <c r="J10" s="49">
        <v>28</v>
      </c>
      <c r="K10" s="49">
        <v>259259</v>
      </c>
      <c r="L10" s="50"/>
      <c r="M10" s="8">
        <f t="shared" si="0"/>
        <v>7574018</v>
      </c>
      <c r="N10" s="8">
        <f t="shared" si="1"/>
        <v>40622860</v>
      </c>
      <c r="O10" s="8">
        <f t="shared" si="2"/>
        <v>465476.64788732392</v>
      </c>
      <c r="P10" s="8">
        <f t="shared" si="3"/>
        <v>270500.64285714284</v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441</v>
      </c>
      <c r="C11" s="49">
        <v>38297904</v>
      </c>
      <c r="D11" s="49">
        <v>78</v>
      </c>
      <c r="E11" s="49"/>
      <c r="F11" s="49"/>
      <c r="G11" s="49">
        <v>6167251</v>
      </c>
      <c r="H11" s="49">
        <v>4311000</v>
      </c>
      <c r="I11" s="49">
        <v>1099999</v>
      </c>
      <c r="J11" s="49">
        <v>36</v>
      </c>
      <c r="K11" s="49"/>
      <c r="L11" s="50"/>
      <c r="M11" s="8">
        <f t="shared" si="0"/>
        <v>11578250</v>
      </c>
      <c r="N11" s="8">
        <f t="shared" si="1"/>
        <v>49876154</v>
      </c>
      <c r="O11" s="8">
        <f t="shared" si="2"/>
        <v>490998.76923076925</v>
      </c>
      <c r="P11" s="8">
        <f t="shared" si="3"/>
        <v>321618.05555555556</v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442</v>
      </c>
      <c r="C12" s="49">
        <v>42540587</v>
      </c>
      <c r="D12" s="49">
        <v>81</v>
      </c>
      <c r="E12" s="49"/>
      <c r="F12" s="49"/>
      <c r="G12" s="49">
        <v>3298004</v>
      </c>
      <c r="H12" s="49">
        <v>6782002</v>
      </c>
      <c r="I12" s="49">
        <v>1610001</v>
      </c>
      <c r="J12" s="49">
        <v>34</v>
      </c>
      <c r="K12" s="49">
        <v>220000</v>
      </c>
      <c r="L12" s="50"/>
      <c r="M12" s="8">
        <f t="shared" si="0"/>
        <v>11690007</v>
      </c>
      <c r="N12" s="8">
        <f t="shared" si="1"/>
        <v>54230594</v>
      </c>
      <c r="O12" s="8">
        <f t="shared" si="2"/>
        <v>525192.43209876539</v>
      </c>
      <c r="P12" s="8">
        <f t="shared" si="3"/>
        <v>343823.73529411765</v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443</v>
      </c>
      <c r="C13" s="49">
        <v>41167328</v>
      </c>
      <c r="D13" s="49">
        <v>95</v>
      </c>
      <c r="E13" s="49"/>
      <c r="F13" s="49"/>
      <c r="G13" s="49">
        <v>5688263</v>
      </c>
      <c r="H13" s="49">
        <v>6049515</v>
      </c>
      <c r="I13" s="49">
        <v>4828508</v>
      </c>
      <c r="J13" s="49">
        <v>55</v>
      </c>
      <c r="K13" s="49">
        <v>139000</v>
      </c>
      <c r="L13" s="50"/>
      <c r="M13" s="8">
        <f t="shared" si="0"/>
        <v>16566286</v>
      </c>
      <c r="N13" s="8">
        <f t="shared" si="1"/>
        <v>57733614</v>
      </c>
      <c r="O13" s="8">
        <f t="shared" si="2"/>
        <v>433340.2947368421</v>
      </c>
      <c r="P13" s="8">
        <f t="shared" si="3"/>
        <v>301205.2</v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444</v>
      </c>
      <c r="C14" s="49">
        <v>37362723</v>
      </c>
      <c r="D14" s="49">
        <v>91</v>
      </c>
      <c r="E14" s="49"/>
      <c r="F14" s="49"/>
      <c r="G14" s="49">
        <v>6401513</v>
      </c>
      <c r="H14" s="49">
        <v>4053524</v>
      </c>
      <c r="I14" s="49">
        <v>3274003</v>
      </c>
      <c r="J14" s="49">
        <v>51</v>
      </c>
      <c r="K14" s="49">
        <v>4768200</v>
      </c>
      <c r="L14" s="50"/>
      <c r="M14" s="8">
        <f t="shared" si="0"/>
        <v>13729040</v>
      </c>
      <c r="N14" s="8">
        <f t="shared" si="1"/>
        <v>51091763</v>
      </c>
      <c r="O14" s="8">
        <f t="shared" si="2"/>
        <v>410579.37362637365</v>
      </c>
      <c r="P14" s="8">
        <f t="shared" si="3"/>
        <v>269196.86274509801</v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445</v>
      </c>
      <c r="C15" s="49">
        <v>31372564</v>
      </c>
      <c r="D15" s="49">
        <v>82</v>
      </c>
      <c r="E15" s="49"/>
      <c r="F15" s="49"/>
      <c r="G15" s="49">
        <v>13708513</v>
      </c>
      <c r="H15" s="49">
        <v>6222010</v>
      </c>
      <c r="I15" s="49">
        <v>3223002</v>
      </c>
      <c r="J15" s="49">
        <v>85</v>
      </c>
      <c r="K15" s="49">
        <v>119000</v>
      </c>
      <c r="L15" s="50"/>
      <c r="M15" s="8">
        <f t="shared" si="0"/>
        <v>23153525</v>
      </c>
      <c r="N15" s="8">
        <f t="shared" si="1"/>
        <v>54526089</v>
      </c>
      <c r="O15" s="8">
        <f t="shared" si="2"/>
        <v>382592.24390243902</v>
      </c>
      <c r="P15" s="8">
        <f t="shared" si="3"/>
        <v>272394.4117647059</v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446</v>
      </c>
      <c r="C16" s="49">
        <v>25200856</v>
      </c>
      <c r="D16" s="49">
        <v>56</v>
      </c>
      <c r="E16" s="49"/>
      <c r="F16" s="49"/>
      <c r="G16" s="49">
        <v>8617008</v>
      </c>
      <c r="H16" s="49">
        <v>4158499</v>
      </c>
      <c r="I16" s="49">
        <v>5112502</v>
      </c>
      <c r="J16" s="49">
        <v>63</v>
      </c>
      <c r="K16" s="49">
        <v>119000</v>
      </c>
      <c r="L16" s="50"/>
      <c r="M16" s="8">
        <f t="shared" si="0"/>
        <v>17888009</v>
      </c>
      <c r="N16" s="8">
        <f t="shared" si="1"/>
        <v>43088865</v>
      </c>
      <c r="O16" s="8">
        <f t="shared" si="2"/>
        <v>450015.28571428574</v>
      </c>
      <c r="P16" s="8">
        <f t="shared" si="3"/>
        <v>283936.65079365077</v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440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441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442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443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444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445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446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440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441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442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443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444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445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446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440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441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442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443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444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445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536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537</v>
      </c>
      <c r="C4" s="124">
        <f>IFERROR(SUM('📅 DAILY T10'!C6:C9),0)</f>
        <v>136221703</v>
      </c>
      <c r="D4" s="125">
        <v>162425589</v>
      </c>
      <c r="E4" s="126">
        <f>IFERROR(IF(D4&gt;0,C4/D4,""),"")</f>
        <v>0.8386714423427456</v>
      </c>
      <c r="F4" s="124">
        <f>IFERROR(SUM('📅 DAILY T10'!D6:D9),0)</f>
        <v>319</v>
      </c>
      <c r="G4" s="124">
        <f>IFERROR(IF(F4&gt;0,C4/F4,""),"")</f>
        <v>427027.28213166143</v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72023087</v>
      </c>
      <c r="K4" s="125">
        <v>87459932</v>
      </c>
      <c r="L4" s="126">
        <f>IFERROR(IF(K4&gt;0,J4/K4,""),"")</f>
        <v>0.82349809053133038</v>
      </c>
      <c r="M4" s="130">
        <f>IFERROR(C4+J4,"")</f>
        <v>208244790</v>
      </c>
      <c r="N4" s="131"/>
    </row>
    <row r="5" spans="1:14" ht="18" customHeight="1" x14ac:dyDescent="0.2">
      <c r="A5" s="122" t="s">
        <v>467</v>
      </c>
      <c r="B5" s="123" t="s">
        <v>538</v>
      </c>
      <c r="C5" s="124">
        <f>IFERROR(SUM('📅 DAILY T10'!C10:C16),0)</f>
        <v>248990804</v>
      </c>
      <c r="D5" s="125">
        <v>284244781</v>
      </c>
      <c r="E5" s="126">
        <f>IFERROR(IF(D5&gt;0,C5/D5,""),"")</f>
        <v>0.87597317749872772</v>
      </c>
      <c r="F5" s="124">
        <f>IFERROR(SUM('📅 DAILY T10'!D10:D16),0)</f>
        <v>554</v>
      </c>
      <c r="G5" s="124">
        <f>IFERROR(IF(F5&gt;0,C5/F5,""),"")</f>
        <v>449441.88447653432</v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102179135</v>
      </c>
      <c r="K5" s="125">
        <v>153054882</v>
      </c>
      <c r="L5" s="126">
        <f>IFERROR(IF(K5&gt;0,J5/K5,""),"")</f>
        <v>0.6675980123260622</v>
      </c>
      <c r="M5" s="130">
        <f>IFERROR(C5+J5,"")</f>
        <v>351169939</v>
      </c>
      <c r="N5" s="131"/>
    </row>
    <row r="6" spans="1:14" ht="18" customHeight="1" x14ac:dyDescent="0.2">
      <c r="A6" s="122" t="s">
        <v>469</v>
      </c>
      <c r="B6" s="123" t="s">
        <v>539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471</v>
      </c>
      <c r="B7" s="123" t="s">
        <v>540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473</v>
      </c>
      <c r="B8" s="123" t="s">
        <v>541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542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446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440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441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442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443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444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445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446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440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441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442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443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444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445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446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440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443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444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445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446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440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441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442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443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444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445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446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440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543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544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467</v>
      </c>
      <c r="B5" s="123" t="s">
        <v>545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469</v>
      </c>
      <c r="B6" s="123" t="s">
        <v>546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471</v>
      </c>
      <c r="B7" s="123" t="s">
        <v>547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473</v>
      </c>
      <c r="B8" s="123" t="s">
        <v>548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522</v>
      </c>
      <c r="B9" s="123" t="s">
        <v>549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550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441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442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443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444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445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446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440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441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442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443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444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445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446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440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441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442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443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444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445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446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440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441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442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443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444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445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446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440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441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442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443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551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552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467</v>
      </c>
      <c r="B5" s="123" t="s">
        <v>553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469</v>
      </c>
      <c r="B6" s="123" t="s">
        <v>554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471</v>
      </c>
      <c r="B7" s="123" t="s">
        <v>555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473</v>
      </c>
      <c r="B8" s="123" t="s">
        <v>556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85" t="s">
        <v>557</v>
      </c>
      <c r="B1" s="164"/>
      <c r="C1" s="164"/>
    </row>
    <row r="2" spans="1:3" ht="18.75" customHeight="1" x14ac:dyDescent="0.2"/>
    <row r="3" spans="1:3" ht="28.5" customHeight="1" x14ac:dyDescent="0.2">
      <c r="A3" s="195" t="s">
        <v>558</v>
      </c>
      <c r="B3" s="164"/>
      <c r="C3" s="164"/>
    </row>
    <row r="4" spans="1:3" ht="24" customHeight="1" x14ac:dyDescent="0.2">
      <c r="A4" s="86"/>
      <c r="B4" s="87" t="s">
        <v>559</v>
      </c>
      <c r="C4" s="88" t="s">
        <v>560</v>
      </c>
    </row>
    <row r="5" spans="1:3" ht="24" customHeight="1" x14ac:dyDescent="0.2">
      <c r="A5" s="61"/>
      <c r="B5" s="9" t="s">
        <v>561</v>
      </c>
      <c r="C5" s="89" t="s">
        <v>562</v>
      </c>
    </row>
    <row r="6" spans="1:3" ht="24" customHeight="1" x14ac:dyDescent="0.2">
      <c r="A6" s="86"/>
      <c r="B6" s="87" t="s">
        <v>563</v>
      </c>
      <c r="C6" s="88" t="s">
        <v>564</v>
      </c>
    </row>
    <row r="7" spans="1:3" ht="24" customHeight="1" x14ac:dyDescent="0.2">
      <c r="A7" s="61"/>
      <c r="B7" s="9" t="s">
        <v>565</v>
      </c>
      <c r="C7" s="89" t="s">
        <v>566</v>
      </c>
    </row>
    <row r="8" spans="1:3" ht="24" customHeight="1" x14ac:dyDescent="0.2">
      <c r="A8" s="86"/>
      <c r="B8" s="87" t="s">
        <v>567</v>
      </c>
      <c r="C8" s="88" t="s">
        <v>568</v>
      </c>
    </row>
    <row r="9" spans="1:3" ht="24" customHeight="1" x14ac:dyDescent="0.2">
      <c r="A9" s="61"/>
      <c r="B9" s="9" t="s">
        <v>569</v>
      </c>
      <c r="C9" s="89" t="s">
        <v>570</v>
      </c>
    </row>
    <row r="10" spans="1:3" ht="18.75" customHeight="1" x14ac:dyDescent="0.2"/>
    <row r="11" spans="1:3" ht="28.5" customHeight="1" x14ac:dyDescent="0.2">
      <c r="A11" s="193" t="s">
        <v>571</v>
      </c>
      <c r="B11" s="164"/>
      <c r="C11" s="164"/>
    </row>
    <row r="12" spans="1:3" ht="24" customHeight="1" x14ac:dyDescent="0.2">
      <c r="A12" s="90"/>
      <c r="B12" s="91" t="s">
        <v>572</v>
      </c>
      <c r="C12" s="92" t="s">
        <v>573</v>
      </c>
    </row>
    <row r="13" spans="1:3" ht="24" customHeight="1" x14ac:dyDescent="0.2">
      <c r="A13" s="61"/>
      <c r="B13" s="9" t="s">
        <v>574</v>
      </c>
      <c r="C13" s="89" t="s">
        <v>575</v>
      </c>
    </row>
    <row r="14" spans="1:3" ht="24" customHeight="1" x14ac:dyDescent="0.2">
      <c r="A14" s="90"/>
      <c r="B14" s="91" t="s">
        <v>576</v>
      </c>
      <c r="C14" s="92" t="s">
        <v>577</v>
      </c>
    </row>
    <row r="15" spans="1:3" ht="24" customHeight="1" x14ac:dyDescent="0.2">
      <c r="A15" s="61"/>
      <c r="B15" s="9" t="s">
        <v>578</v>
      </c>
      <c r="C15" s="89" t="s">
        <v>579</v>
      </c>
    </row>
    <row r="16" spans="1:3" ht="18.75" customHeight="1" x14ac:dyDescent="0.2"/>
    <row r="17" spans="1:3" ht="28.5" customHeight="1" x14ac:dyDescent="0.2">
      <c r="A17" s="194" t="s">
        <v>580</v>
      </c>
      <c r="B17" s="164"/>
      <c r="C17" s="164"/>
    </row>
    <row r="18" spans="1:3" ht="24" customHeight="1" x14ac:dyDescent="0.2">
      <c r="A18" s="93"/>
      <c r="B18" s="94" t="s">
        <v>581</v>
      </c>
      <c r="C18" s="95" t="s">
        <v>582</v>
      </c>
    </row>
    <row r="19" spans="1:3" ht="24" customHeight="1" x14ac:dyDescent="0.2">
      <c r="A19" s="61"/>
      <c r="B19" s="9" t="s">
        <v>583</v>
      </c>
      <c r="C19" s="89" t="s">
        <v>584</v>
      </c>
    </row>
    <row r="20" spans="1:3" ht="24" customHeight="1" x14ac:dyDescent="0.2">
      <c r="A20" s="93"/>
      <c r="B20" s="94" t="s">
        <v>585</v>
      </c>
      <c r="C20" s="95" t="s">
        <v>586</v>
      </c>
    </row>
    <row r="21" spans="1:3" ht="24" customHeight="1" x14ac:dyDescent="0.2">
      <c r="A21" s="61"/>
      <c r="B21" s="9" t="s">
        <v>587</v>
      </c>
      <c r="C21" s="89" t="s">
        <v>588</v>
      </c>
    </row>
    <row r="22" spans="1:3" ht="24" customHeight="1" x14ac:dyDescent="0.2">
      <c r="A22" s="93"/>
      <c r="B22" s="94" t="s">
        <v>589</v>
      </c>
      <c r="C22" s="95" t="s">
        <v>590</v>
      </c>
    </row>
    <row r="23" spans="1:3" ht="18.75" customHeight="1" x14ac:dyDescent="0.2"/>
    <row r="24" spans="1:3" ht="28.5" customHeight="1" x14ac:dyDescent="0.2">
      <c r="A24" s="196" t="s">
        <v>591</v>
      </c>
      <c r="B24" s="164"/>
      <c r="C24" s="164"/>
    </row>
    <row r="25" spans="1:3" ht="24" customHeight="1" x14ac:dyDescent="0.2">
      <c r="A25" s="96"/>
      <c r="B25" s="97" t="s">
        <v>592</v>
      </c>
      <c r="C25" s="98" t="s">
        <v>593</v>
      </c>
    </row>
    <row r="26" spans="1:3" ht="24" customHeight="1" x14ac:dyDescent="0.2">
      <c r="A26" s="61"/>
      <c r="B26" s="9" t="s">
        <v>594</v>
      </c>
      <c r="C26" s="89" t="s">
        <v>595</v>
      </c>
    </row>
    <row r="27" spans="1:3" ht="24" customHeight="1" x14ac:dyDescent="0.2">
      <c r="A27" s="96"/>
      <c r="B27" s="97" t="s">
        <v>596</v>
      </c>
      <c r="C27" s="98" t="s">
        <v>597</v>
      </c>
    </row>
    <row r="28" spans="1:3" ht="24" customHeight="1" x14ac:dyDescent="0.2">
      <c r="A28" s="61"/>
      <c r="B28" s="9" t="s">
        <v>598</v>
      </c>
      <c r="C28" s="89" t="s">
        <v>599</v>
      </c>
    </row>
    <row r="29" spans="1:3" ht="24" customHeight="1" x14ac:dyDescent="0.2">
      <c r="A29" s="96"/>
      <c r="B29" s="97" t="s">
        <v>600</v>
      </c>
      <c r="C29" s="98" t="s">
        <v>601</v>
      </c>
    </row>
    <row r="30" spans="1:3" ht="24" customHeight="1" x14ac:dyDescent="0.2">
      <c r="A30" s="61"/>
      <c r="B30" s="9" t="s">
        <v>602</v>
      </c>
      <c r="C30" s="89" t="s">
        <v>603</v>
      </c>
    </row>
    <row r="31" spans="1:3" ht="24" customHeight="1" x14ac:dyDescent="0.2">
      <c r="A31" s="96"/>
      <c r="B31" s="97" t="s">
        <v>604</v>
      </c>
      <c r="C31" s="98" t="s">
        <v>605</v>
      </c>
    </row>
    <row r="32" spans="1:3" ht="24" customHeight="1" x14ac:dyDescent="0.2">
      <c r="A32" s="61"/>
      <c r="B32" s="9" t="s">
        <v>606</v>
      </c>
      <c r="C32" s="89" t="s">
        <v>607</v>
      </c>
    </row>
    <row r="33" spans="1:3" ht="24" customHeight="1" x14ac:dyDescent="0.2">
      <c r="A33" s="96"/>
      <c r="B33" s="97" t="s">
        <v>608</v>
      </c>
      <c r="C33" s="98" t="s">
        <v>609</v>
      </c>
    </row>
    <row r="34" spans="1:3" ht="24" customHeight="1" x14ac:dyDescent="0.2">
      <c r="A34" s="61"/>
      <c r="B34" s="9" t="s">
        <v>610</v>
      </c>
      <c r="C34" s="89" t="s">
        <v>611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7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99" t="s">
        <v>612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2.75" customHeight="1" x14ac:dyDescent="0.2">
      <c r="A2" s="198" t="s">
        <v>613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99" t="s">
        <v>614</v>
      </c>
      <c r="B3" s="99" t="s">
        <v>615</v>
      </c>
      <c r="C3" s="99" t="s">
        <v>616</v>
      </c>
      <c r="D3" s="99" t="s">
        <v>617</v>
      </c>
      <c r="E3" s="99" t="s">
        <v>618</v>
      </c>
      <c r="F3" s="99" t="s">
        <v>619</v>
      </c>
      <c r="G3" s="99" t="s">
        <v>620</v>
      </c>
      <c r="H3" s="99" t="s">
        <v>621</v>
      </c>
      <c r="I3" s="99" t="s">
        <v>622</v>
      </c>
      <c r="J3" s="99" t="s">
        <v>623</v>
      </c>
      <c r="K3" s="99" t="s">
        <v>624</v>
      </c>
      <c r="L3" s="99" t="s">
        <v>625</v>
      </c>
      <c r="M3" s="99" t="s">
        <v>626</v>
      </c>
      <c r="N3" s="99" t="s">
        <v>627</v>
      </c>
    </row>
    <row r="4" spans="1:14" ht="19.5" customHeight="1" x14ac:dyDescent="0.2">
      <c r="A4" s="197" t="s">
        <v>628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</row>
    <row r="5" spans="1:14" ht="15.75" customHeight="1" x14ac:dyDescent="0.2">
      <c r="A5" s="100" t="s">
        <v>629</v>
      </c>
      <c r="B5" s="101" t="s">
        <v>630</v>
      </c>
      <c r="C5" s="102">
        <v>740</v>
      </c>
      <c r="D5" s="103">
        <v>268</v>
      </c>
      <c r="E5" s="103">
        <v>188</v>
      </c>
      <c r="F5" s="103">
        <v>154</v>
      </c>
      <c r="G5" s="103">
        <v>29</v>
      </c>
      <c r="H5" s="103">
        <v>73</v>
      </c>
      <c r="I5" s="103">
        <v>24</v>
      </c>
      <c r="J5" s="103">
        <v>4</v>
      </c>
      <c r="K5" s="104">
        <v>24</v>
      </c>
      <c r="L5" s="105">
        <v>270</v>
      </c>
      <c r="M5" s="104">
        <v>14</v>
      </c>
      <c r="N5" s="105">
        <v>333</v>
      </c>
    </row>
    <row r="6" spans="1:14" ht="15.75" customHeight="1" x14ac:dyDescent="0.2">
      <c r="A6" s="100" t="s">
        <v>629</v>
      </c>
      <c r="B6" s="106" t="s">
        <v>631</v>
      </c>
      <c r="C6" s="102">
        <v>630</v>
      </c>
      <c r="D6" s="103">
        <v>544</v>
      </c>
      <c r="E6" s="103">
        <v>70</v>
      </c>
      <c r="F6" s="103">
        <v>9</v>
      </c>
      <c r="G6" s="103">
        <v>2</v>
      </c>
      <c r="H6" s="103">
        <v>4</v>
      </c>
      <c r="I6" s="103">
        <v>0</v>
      </c>
      <c r="J6" s="103">
        <v>1</v>
      </c>
      <c r="K6" s="104">
        <v>139</v>
      </c>
      <c r="L6" s="105">
        <v>59</v>
      </c>
      <c r="M6" s="104">
        <v>162</v>
      </c>
      <c r="N6" s="105">
        <v>81</v>
      </c>
    </row>
    <row r="7" spans="1:14" ht="15.75" customHeight="1" x14ac:dyDescent="0.2">
      <c r="A7" s="100" t="s">
        <v>629</v>
      </c>
      <c r="B7" s="107" t="s">
        <v>632</v>
      </c>
      <c r="C7" s="102">
        <v>1436</v>
      </c>
      <c r="D7" s="103">
        <v>1295</v>
      </c>
      <c r="E7" s="103">
        <v>113</v>
      </c>
      <c r="F7" s="103">
        <v>13</v>
      </c>
      <c r="G7" s="103">
        <v>7</v>
      </c>
      <c r="H7" s="103">
        <v>8</v>
      </c>
      <c r="I7" s="104">
        <v>0</v>
      </c>
      <c r="J7" s="104">
        <v>0</v>
      </c>
      <c r="K7" s="104">
        <v>327</v>
      </c>
      <c r="L7" s="105">
        <v>127</v>
      </c>
      <c r="M7" s="104">
        <v>319</v>
      </c>
      <c r="N7" s="105">
        <v>116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633</v>
      </c>
      <c r="B9" s="101" t="s">
        <v>630</v>
      </c>
      <c r="C9" s="102">
        <v>379</v>
      </c>
      <c r="D9" s="103">
        <v>128</v>
      </c>
      <c r="E9" s="103">
        <v>74</v>
      </c>
      <c r="F9" s="103">
        <v>101</v>
      </c>
      <c r="G9" s="103">
        <v>19</v>
      </c>
      <c r="H9" s="103">
        <v>33</v>
      </c>
      <c r="I9" s="103">
        <v>13</v>
      </c>
      <c r="J9" s="103">
        <v>11</v>
      </c>
      <c r="K9" s="104">
        <v>6</v>
      </c>
      <c r="L9" s="105">
        <v>146</v>
      </c>
      <c r="M9" s="104">
        <v>6</v>
      </c>
      <c r="N9" s="105">
        <v>181</v>
      </c>
    </row>
    <row r="10" spans="1:14" ht="15.75" customHeight="1" x14ac:dyDescent="0.2">
      <c r="A10" s="100" t="s">
        <v>633</v>
      </c>
      <c r="B10" s="106" t="s">
        <v>631</v>
      </c>
      <c r="C10" s="102">
        <v>365</v>
      </c>
      <c r="D10" s="103">
        <v>287</v>
      </c>
      <c r="E10" s="103">
        <v>61</v>
      </c>
      <c r="F10" s="103">
        <v>9</v>
      </c>
      <c r="G10" s="103">
        <v>2</v>
      </c>
      <c r="H10" s="103">
        <v>4</v>
      </c>
      <c r="I10" s="103">
        <v>2</v>
      </c>
      <c r="J10" s="104">
        <v>0</v>
      </c>
      <c r="K10" s="104">
        <v>77</v>
      </c>
      <c r="L10" s="105">
        <v>31</v>
      </c>
      <c r="M10" s="104">
        <v>85</v>
      </c>
      <c r="N10" s="105">
        <v>48</v>
      </c>
    </row>
    <row r="11" spans="1:14" ht="15.75" customHeight="1" x14ac:dyDescent="0.2">
      <c r="A11" s="100" t="s">
        <v>633</v>
      </c>
      <c r="B11" s="107" t="s">
        <v>632</v>
      </c>
      <c r="C11" s="102">
        <v>893</v>
      </c>
      <c r="D11" s="103">
        <v>763</v>
      </c>
      <c r="E11" s="103">
        <v>99</v>
      </c>
      <c r="F11" s="103">
        <v>16</v>
      </c>
      <c r="G11" s="103">
        <v>12</v>
      </c>
      <c r="H11" s="103">
        <v>4</v>
      </c>
      <c r="I11" s="104">
        <v>0</v>
      </c>
      <c r="J11" s="104">
        <v>0</v>
      </c>
      <c r="K11" s="104">
        <v>196</v>
      </c>
      <c r="L11" s="105">
        <v>84</v>
      </c>
      <c r="M11" s="104">
        <v>184</v>
      </c>
      <c r="N11" s="105">
        <v>101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634</v>
      </c>
      <c r="B13" s="101" t="s">
        <v>630</v>
      </c>
      <c r="C13" s="102">
        <v>483</v>
      </c>
      <c r="D13" s="103">
        <v>172</v>
      </c>
      <c r="E13" s="103">
        <v>81</v>
      </c>
      <c r="F13" s="103">
        <v>109</v>
      </c>
      <c r="G13" s="103">
        <v>24</v>
      </c>
      <c r="H13" s="103">
        <v>61</v>
      </c>
      <c r="I13" s="103">
        <v>19</v>
      </c>
      <c r="J13" s="103">
        <v>17</v>
      </c>
      <c r="K13" s="104">
        <v>10</v>
      </c>
      <c r="L13" s="105">
        <v>165</v>
      </c>
      <c r="M13" s="104">
        <v>11</v>
      </c>
      <c r="N13" s="105">
        <v>239</v>
      </c>
    </row>
    <row r="14" spans="1:14" ht="15.75" customHeight="1" x14ac:dyDescent="0.2">
      <c r="A14" s="100" t="s">
        <v>634</v>
      </c>
      <c r="B14" s="106" t="s">
        <v>631</v>
      </c>
      <c r="C14" s="102">
        <v>384</v>
      </c>
      <c r="D14" s="103">
        <v>317</v>
      </c>
      <c r="E14" s="103">
        <v>48</v>
      </c>
      <c r="F14" s="103">
        <v>16</v>
      </c>
      <c r="G14" s="103">
        <v>0</v>
      </c>
      <c r="H14" s="103">
        <v>3</v>
      </c>
      <c r="I14" s="103">
        <v>0</v>
      </c>
      <c r="J14" s="104">
        <v>0</v>
      </c>
      <c r="K14" s="104">
        <v>66</v>
      </c>
      <c r="L14" s="105">
        <v>37</v>
      </c>
      <c r="M14" s="104">
        <v>71</v>
      </c>
      <c r="N14" s="105">
        <v>55</v>
      </c>
    </row>
    <row r="15" spans="1:14" ht="15.75" customHeight="1" x14ac:dyDescent="0.2">
      <c r="A15" s="100" t="s">
        <v>634</v>
      </c>
      <c r="B15" s="107" t="s">
        <v>632</v>
      </c>
      <c r="C15" s="102">
        <v>987</v>
      </c>
      <c r="D15" s="103">
        <v>870</v>
      </c>
      <c r="E15" s="103">
        <v>89</v>
      </c>
      <c r="F15" s="103">
        <v>15</v>
      </c>
      <c r="G15" s="103">
        <v>7</v>
      </c>
      <c r="H15" s="103">
        <v>7</v>
      </c>
      <c r="I15" s="104">
        <v>0</v>
      </c>
      <c r="J15" s="104">
        <v>0</v>
      </c>
      <c r="K15" s="104">
        <v>225</v>
      </c>
      <c r="L15" s="105">
        <v>100</v>
      </c>
      <c r="M15" s="104">
        <v>168</v>
      </c>
      <c r="N15" s="105">
        <v>94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635</v>
      </c>
      <c r="B17" s="101" t="s">
        <v>630</v>
      </c>
      <c r="C17" s="102">
        <v>507</v>
      </c>
      <c r="D17" s="103">
        <v>164</v>
      </c>
      <c r="E17" s="103">
        <v>123</v>
      </c>
      <c r="F17" s="103">
        <v>95</v>
      </c>
      <c r="G17" s="103">
        <v>30</v>
      </c>
      <c r="H17" s="103">
        <v>63</v>
      </c>
      <c r="I17" s="103">
        <v>21</v>
      </c>
      <c r="J17" s="103">
        <v>11</v>
      </c>
      <c r="K17" s="104">
        <v>16</v>
      </c>
      <c r="L17" s="105">
        <v>176</v>
      </c>
      <c r="M17" s="104">
        <v>9</v>
      </c>
      <c r="N17" s="105">
        <v>255</v>
      </c>
    </row>
    <row r="18" spans="1:14" ht="15.75" customHeight="1" x14ac:dyDescent="0.2">
      <c r="A18" s="100" t="s">
        <v>635</v>
      </c>
      <c r="B18" s="106" t="s">
        <v>631</v>
      </c>
      <c r="C18" s="102">
        <v>519</v>
      </c>
      <c r="D18" s="103">
        <v>386</v>
      </c>
      <c r="E18" s="103">
        <v>87</v>
      </c>
      <c r="F18" s="103">
        <v>38</v>
      </c>
      <c r="G18" s="103">
        <v>2</v>
      </c>
      <c r="H18" s="103">
        <v>6</v>
      </c>
      <c r="I18" s="103">
        <v>1</v>
      </c>
      <c r="J18" s="104">
        <v>0</v>
      </c>
      <c r="K18" s="104">
        <v>108</v>
      </c>
      <c r="L18" s="105">
        <v>46</v>
      </c>
      <c r="M18" s="104">
        <v>90</v>
      </c>
      <c r="N18" s="105">
        <v>59</v>
      </c>
    </row>
    <row r="19" spans="1:14" ht="15.75" customHeight="1" x14ac:dyDescent="0.2">
      <c r="A19" s="100" t="s">
        <v>635</v>
      </c>
      <c r="B19" s="107" t="s">
        <v>632</v>
      </c>
      <c r="C19" s="102">
        <v>996</v>
      </c>
      <c r="D19" s="103">
        <v>885</v>
      </c>
      <c r="E19" s="103">
        <v>85</v>
      </c>
      <c r="F19" s="103">
        <v>16</v>
      </c>
      <c r="G19" s="103">
        <v>5</v>
      </c>
      <c r="H19" s="103">
        <v>6</v>
      </c>
      <c r="I19" s="104">
        <v>0</v>
      </c>
      <c r="J19" s="104">
        <v>0</v>
      </c>
      <c r="K19" s="104">
        <v>219</v>
      </c>
      <c r="L19" s="105">
        <v>106</v>
      </c>
      <c r="M19" s="104">
        <v>181</v>
      </c>
      <c r="N19" s="105">
        <v>80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636</v>
      </c>
      <c r="B21" s="101" t="s">
        <v>630</v>
      </c>
      <c r="C21" s="102">
        <v>606</v>
      </c>
      <c r="D21" s="103">
        <v>234</v>
      </c>
      <c r="E21" s="103">
        <v>136</v>
      </c>
      <c r="F21" s="103">
        <v>122</v>
      </c>
      <c r="G21" s="103">
        <v>23</v>
      </c>
      <c r="H21" s="103">
        <v>60</v>
      </c>
      <c r="I21" s="103">
        <v>25</v>
      </c>
      <c r="J21" s="103">
        <v>6</v>
      </c>
      <c r="K21" s="104">
        <v>8</v>
      </c>
      <c r="L21" s="105">
        <v>212</v>
      </c>
      <c r="M21" s="104">
        <v>11</v>
      </c>
      <c r="N21" s="105">
        <v>289</v>
      </c>
    </row>
    <row r="22" spans="1:14" ht="15.75" customHeight="1" x14ac:dyDescent="0.2">
      <c r="A22" s="100" t="s">
        <v>636</v>
      </c>
      <c r="B22" s="106" t="s">
        <v>631</v>
      </c>
      <c r="C22" s="102">
        <v>575</v>
      </c>
      <c r="D22" s="103">
        <v>448</v>
      </c>
      <c r="E22" s="103">
        <v>85</v>
      </c>
      <c r="F22" s="103">
        <v>31</v>
      </c>
      <c r="G22" s="103">
        <v>5</v>
      </c>
      <c r="H22" s="103">
        <v>6</v>
      </c>
      <c r="I22" s="103">
        <v>2</v>
      </c>
      <c r="J22" s="103">
        <v>0</v>
      </c>
      <c r="K22" s="104">
        <v>135</v>
      </c>
      <c r="L22" s="105">
        <v>44</v>
      </c>
      <c r="M22" s="104">
        <v>93</v>
      </c>
      <c r="N22" s="105">
        <v>63</v>
      </c>
    </row>
    <row r="23" spans="1:14" ht="15.75" customHeight="1" x14ac:dyDescent="0.2">
      <c r="A23" s="100" t="s">
        <v>636</v>
      </c>
      <c r="B23" s="107" t="s">
        <v>632</v>
      </c>
      <c r="C23" s="102">
        <v>908</v>
      </c>
      <c r="D23" s="103">
        <v>793</v>
      </c>
      <c r="E23" s="103">
        <v>90</v>
      </c>
      <c r="F23" s="103">
        <v>13</v>
      </c>
      <c r="G23" s="103">
        <v>7</v>
      </c>
      <c r="H23" s="103">
        <v>5</v>
      </c>
      <c r="I23" s="104">
        <v>0</v>
      </c>
      <c r="J23" s="104">
        <v>0</v>
      </c>
      <c r="K23" s="104">
        <v>219</v>
      </c>
      <c r="L23" s="105">
        <v>69</v>
      </c>
      <c r="M23" s="104">
        <v>155</v>
      </c>
      <c r="N23" s="105">
        <v>105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637</v>
      </c>
      <c r="B25" s="101" t="s">
        <v>630</v>
      </c>
      <c r="C25" s="102">
        <v>568</v>
      </c>
      <c r="D25" s="103">
        <v>222</v>
      </c>
      <c r="E25" s="103">
        <v>116</v>
      </c>
      <c r="F25" s="103">
        <v>122</v>
      </c>
      <c r="G25" s="103">
        <v>16</v>
      </c>
      <c r="H25" s="103">
        <v>71</v>
      </c>
      <c r="I25" s="103">
        <v>14</v>
      </c>
      <c r="J25" s="103">
        <v>8</v>
      </c>
      <c r="K25" s="104">
        <v>12</v>
      </c>
      <c r="L25" s="105">
        <v>203</v>
      </c>
      <c r="M25" s="104">
        <v>8</v>
      </c>
      <c r="N25" s="105">
        <v>264</v>
      </c>
    </row>
    <row r="26" spans="1:14" ht="15.75" customHeight="1" x14ac:dyDescent="0.2">
      <c r="A26" s="100" t="s">
        <v>637</v>
      </c>
      <c r="B26" s="106" t="s">
        <v>631</v>
      </c>
      <c r="C26" s="102">
        <v>686</v>
      </c>
      <c r="D26" s="103">
        <v>502</v>
      </c>
      <c r="E26" s="103">
        <v>118</v>
      </c>
      <c r="F26" s="103">
        <v>54</v>
      </c>
      <c r="G26" s="103">
        <v>6</v>
      </c>
      <c r="H26" s="103">
        <v>6</v>
      </c>
      <c r="I26" s="103">
        <v>1</v>
      </c>
      <c r="J26" s="104">
        <v>0</v>
      </c>
      <c r="K26" s="104">
        <v>142</v>
      </c>
      <c r="L26" s="105">
        <v>66</v>
      </c>
      <c r="M26" s="104">
        <v>124</v>
      </c>
      <c r="N26" s="105">
        <v>87</v>
      </c>
    </row>
    <row r="27" spans="1:14" ht="15.75" customHeight="1" x14ac:dyDescent="0.2">
      <c r="A27" s="100" t="s">
        <v>637</v>
      </c>
      <c r="B27" s="107" t="s">
        <v>632</v>
      </c>
      <c r="C27" s="102">
        <v>826</v>
      </c>
      <c r="D27" s="103">
        <v>718</v>
      </c>
      <c r="E27" s="103">
        <v>84</v>
      </c>
      <c r="F27" s="103">
        <v>21</v>
      </c>
      <c r="G27" s="103">
        <v>3</v>
      </c>
      <c r="H27" s="103">
        <v>3</v>
      </c>
      <c r="I27" s="104">
        <v>0</v>
      </c>
      <c r="J27" s="104">
        <v>0</v>
      </c>
      <c r="K27" s="104">
        <v>184</v>
      </c>
      <c r="L27" s="105">
        <v>82</v>
      </c>
      <c r="M27" s="104">
        <v>153</v>
      </c>
      <c r="N27" s="105">
        <v>80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638</v>
      </c>
      <c r="B29" s="101" t="s">
        <v>630</v>
      </c>
      <c r="C29" s="102">
        <v>575</v>
      </c>
      <c r="D29" s="103">
        <v>229</v>
      </c>
      <c r="E29" s="103">
        <v>120</v>
      </c>
      <c r="F29" s="103">
        <v>111</v>
      </c>
      <c r="G29" s="103">
        <v>23</v>
      </c>
      <c r="H29" s="103">
        <v>63</v>
      </c>
      <c r="I29" s="103">
        <v>20</v>
      </c>
      <c r="J29" s="103">
        <v>11</v>
      </c>
      <c r="K29" s="104">
        <v>10</v>
      </c>
      <c r="L29" s="105">
        <v>185</v>
      </c>
      <c r="M29" s="104">
        <v>7</v>
      </c>
      <c r="N29" s="105">
        <v>270</v>
      </c>
    </row>
    <row r="30" spans="1:14" ht="15.75" customHeight="1" x14ac:dyDescent="0.2">
      <c r="A30" s="100" t="s">
        <v>638</v>
      </c>
      <c r="B30" s="106" t="s">
        <v>631</v>
      </c>
      <c r="C30" s="102">
        <v>806</v>
      </c>
      <c r="D30" s="103">
        <v>578</v>
      </c>
      <c r="E30" s="103">
        <v>124</v>
      </c>
      <c r="F30" s="103">
        <v>84</v>
      </c>
      <c r="G30" s="103">
        <v>11</v>
      </c>
      <c r="H30" s="103">
        <v>12</v>
      </c>
      <c r="I30" s="104">
        <v>1</v>
      </c>
      <c r="J30" s="104">
        <v>0</v>
      </c>
      <c r="K30" s="104">
        <v>192</v>
      </c>
      <c r="L30" s="105">
        <v>81</v>
      </c>
      <c r="M30" s="104">
        <v>132</v>
      </c>
      <c r="N30" s="105">
        <v>110</v>
      </c>
    </row>
    <row r="31" spans="1:14" ht="15.75" customHeight="1" x14ac:dyDescent="0.2">
      <c r="A31" s="100" t="s">
        <v>638</v>
      </c>
      <c r="B31" s="107" t="s">
        <v>632</v>
      </c>
      <c r="C31" s="102">
        <v>898</v>
      </c>
      <c r="D31" s="103">
        <v>763</v>
      </c>
      <c r="E31" s="103">
        <v>105</v>
      </c>
      <c r="F31" s="103">
        <v>17</v>
      </c>
      <c r="G31" s="103">
        <v>9</v>
      </c>
      <c r="H31" s="103">
        <v>5</v>
      </c>
      <c r="I31" s="103">
        <v>1</v>
      </c>
      <c r="J31" s="104">
        <v>0</v>
      </c>
      <c r="K31" s="104">
        <v>222</v>
      </c>
      <c r="L31" s="105">
        <v>89</v>
      </c>
      <c r="M31" s="104">
        <v>160</v>
      </c>
      <c r="N31" s="105">
        <v>115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639</v>
      </c>
      <c r="B33" s="101" t="s">
        <v>630</v>
      </c>
      <c r="C33" s="102">
        <v>609</v>
      </c>
      <c r="D33" s="103">
        <v>217</v>
      </c>
      <c r="E33" s="103">
        <v>125</v>
      </c>
      <c r="F33" s="103">
        <v>135</v>
      </c>
      <c r="G33" s="103">
        <v>23</v>
      </c>
      <c r="H33" s="103">
        <v>66</v>
      </c>
      <c r="I33" s="103">
        <v>30</v>
      </c>
      <c r="J33" s="103">
        <v>14</v>
      </c>
      <c r="K33" s="104">
        <v>10</v>
      </c>
      <c r="L33" s="105">
        <v>207</v>
      </c>
      <c r="M33" s="104">
        <v>6</v>
      </c>
      <c r="N33" s="105">
        <v>290</v>
      </c>
    </row>
    <row r="34" spans="1:14" ht="15.75" customHeight="1" x14ac:dyDescent="0.2">
      <c r="A34" s="100" t="s">
        <v>639</v>
      </c>
      <c r="B34" s="106" t="s">
        <v>631</v>
      </c>
      <c r="C34" s="102">
        <v>962</v>
      </c>
      <c r="D34" s="103">
        <v>685</v>
      </c>
      <c r="E34" s="103">
        <v>154</v>
      </c>
      <c r="F34" s="103">
        <v>93</v>
      </c>
      <c r="G34" s="103">
        <v>14</v>
      </c>
      <c r="H34" s="103">
        <v>19</v>
      </c>
      <c r="I34" s="103">
        <v>5</v>
      </c>
      <c r="J34" s="104">
        <v>0</v>
      </c>
      <c r="K34" s="104">
        <v>220</v>
      </c>
      <c r="L34" s="105">
        <v>99</v>
      </c>
      <c r="M34" s="104">
        <v>134</v>
      </c>
      <c r="N34" s="105">
        <v>143</v>
      </c>
    </row>
    <row r="35" spans="1:14" ht="15.75" customHeight="1" x14ac:dyDescent="0.2">
      <c r="A35" s="100" t="s">
        <v>639</v>
      </c>
      <c r="B35" s="107" t="s">
        <v>632</v>
      </c>
      <c r="C35" s="102">
        <v>888</v>
      </c>
      <c r="D35" s="103">
        <v>747</v>
      </c>
      <c r="E35" s="103">
        <v>106</v>
      </c>
      <c r="F35" s="103">
        <v>20</v>
      </c>
      <c r="G35" s="103">
        <v>5</v>
      </c>
      <c r="H35" s="103">
        <v>8</v>
      </c>
      <c r="I35" s="103">
        <v>2</v>
      </c>
      <c r="J35" s="103">
        <v>1</v>
      </c>
      <c r="K35" s="104">
        <v>220</v>
      </c>
      <c r="L35" s="105">
        <v>77</v>
      </c>
      <c r="M35" s="104">
        <v>144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640</v>
      </c>
      <c r="B37" s="101" t="s">
        <v>630</v>
      </c>
      <c r="C37" s="102">
        <v>532</v>
      </c>
      <c r="D37" s="103">
        <v>191</v>
      </c>
      <c r="E37" s="103">
        <v>112</v>
      </c>
      <c r="F37" s="103">
        <v>123</v>
      </c>
      <c r="G37" s="103">
        <v>13</v>
      </c>
      <c r="H37" s="103">
        <v>49</v>
      </c>
      <c r="I37" s="103">
        <v>25</v>
      </c>
      <c r="J37" s="103">
        <v>19</v>
      </c>
      <c r="K37" s="104">
        <v>17</v>
      </c>
      <c r="L37" s="105">
        <v>157</v>
      </c>
      <c r="M37" s="104">
        <v>7</v>
      </c>
      <c r="N37" s="105">
        <v>237</v>
      </c>
    </row>
    <row r="38" spans="1:14" ht="15.75" customHeight="1" x14ac:dyDescent="0.2">
      <c r="A38" s="100" t="s">
        <v>640</v>
      </c>
      <c r="B38" s="106" t="s">
        <v>631</v>
      </c>
      <c r="C38" s="102">
        <v>932</v>
      </c>
      <c r="D38" s="103">
        <v>699</v>
      </c>
      <c r="E38" s="103">
        <v>147</v>
      </c>
      <c r="F38" s="103">
        <v>62</v>
      </c>
      <c r="G38" s="103">
        <v>12</v>
      </c>
      <c r="H38" s="103">
        <v>13</v>
      </c>
      <c r="I38" s="103">
        <v>1</v>
      </c>
      <c r="J38" s="104">
        <v>0</v>
      </c>
      <c r="K38" s="104">
        <v>198</v>
      </c>
      <c r="L38" s="105">
        <v>77</v>
      </c>
      <c r="M38" s="104">
        <v>155</v>
      </c>
      <c r="N38" s="105">
        <v>140</v>
      </c>
    </row>
    <row r="39" spans="1:14" ht="15.75" customHeight="1" x14ac:dyDescent="0.2">
      <c r="A39" s="100" t="s">
        <v>640</v>
      </c>
      <c r="B39" s="107" t="s">
        <v>632</v>
      </c>
      <c r="C39" s="102">
        <v>766</v>
      </c>
      <c r="D39" s="103">
        <v>636</v>
      </c>
      <c r="E39" s="103">
        <v>117</v>
      </c>
      <c r="F39" s="103">
        <v>10</v>
      </c>
      <c r="G39" s="103">
        <v>0</v>
      </c>
      <c r="H39" s="103">
        <v>3</v>
      </c>
      <c r="I39" s="104">
        <v>0</v>
      </c>
      <c r="J39" s="104">
        <v>0</v>
      </c>
      <c r="K39" s="104">
        <v>165</v>
      </c>
      <c r="L39" s="105">
        <v>63</v>
      </c>
      <c r="M39" s="104">
        <v>143</v>
      </c>
      <c r="N39" s="105">
        <v>108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641</v>
      </c>
      <c r="B41" s="101" t="s">
        <v>630</v>
      </c>
      <c r="C41" s="102">
        <v>739</v>
      </c>
      <c r="D41" s="103">
        <v>274</v>
      </c>
      <c r="E41" s="103">
        <v>165</v>
      </c>
      <c r="F41" s="103">
        <v>164</v>
      </c>
      <c r="G41" s="103">
        <v>29</v>
      </c>
      <c r="H41" s="103">
        <v>62</v>
      </c>
      <c r="I41" s="103">
        <v>31</v>
      </c>
      <c r="J41" s="103">
        <v>15</v>
      </c>
      <c r="K41" s="104">
        <v>18</v>
      </c>
      <c r="L41" s="105">
        <v>133</v>
      </c>
      <c r="M41" s="104">
        <v>14</v>
      </c>
      <c r="N41" s="105">
        <v>320</v>
      </c>
    </row>
    <row r="42" spans="1:14" ht="15.75" customHeight="1" x14ac:dyDescent="0.2">
      <c r="A42" s="100" t="s">
        <v>641</v>
      </c>
      <c r="B42" s="106" t="s">
        <v>631</v>
      </c>
      <c r="C42" s="102">
        <v>1213</v>
      </c>
      <c r="D42" s="103">
        <v>891</v>
      </c>
      <c r="E42" s="103">
        <v>218</v>
      </c>
      <c r="F42" s="103">
        <v>81</v>
      </c>
      <c r="G42" s="103">
        <v>13</v>
      </c>
      <c r="H42" s="103">
        <v>19</v>
      </c>
      <c r="I42" s="103">
        <v>2</v>
      </c>
      <c r="J42" s="104">
        <v>0</v>
      </c>
      <c r="K42" s="104">
        <v>306</v>
      </c>
      <c r="L42" s="105">
        <v>105</v>
      </c>
      <c r="M42" s="104">
        <v>171</v>
      </c>
      <c r="N42" s="105">
        <v>199</v>
      </c>
    </row>
    <row r="43" spans="1:14" ht="15.75" customHeight="1" x14ac:dyDescent="0.2">
      <c r="A43" s="100" t="s">
        <v>641</v>
      </c>
      <c r="B43" s="107" t="s">
        <v>632</v>
      </c>
      <c r="C43" s="102">
        <v>738</v>
      </c>
      <c r="D43" s="103">
        <v>643</v>
      </c>
      <c r="E43" s="103">
        <v>85</v>
      </c>
      <c r="F43" s="103">
        <v>10</v>
      </c>
      <c r="G43" s="103">
        <v>1</v>
      </c>
      <c r="H43" s="103">
        <v>4</v>
      </c>
      <c r="I43" s="103">
        <v>1</v>
      </c>
      <c r="J43" s="104">
        <v>0</v>
      </c>
      <c r="K43" s="104">
        <v>193</v>
      </c>
      <c r="L43" s="105">
        <v>48</v>
      </c>
      <c r="M43" s="104">
        <v>122</v>
      </c>
      <c r="N43" s="105">
        <v>94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642</v>
      </c>
      <c r="B45" s="101" t="s">
        <v>630</v>
      </c>
      <c r="C45" s="102">
        <v>772</v>
      </c>
      <c r="D45" s="103">
        <v>297</v>
      </c>
      <c r="E45" s="103">
        <v>165</v>
      </c>
      <c r="F45" s="103">
        <v>172</v>
      </c>
      <c r="G45" s="103">
        <v>20</v>
      </c>
      <c r="H45" s="103">
        <v>76</v>
      </c>
      <c r="I45" s="103">
        <v>27</v>
      </c>
      <c r="J45" s="103">
        <v>18</v>
      </c>
      <c r="K45" s="104">
        <v>24</v>
      </c>
      <c r="L45" s="105">
        <v>163</v>
      </c>
      <c r="M45" s="104">
        <v>18</v>
      </c>
      <c r="N45" s="105">
        <v>353</v>
      </c>
    </row>
    <row r="46" spans="1:14" ht="15.75" customHeight="1" x14ac:dyDescent="0.2">
      <c r="A46" s="100" t="s">
        <v>642</v>
      </c>
      <c r="B46" s="106" t="s">
        <v>631</v>
      </c>
      <c r="C46" s="102">
        <v>1146</v>
      </c>
      <c r="D46" s="103">
        <v>860</v>
      </c>
      <c r="E46" s="103">
        <v>198</v>
      </c>
      <c r="F46" s="103">
        <v>87</v>
      </c>
      <c r="G46" s="103">
        <v>10</v>
      </c>
      <c r="H46" s="103">
        <v>10</v>
      </c>
      <c r="I46" s="103">
        <v>1</v>
      </c>
      <c r="J46" s="104">
        <v>0</v>
      </c>
      <c r="K46" s="104">
        <v>247</v>
      </c>
      <c r="L46" s="105">
        <v>85</v>
      </c>
      <c r="M46" s="104">
        <v>181</v>
      </c>
      <c r="N46" s="105">
        <v>191</v>
      </c>
    </row>
    <row r="47" spans="1:14" ht="15.75" customHeight="1" x14ac:dyDescent="0.2">
      <c r="A47" s="100" t="s">
        <v>642</v>
      </c>
      <c r="B47" s="107" t="s">
        <v>632</v>
      </c>
      <c r="C47" s="102">
        <v>983</v>
      </c>
      <c r="D47" s="103">
        <v>828</v>
      </c>
      <c r="E47" s="103">
        <v>136</v>
      </c>
      <c r="F47" s="103">
        <v>17</v>
      </c>
      <c r="G47" s="103">
        <v>7</v>
      </c>
      <c r="H47" s="103">
        <v>6</v>
      </c>
      <c r="I47" s="103">
        <v>0</v>
      </c>
      <c r="J47" s="104">
        <v>0</v>
      </c>
      <c r="K47" s="104">
        <v>262</v>
      </c>
      <c r="L47" s="105">
        <v>71</v>
      </c>
      <c r="M47" s="104">
        <v>168</v>
      </c>
      <c r="N47" s="105">
        <v>135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643</v>
      </c>
      <c r="B49" s="101" t="s">
        <v>630</v>
      </c>
      <c r="C49" s="102">
        <v>920</v>
      </c>
      <c r="D49" s="103">
        <v>333</v>
      </c>
      <c r="E49" s="103">
        <v>176</v>
      </c>
      <c r="F49" s="103">
        <v>228</v>
      </c>
      <c r="G49" s="103">
        <v>22</v>
      </c>
      <c r="H49" s="103">
        <v>106</v>
      </c>
      <c r="I49" s="103">
        <v>43</v>
      </c>
      <c r="J49" s="103">
        <v>19</v>
      </c>
      <c r="K49" s="104">
        <v>16</v>
      </c>
      <c r="L49" s="105">
        <v>318</v>
      </c>
      <c r="M49" s="104">
        <v>23</v>
      </c>
      <c r="N49" s="105">
        <v>419</v>
      </c>
    </row>
    <row r="50" spans="1:14" ht="15.75" customHeight="1" x14ac:dyDescent="0.2">
      <c r="A50" s="100" t="s">
        <v>643</v>
      </c>
      <c r="B50" s="106" t="s">
        <v>631</v>
      </c>
      <c r="C50" s="102">
        <v>1161</v>
      </c>
      <c r="D50" s="103">
        <v>863</v>
      </c>
      <c r="E50" s="103">
        <v>184</v>
      </c>
      <c r="F50" s="103">
        <v>100</v>
      </c>
      <c r="G50" s="103">
        <v>15</v>
      </c>
      <c r="H50" s="103">
        <v>19</v>
      </c>
      <c r="I50" s="104">
        <v>0</v>
      </c>
      <c r="J50" s="104">
        <v>0</v>
      </c>
      <c r="K50" s="104">
        <v>228</v>
      </c>
      <c r="L50" s="105">
        <v>115</v>
      </c>
      <c r="M50" s="104">
        <v>210</v>
      </c>
      <c r="N50" s="105">
        <v>193</v>
      </c>
    </row>
    <row r="51" spans="1:14" ht="15.75" customHeight="1" x14ac:dyDescent="0.2">
      <c r="A51" s="100" t="s">
        <v>643</v>
      </c>
      <c r="B51" s="107" t="s">
        <v>632</v>
      </c>
      <c r="C51" s="102">
        <v>998</v>
      </c>
      <c r="D51" s="103">
        <v>841</v>
      </c>
      <c r="E51" s="103">
        <v>137</v>
      </c>
      <c r="F51" s="103">
        <v>19</v>
      </c>
      <c r="G51" s="103">
        <v>11</v>
      </c>
      <c r="H51" s="103">
        <v>10</v>
      </c>
      <c r="I51" s="104">
        <v>0</v>
      </c>
      <c r="J51" s="104">
        <v>0</v>
      </c>
      <c r="K51" s="104">
        <v>236</v>
      </c>
      <c r="L51" s="105">
        <v>84</v>
      </c>
      <c r="M51" s="104">
        <v>183</v>
      </c>
      <c r="N51" s="105">
        <v>159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644</v>
      </c>
      <c r="B53" s="101" t="s">
        <v>630</v>
      </c>
      <c r="C53" s="102">
        <v>1100</v>
      </c>
      <c r="D53" s="103">
        <v>409</v>
      </c>
      <c r="E53" s="103">
        <v>159</v>
      </c>
      <c r="F53" s="103">
        <v>280</v>
      </c>
      <c r="G53" s="103">
        <v>30</v>
      </c>
      <c r="H53" s="103">
        <v>148</v>
      </c>
      <c r="I53" s="103">
        <v>58</v>
      </c>
      <c r="J53" s="103">
        <v>25</v>
      </c>
      <c r="K53" s="104">
        <v>15</v>
      </c>
      <c r="L53" s="105">
        <v>394</v>
      </c>
      <c r="M53" s="104">
        <v>27</v>
      </c>
      <c r="N53" s="105">
        <v>525</v>
      </c>
    </row>
    <row r="54" spans="1:14" ht="15.75" customHeight="1" x14ac:dyDescent="0.2">
      <c r="A54" s="100" t="s">
        <v>644</v>
      </c>
      <c r="B54" s="106" t="s">
        <v>631</v>
      </c>
      <c r="C54" s="102">
        <v>1233</v>
      </c>
      <c r="D54" s="103">
        <v>932</v>
      </c>
      <c r="E54" s="103">
        <v>218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264</v>
      </c>
      <c r="L54" s="105">
        <v>97</v>
      </c>
      <c r="M54" s="104">
        <v>238</v>
      </c>
      <c r="N54" s="105">
        <v>216</v>
      </c>
    </row>
    <row r="55" spans="1:14" ht="15.75" customHeight="1" x14ac:dyDescent="0.2">
      <c r="A55" s="100" t="s">
        <v>644</v>
      </c>
      <c r="B55" s="107" t="s">
        <v>632</v>
      </c>
      <c r="C55" s="102">
        <v>1119</v>
      </c>
      <c r="D55" s="103">
        <v>955</v>
      </c>
      <c r="E55" s="103">
        <v>150</v>
      </c>
      <c r="F55" s="103">
        <v>22</v>
      </c>
      <c r="G55" s="103">
        <v>10</v>
      </c>
      <c r="H55" s="103">
        <v>11</v>
      </c>
      <c r="I55" s="103">
        <v>1</v>
      </c>
      <c r="J55" s="104">
        <v>0</v>
      </c>
      <c r="K55" s="104">
        <v>255</v>
      </c>
      <c r="L55" s="105">
        <v>88</v>
      </c>
      <c r="M55" s="104">
        <v>201</v>
      </c>
      <c r="N55" s="105">
        <v>179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645</v>
      </c>
      <c r="B57" s="101" t="s">
        <v>630</v>
      </c>
      <c r="C57" s="102">
        <v>703</v>
      </c>
      <c r="D57" s="103">
        <v>194</v>
      </c>
      <c r="E57" s="103">
        <v>83</v>
      </c>
      <c r="F57" s="103">
        <v>195</v>
      </c>
      <c r="G57" s="103">
        <v>26</v>
      </c>
      <c r="H57" s="103">
        <v>120</v>
      </c>
      <c r="I57" s="103">
        <v>62</v>
      </c>
      <c r="J57" s="103">
        <v>24</v>
      </c>
      <c r="K57" s="104">
        <v>17</v>
      </c>
      <c r="L57" s="105">
        <v>229</v>
      </c>
      <c r="M57" s="104">
        <v>15</v>
      </c>
      <c r="N57" s="105">
        <v>382</v>
      </c>
    </row>
    <row r="58" spans="1:14" ht="15.75" customHeight="1" x14ac:dyDescent="0.2">
      <c r="A58" s="100" t="s">
        <v>645</v>
      </c>
      <c r="B58" s="106" t="s">
        <v>631</v>
      </c>
      <c r="C58" s="102">
        <v>1099</v>
      </c>
      <c r="D58" s="103">
        <v>862</v>
      </c>
      <c r="E58" s="103">
        <v>185</v>
      </c>
      <c r="F58" s="103">
        <v>57</v>
      </c>
      <c r="G58" s="103">
        <v>11</v>
      </c>
      <c r="H58" s="103">
        <v>11</v>
      </c>
      <c r="I58" s="103">
        <v>1</v>
      </c>
      <c r="J58" s="104">
        <v>0</v>
      </c>
      <c r="K58" s="104">
        <v>261</v>
      </c>
      <c r="L58" s="105">
        <v>91</v>
      </c>
      <c r="M58" s="104">
        <v>163</v>
      </c>
      <c r="N58" s="105">
        <v>163</v>
      </c>
    </row>
    <row r="59" spans="1:14" ht="15.75" customHeight="1" x14ac:dyDescent="0.2">
      <c r="A59" s="100" t="s">
        <v>645</v>
      </c>
      <c r="B59" s="107" t="s">
        <v>632</v>
      </c>
      <c r="C59" s="102">
        <v>903</v>
      </c>
      <c r="D59" s="103">
        <v>756</v>
      </c>
      <c r="E59" s="103">
        <v>122</v>
      </c>
      <c r="F59" s="103">
        <v>20</v>
      </c>
      <c r="G59" s="103">
        <v>16</v>
      </c>
      <c r="H59" s="103">
        <v>11</v>
      </c>
      <c r="I59" s="103">
        <v>2</v>
      </c>
      <c r="J59" s="104">
        <v>0</v>
      </c>
      <c r="K59" s="104">
        <v>225</v>
      </c>
      <c r="L59" s="105">
        <v>52</v>
      </c>
      <c r="M59" s="104">
        <v>136</v>
      </c>
      <c r="N59" s="105">
        <v>147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646</v>
      </c>
      <c r="B61" s="101" t="s">
        <v>630</v>
      </c>
      <c r="C61" s="102">
        <v>732</v>
      </c>
      <c r="D61" s="103">
        <v>247</v>
      </c>
      <c r="E61" s="103">
        <v>99</v>
      </c>
      <c r="F61" s="103">
        <v>175</v>
      </c>
      <c r="G61" s="103">
        <v>20</v>
      </c>
      <c r="H61" s="103">
        <v>112</v>
      </c>
      <c r="I61" s="103">
        <v>52</v>
      </c>
      <c r="J61" s="103">
        <v>32</v>
      </c>
      <c r="K61" s="105">
        <v>13</v>
      </c>
      <c r="L61" s="105">
        <v>252</v>
      </c>
      <c r="M61" s="105">
        <v>11</v>
      </c>
      <c r="N61" s="105">
        <v>338</v>
      </c>
    </row>
    <row r="62" spans="1:14" ht="15.75" customHeight="1" x14ac:dyDescent="0.2">
      <c r="A62" s="100" t="s">
        <v>646</v>
      </c>
      <c r="B62" s="106" t="s">
        <v>631</v>
      </c>
      <c r="C62" s="102">
        <v>914</v>
      </c>
      <c r="D62" s="103">
        <v>677</v>
      </c>
      <c r="E62" s="103">
        <v>161</v>
      </c>
      <c r="F62" s="103">
        <v>68</v>
      </c>
      <c r="G62" s="103">
        <v>9</v>
      </c>
      <c r="H62" s="103">
        <v>9</v>
      </c>
      <c r="I62" s="103">
        <v>5</v>
      </c>
      <c r="J62" s="104">
        <v>0</v>
      </c>
      <c r="K62" s="105">
        <v>179</v>
      </c>
      <c r="L62" s="105">
        <v>78</v>
      </c>
      <c r="M62" s="105">
        <v>122</v>
      </c>
      <c r="N62" s="105">
        <v>131</v>
      </c>
    </row>
    <row r="63" spans="1:14" ht="15.75" customHeight="1" x14ac:dyDescent="0.2">
      <c r="A63" s="100" t="s">
        <v>646</v>
      </c>
      <c r="B63" s="107" t="s">
        <v>632</v>
      </c>
      <c r="C63" s="102">
        <v>866</v>
      </c>
      <c r="D63" s="103">
        <v>734</v>
      </c>
      <c r="E63" s="103">
        <v>114</v>
      </c>
      <c r="F63" s="103">
        <v>15</v>
      </c>
      <c r="G63" s="103">
        <v>12</v>
      </c>
      <c r="H63" s="103">
        <v>11</v>
      </c>
      <c r="I63" s="104">
        <v>0</v>
      </c>
      <c r="J63" s="104">
        <v>0</v>
      </c>
      <c r="K63" s="105">
        <v>185</v>
      </c>
      <c r="L63" s="105">
        <v>82</v>
      </c>
      <c r="M63" s="105">
        <v>125</v>
      </c>
      <c r="N63" s="105">
        <v>141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647</v>
      </c>
      <c r="B65" s="101" t="s">
        <v>630</v>
      </c>
      <c r="C65" s="102">
        <v>675</v>
      </c>
      <c r="D65" s="103">
        <v>260</v>
      </c>
      <c r="E65" s="103">
        <v>82</v>
      </c>
      <c r="F65" s="103">
        <v>169</v>
      </c>
      <c r="G65" s="103">
        <v>7</v>
      </c>
      <c r="H65" s="103">
        <v>88</v>
      </c>
      <c r="I65" s="103">
        <v>46</v>
      </c>
      <c r="J65" s="103">
        <v>28</v>
      </c>
      <c r="K65" s="105">
        <v>17</v>
      </c>
      <c r="L65" s="105">
        <v>233</v>
      </c>
      <c r="M65" s="105">
        <v>6</v>
      </c>
      <c r="N65" s="105">
        <v>295</v>
      </c>
    </row>
    <row r="66" spans="1:14" ht="15.75" customHeight="1" x14ac:dyDescent="0.2">
      <c r="A66" s="100" t="s">
        <v>647</v>
      </c>
      <c r="B66" s="106" t="s">
        <v>631</v>
      </c>
      <c r="C66" s="102">
        <v>967</v>
      </c>
      <c r="D66" s="103">
        <v>713</v>
      </c>
      <c r="E66" s="103">
        <v>186</v>
      </c>
      <c r="F66" s="103">
        <v>63</v>
      </c>
      <c r="G66" s="103">
        <v>12</v>
      </c>
      <c r="H66" s="103">
        <v>14</v>
      </c>
      <c r="I66" s="103">
        <v>6</v>
      </c>
      <c r="J66" s="104">
        <v>0</v>
      </c>
      <c r="K66" s="105">
        <v>212</v>
      </c>
      <c r="L66" s="105">
        <v>85</v>
      </c>
      <c r="M66" s="105">
        <v>126</v>
      </c>
      <c r="N66" s="105">
        <v>139</v>
      </c>
    </row>
    <row r="67" spans="1:14" ht="15.75" customHeight="1" x14ac:dyDescent="0.2">
      <c r="A67" s="100" t="s">
        <v>647</v>
      </c>
      <c r="B67" s="107" t="s">
        <v>632</v>
      </c>
      <c r="C67" s="102">
        <v>704</v>
      </c>
      <c r="D67" s="103">
        <v>574</v>
      </c>
      <c r="E67" s="103">
        <v>108</v>
      </c>
      <c r="F67" s="103">
        <v>18</v>
      </c>
      <c r="G67" s="103">
        <v>10</v>
      </c>
      <c r="H67" s="103">
        <v>2</v>
      </c>
      <c r="I67" s="103">
        <v>2</v>
      </c>
      <c r="J67" s="104">
        <v>0</v>
      </c>
      <c r="K67" s="105">
        <v>148</v>
      </c>
      <c r="L67" s="105">
        <v>75</v>
      </c>
      <c r="M67" s="105">
        <v>92</v>
      </c>
      <c r="N67" s="105">
        <v>113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648</v>
      </c>
      <c r="B69" s="101" t="s">
        <v>630</v>
      </c>
      <c r="C69" s="102">
        <v>670</v>
      </c>
      <c r="D69" s="103">
        <v>263</v>
      </c>
      <c r="E69" s="103">
        <v>99</v>
      </c>
      <c r="F69" s="103">
        <v>150</v>
      </c>
      <c r="G69" s="103">
        <v>18</v>
      </c>
      <c r="H69" s="103">
        <v>79</v>
      </c>
      <c r="I69" s="103">
        <v>44</v>
      </c>
      <c r="J69" s="103">
        <v>22</v>
      </c>
      <c r="K69" s="105">
        <v>11</v>
      </c>
      <c r="L69" s="105">
        <v>213</v>
      </c>
      <c r="M69" s="105">
        <v>15</v>
      </c>
      <c r="N69" s="105">
        <v>288</v>
      </c>
    </row>
    <row r="70" spans="1:14" ht="15.75" customHeight="1" x14ac:dyDescent="0.2">
      <c r="A70" s="100" t="s">
        <v>648</v>
      </c>
      <c r="B70" s="106" t="s">
        <v>631</v>
      </c>
      <c r="C70" s="102">
        <v>946</v>
      </c>
      <c r="D70" s="103">
        <v>656</v>
      </c>
      <c r="E70" s="103">
        <v>196</v>
      </c>
      <c r="F70" s="103">
        <v>97</v>
      </c>
      <c r="G70" s="103">
        <v>14</v>
      </c>
      <c r="H70" s="103">
        <v>13</v>
      </c>
      <c r="I70" s="103">
        <v>4</v>
      </c>
      <c r="J70" s="104">
        <v>0</v>
      </c>
      <c r="K70" s="105">
        <v>204</v>
      </c>
      <c r="L70" s="105">
        <v>72</v>
      </c>
      <c r="M70" s="105">
        <v>116</v>
      </c>
      <c r="N70" s="105">
        <v>141</v>
      </c>
    </row>
    <row r="71" spans="1:14" ht="15.75" customHeight="1" x14ac:dyDescent="0.2">
      <c r="A71" s="100" t="s">
        <v>648</v>
      </c>
      <c r="B71" s="107" t="s">
        <v>632</v>
      </c>
      <c r="C71" s="102">
        <v>683</v>
      </c>
      <c r="D71" s="103">
        <v>572</v>
      </c>
      <c r="E71" s="103">
        <v>96</v>
      </c>
      <c r="F71" s="103">
        <v>16</v>
      </c>
      <c r="G71" s="103">
        <v>8</v>
      </c>
      <c r="H71" s="103">
        <v>7</v>
      </c>
      <c r="I71" s="104">
        <v>0</v>
      </c>
      <c r="J71" s="104">
        <v>0</v>
      </c>
      <c r="K71" s="105">
        <v>158</v>
      </c>
      <c r="L71" s="105">
        <v>62</v>
      </c>
      <c r="M71" s="105">
        <v>91</v>
      </c>
      <c r="N71" s="105">
        <v>117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574</v>
      </c>
      <c r="B73" s="101" t="s">
        <v>630</v>
      </c>
      <c r="C73" s="102">
        <v>687</v>
      </c>
      <c r="D73" s="103">
        <v>259</v>
      </c>
      <c r="E73" s="103">
        <v>82</v>
      </c>
      <c r="F73" s="103">
        <v>157</v>
      </c>
      <c r="G73" s="103">
        <v>12</v>
      </c>
      <c r="H73" s="103">
        <v>100</v>
      </c>
      <c r="I73" s="103">
        <v>62</v>
      </c>
      <c r="J73" s="103">
        <v>24</v>
      </c>
      <c r="K73" s="105">
        <v>12</v>
      </c>
      <c r="L73" s="105">
        <v>209</v>
      </c>
      <c r="M73" s="105">
        <v>11</v>
      </c>
      <c r="N73" s="105">
        <v>312</v>
      </c>
    </row>
    <row r="74" spans="1:14" ht="15.75" customHeight="1" x14ac:dyDescent="0.2">
      <c r="A74" s="100" t="s">
        <v>574</v>
      </c>
      <c r="B74" s="106" t="s">
        <v>631</v>
      </c>
      <c r="C74" s="102">
        <v>1019</v>
      </c>
      <c r="D74" s="103">
        <v>738</v>
      </c>
      <c r="E74" s="103">
        <v>205</v>
      </c>
      <c r="F74" s="103">
        <v>70</v>
      </c>
      <c r="G74" s="103">
        <v>13</v>
      </c>
      <c r="H74" s="103">
        <v>16</v>
      </c>
      <c r="I74" s="103">
        <v>5</v>
      </c>
      <c r="J74" s="104">
        <v>0</v>
      </c>
      <c r="K74" s="105">
        <v>179</v>
      </c>
      <c r="L74" s="105">
        <v>107</v>
      </c>
      <c r="M74" s="105">
        <v>125</v>
      </c>
      <c r="N74" s="105">
        <v>140</v>
      </c>
    </row>
    <row r="75" spans="1:14" ht="15.75" customHeight="1" x14ac:dyDescent="0.2">
      <c r="A75" s="100" t="s">
        <v>574</v>
      </c>
      <c r="B75" s="107" t="s">
        <v>632</v>
      </c>
      <c r="C75" s="102">
        <v>646</v>
      </c>
      <c r="D75" s="103">
        <v>545</v>
      </c>
      <c r="E75" s="103">
        <v>87</v>
      </c>
      <c r="F75" s="103">
        <v>16</v>
      </c>
      <c r="G75" s="103">
        <v>4</v>
      </c>
      <c r="H75" s="103">
        <v>7</v>
      </c>
      <c r="I75" s="104">
        <v>0</v>
      </c>
      <c r="J75" s="104">
        <v>0</v>
      </c>
      <c r="K75" s="105">
        <v>146</v>
      </c>
      <c r="L75" s="105">
        <v>63</v>
      </c>
      <c r="M75" s="105">
        <v>94</v>
      </c>
      <c r="N75" s="105">
        <v>103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649</v>
      </c>
      <c r="B77" s="101" t="s">
        <v>630</v>
      </c>
      <c r="C77" s="102">
        <v>806</v>
      </c>
      <c r="D77" s="103">
        <v>317</v>
      </c>
      <c r="E77" s="103">
        <v>102</v>
      </c>
      <c r="F77" s="103">
        <v>191</v>
      </c>
      <c r="G77" s="103">
        <v>18</v>
      </c>
      <c r="H77" s="103">
        <v>88</v>
      </c>
      <c r="I77" s="103">
        <v>64</v>
      </c>
      <c r="J77" s="103">
        <v>27</v>
      </c>
      <c r="K77" s="105">
        <v>20</v>
      </c>
      <c r="L77" s="105">
        <v>236</v>
      </c>
      <c r="M77" s="105">
        <v>12</v>
      </c>
      <c r="N77" s="105">
        <v>363</v>
      </c>
    </row>
    <row r="78" spans="1:14" ht="19.5" customHeight="1" x14ac:dyDescent="0.2">
      <c r="A78" s="100" t="s">
        <v>649</v>
      </c>
      <c r="B78" s="106" t="s">
        <v>631</v>
      </c>
      <c r="C78" s="102">
        <v>1147</v>
      </c>
      <c r="D78" s="103">
        <v>870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172</v>
      </c>
      <c r="N78" s="105">
        <v>151</v>
      </c>
    </row>
    <row r="79" spans="1:14" ht="15.75" customHeight="1" x14ac:dyDescent="0.2">
      <c r="A79" s="100" t="s">
        <v>649</v>
      </c>
      <c r="B79" s="107" t="s">
        <v>632</v>
      </c>
      <c r="C79" s="102">
        <v>662</v>
      </c>
      <c r="D79" s="103">
        <v>535</v>
      </c>
      <c r="E79" s="103">
        <v>109</v>
      </c>
      <c r="F79" s="103">
        <v>12</v>
      </c>
      <c r="G79" s="103">
        <v>7</v>
      </c>
      <c r="H79" s="103">
        <v>4</v>
      </c>
      <c r="I79" s="104">
        <v>0</v>
      </c>
      <c r="J79" s="104">
        <v>0</v>
      </c>
      <c r="K79" s="105">
        <v>159</v>
      </c>
      <c r="L79" s="105">
        <v>59</v>
      </c>
      <c r="M79" s="105">
        <v>92</v>
      </c>
      <c r="N79" s="105">
        <v>118</v>
      </c>
    </row>
    <row r="80" spans="1:14" ht="15.75" customHeight="1" x14ac:dyDescent="0.2">
      <c r="A80" s="108" t="s">
        <v>650</v>
      </c>
      <c r="B80" s="108" t="s">
        <v>630</v>
      </c>
      <c r="C80" s="108">
        <v>807</v>
      </c>
      <c r="D80" s="108">
        <v>290</v>
      </c>
      <c r="E80" s="108">
        <v>101</v>
      </c>
      <c r="F80" s="108">
        <v>197</v>
      </c>
      <c r="G80" s="108">
        <v>23</v>
      </c>
      <c r="H80" s="108">
        <v>95</v>
      </c>
      <c r="I80" s="108">
        <v>69</v>
      </c>
      <c r="J80" s="108">
        <v>34</v>
      </c>
      <c r="K80" s="108">
        <v>23</v>
      </c>
      <c r="L80" s="108">
        <v>135</v>
      </c>
      <c r="M80" s="108">
        <v>11</v>
      </c>
      <c r="N80" s="108">
        <v>391</v>
      </c>
    </row>
    <row r="81" spans="1:14" ht="15.75" customHeight="1" x14ac:dyDescent="0.2">
      <c r="A81" s="112" t="s">
        <v>650</v>
      </c>
      <c r="B81" t="s">
        <v>631</v>
      </c>
      <c r="C81">
        <v>1112</v>
      </c>
      <c r="D81">
        <v>834</v>
      </c>
      <c r="E81">
        <v>174</v>
      </c>
      <c r="F81">
        <v>75</v>
      </c>
      <c r="G81">
        <v>10</v>
      </c>
      <c r="H81">
        <v>19</v>
      </c>
      <c r="I81">
        <v>6</v>
      </c>
      <c r="J81">
        <v>0</v>
      </c>
      <c r="K81">
        <v>201</v>
      </c>
      <c r="L81">
        <v>176</v>
      </c>
      <c r="M81">
        <v>141</v>
      </c>
      <c r="N81">
        <v>171</v>
      </c>
    </row>
    <row r="82" spans="1:14" ht="4.5" customHeight="1" x14ac:dyDescent="0.2">
      <c r="A82" s="100" t="s">
        <v>650</v>
      </c>
      <c r="B82" s="101" t="s">
        <v>632</v>
      </c>
      <c r="C82" s="102">
        <v>582</v>
      </c>
      <c r="D82" s="103">
        <v>474</v>
      </c>
      <c r="E82" s="103">
        <v>88</v>
      </c>
      <c r="F82" s="103">
        <v>14</v>
      </c>
      <c r="G82" s="103">
        <v>4</v>
      </c>
      <c r="H82" s="103">
        <v>6</v>
      </c>
      <c r="I82" s="103">
        <v>0</v>
      </c>
      <c r="J82" s="103">
        <v>0</v>
      </c>
      <c r="K82" s="105">
        <v>124</v>
      </c>
      <c r="L82" s="105">
        <v>47</v>
      </c>
      <c r="M82" s="105">
        <v>83</v>
      </c>
      <c r="N82" s="105">
        <v>115</v>
      </c>
    </row>
    <row r="83" spans="1:14" ht="15.75" customHeight="1" x14ac:dyDescent="0.2">
      <c r="A83" t="s">
        <v>651</v>
      </c>
      <c r="B83" t="s">
        <v>630</v>
      </c>
      <c r="C83">
        <v>750</v>
      </c>
      <c r="D83">
        <v>313</v>
      </c>
      <c r="E83">
        <v>87</v>
      </c>
      <c r="F83">
        <v>193</v>
      </c>
      <c r="G83">
        <v>12</v>
      </c>
      <c r="H83">
        <v>82</v>
      </c>
      <c r="I83">
        <v>41</v>
      </c>
      <c r="J83">
        <v>26</v>
      </c>
      <c r="K83">
        <v>18</v>
      </c>
      <c r="L83">
        <v>105</v>
      </c>
      <c r="M83">
        <v>11</v>
      </c>
      <c r="N83">
        <v>309</v>
      </c>
    </row>
    <row r="84" spans="1:14" ht="15.75" customHeight="1" x14ac:dyDescent="0.2">
      <c r="A84" t="s">
        <v>651</v>
      </c>
      <c r="B84" t="s">
        <v>631</v>
      </c>
      <c r="C84">
        <v>948</v>
      </c>
      <c r="D84">
        <v>684</v>
      </c>
      <c r="E84">
        <v>171</v>
      </c>
      <c r="F84">
        <v>72</v>
      </c>
      <c r="G84">
        <v>9</v>
      </c>
      <c r="H84">
        <v>14</v>
      </c>
      <c r="I84">
        <v>3</v>
      </c>
      <c r="J84">
        <v>0</v>
      </c>
      <c r="K84">
        <v>174</v>
      </c>
      <c r="L84">
        <v>134</v>
      </c>
      <c r="M84">
        <v>133</v>
      </c>
      <c r="N84">
        <v>154</v>
      </c>
    </row>
    <row r="85" spans="1:14" ht="15.75" customHeight="1" x14ac:dyDescent="0.2">
      <c r="A85" t="s">
        <v>651</v>
      </c>
      <c r="B85" t="s">
        <v>632</v>
      </c>
      <c r="C85">
        <v>506</v>
      </c>
      <c r="D85">
        <v>427</v>
      </c>
      <c r="E85">
        <v>67</v>
      </c>
      <c r="F85">
        <v>8</v>
      </c>
      <c r="G85">
        <v>5</v>
      </c>
      <c r="H85">
        <v>1</v>
      </c>
      <c r="I85">
        <v>0</v>
      </c>
      <c r="J85">
        <v>1</v>
      </c>
      <c r="K85">
        <v>116</v>
      </c>
      <c r="L85">
        <v>61</v>
      </c>
      <c r="M85">
        <v>66</v>
      </c>
      <c r="N85">
        <v>84</v>
      </c>
    </row>
    <row r="86" spans="1:14" ht="4.5" customHeight="1" x14ac:dyDescent="0.2">
      <c r="A86" s="151" t="s">
        <v>652</v>
      </c>
      <c r="B86" s="151" t="s">
        <v>630</v>
      </c>
      <c r="C86" s="151">
        <v>279</v>
      </c>
      <c r="D86" s="151">
        <v>98</v>
      </c>
      <c r="E86" s="151">
        <v>38</v>
      </c>
      <c r="F86" s="151">
        <v>63</v>
      </c>
      <c r="G86" s="151">
        <v>8</v>
      </c>
      <c r="H86" s="151">
        <v>43</v>
      </c>
      <c r="I86" s="151">
        <v>17</v>
      </c>
      <c r="J86" s="151">
        <v>12</v>
      </c>
      <c r="K86" s="151">
        <v>11</v>
      </c>
      <c r="L86" s="151">
        <v>44</v>
      </c>
      <c r="M86" s="151">
        <v>3</v>
      </c>
      <c r="N86" s="151">
        <v>23</v>
      </c>
    </row>
    <row r="87" spans="1:14" ht="15.75" customHeight="1" x14ac:dyDescent="0.2">
      <c r="A87" s="151" t="s">
        <v>652</v>
      </c>
      <c r="B87" s="151" t="s">
        <v>631</v>
      </c>
      <c r="C87" s="151">
        <v>376</v>
      </c>
      <c r="D87" s="151">
        <v>254</v>
      </c>
      <c r="E87" s="151">
        <v>72</v>
      </c>
      <c r="F87" s="151">
        <v>39</v>
      </c>
      <c r="G87" s="151">
        <v>4</v>
      </c>
      <c r="H87" s="151">
        <v>4</v>
      </c>
      <c r="I87" s="151">
        <v>3</v>
      </c>
      <c r="J87" s="151">
        <v>0</v>
      </c>
      <c r="K87" s="151">
        <v>77</v>
      </c>
      <c r="L87" s="151">
        <v>56</v>
      </c>
      <c r="M87" s="151">
        <v>58</v>
      </c>
      <c r="N87" s="151">
        <v>23</v>
      </c>
    </row>
    <row r="88" spans="1:14" ht="15.75" customHeight="1" x14ac:dyDescent="0.2">
      <c r="A88" s="151" t="s">
        <v>652</v>
      </c>
      <c r="B88" s="151" t="s">
        <v>632</v>
      </c>
      <c r="C88" s="151">
        <v>183</v>
      </c>
      <c r="D88" s="151">
        <v>161</v>
      </c>
      <c r="E88" s="151">
        <v>20</v>
      </c>
      <c r="F88" s="151">
        <v>2</v>
      </c>
      <c r="G88" s="151">
        <v>0</v>
      </c>
      <c r="H88" s="151">
        <v>0</v>
      </c>
      <c r="I88" s="151">
        <v>0</v>
      </c>
      <c r="J88" s="151">
        <v>0</v>
      </c>
      <c r="K88" s="151">
        <v>50</v>
      </c>
      <c r="L88" s="151">
        <v>19</v>
      </c>
      <c r="M88" s="151">
        <v>30</v>
      </c>
      <c r="N88" s="151">
        <v>12</v>
      </c>
    </row>
    <row r="89" spans="1:14" ht="15.75" customHeight="1" x14ac:dyDescent="0.2">
      <c r="A89" s="100" t="s">
        <v>629</v>
      </c>
      <c r="B89" s="106" t="s">
        <v>631</v>
      </c>
      <c r="C89" s="102">
        <v>898</v>
      </c>
      <c r="D89" s="103">
        <v>751</v>
      </c>
      <c r="E89" s="103">
        <v>109</v>
      </c>
      <c r="F89" s="103">
        <v>28</v>
      </c>
      <c r="G89" s="103">
        <v>2</v>
      </c>
      <c r="H89" s="103">
        <v>7</v>
      </c>
      <c r="I89" s="103">
        <v>1</v>
      </c>
      <c r="J89" s="104">
        <v>0</v>
      </c>
      <c r="K89" s="105">
        <v>506</v>
      </c>
      <c r="L89" s="105">
        <v>6</v>
      </c>
      <c r="M89" s="105">
        <v>9</v>
      </c>
      <c r="N89" s="105">
        <v>153</v>
      </c>
    </row>
    <row r="90" spans="1:14" ht="4.5" customHeight="1" x14ac:dyDescent="0.2">
      <c r="A90" s="100" t="s">
        <v>629</v>
      </c>
      <c r="B90" s="107" t="s">
        <v>632</v>
      </c>
      <c r="C90" s="102">
        <v>920</v>
      </c>
      <c r="D90" s="103">
        <v>871</v>
      </c>
      <c r="E90" s="103">
        <v>44</v>
      </c>
      <c r="F90" s="103">
        <v>3</v>
      </c>
      <c r="G90" s="103">
        <v>2</v>
      </c>
      <c r="H90" s="104">
        <v>0</v>
      </c>
      <c r="I90" s="104">
        <v>0</v>
      </c>
      <c r="J90" s="104">
        <v>0</v>
      </c>
      <c r="K90" s="105">
        <v>469</v>
      </c>
      <c r="L90" s="105">
        <v>4</v>
      </c>
      <c r="M90" s="105">
        <v>3</v>
      </c>
      <c r="N90" s="105">
        <v>79</v>
      </c>
    </row>
    <row r="91" spans="1:14" ht="15.75" customHeight="1" x14ac:dyDescent="0.2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</row>
    <row r="92" spans="1:14" ht="15.75" customHeight="1" x14ac:dyDescent="0.2">
      <c r="A92" s="100" t="s">
        <v>633</v>
      </c>
      <c r="B92" s="101" t="s">
        <v>630</v>
      </c>
      <c r="C92" s="102">
        <v>563</v>
      </c>
      <c r="D92" s="103">
        <v>273</v>
      </c>
      <c r="E92" s="103">
        <v>123</v>
      </c>
      <c r="F92" s="103">
        <v>67</v>
      </c>
      <c r="G92" s="103">
        <v>10</v>
      </c>
      <c r="H92" s="103">
        <v>69</v>
      </c>
      <c r="I92" s="103">
        <v>16</v>
      </c>
      <c r="J92" s="103">
        <v>5</v>
      </c>
      <c r="K92" s="105">
        <v>26</v>
      </c>
      <c r="L92" s="105">
        <v>180</v>
      </c>
      <c r="M92" s="105">
        <v>3</v>
      </c>
      <c r="N92" s="105">
        <v>218</v>
      </c>
    </row>
    <row r="93" spans="1:14" ht="15.75" customHeight="1" x14ac:dyDescent="0.2">
      <c r="A93" s="100" t="s">
        <v>633</v>
      </c>
      <c r="B93" s="106" t="s">
        <v>631</v>
      </c>
      <c r="C93" s="102">
        <v>324</v>
      </c>
      <c r="D93" s="103">
        <v>271</v>
      </c>
      <c r="E93" s="103">
        <v>42</v>
      </c>
      <c r="F93" s="103">
        <v>10</v>
      </c>
      <c r="G93" s="103">
        <v>1</v>
      </c>
      <c r="H93" s="104">
        <v>0</v>
      </c>
      <c r="I93" s="104">
        <v>0</v>
      </c>
      <c r="J93" s="104">
        <v>0</v>
      </c>
      <c r="K93" s="105">
        <v>172</v>
      </c>
      <c r="L93" s="105">
        <v>5</v>
      </c>
      <c r="M93" s="105">
        <v>2</v>
      </c>
      <c r="N93" s="105">
        <v>43</v>
      </c>
    </row>
    <row r="94" spans="1:14" ht="4.5" customHeight="1" x14ac:dyDescent="0.2">
      <c r="A94" s="100" t="s">
        <v>633</v>
      </c>
      <c r="B94" s="107" t="s">
        <v>632</v>
      </c>
      <c r="C94" s="102">
        <v>394</v>
      </c>
      <c r="D94" s="103">
        <v>359</v>
      </c>
      <c r="E94" s="103">
        <v>25</v>
      </c>
      <c r="F94" s="103">
        <v>3</v>
      </c>
      <c r="G94" s="103">
        <v>4</v>
      </c>
      <c r="H94" s="103">
        <v>3</v>
      </c>
      <c r="I94" s="104">
        <v>0</v>
      </c>
      <c r="J94" s="104">
        <v>0</v>
      </c>
      <c r="K94" s="105">
        <v>182</v>
      </c>
      <c r="L94" s="104">
        <v>0</v>
      </c>
      <c r="M94" s="105">
        <v>1</v>
      </c>
      <c r="N94" s="105">
        <v>44</v>
      </c>
    </row>
    <row r="95" spans="1:14" ht="15.75" customHeight="1" x14ac:dyDescent="0.2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</row>
    <row r="96" spans="1:14" ht="15.75" customHeight="1" x14ac:dyDescent="0.2">
      <c r="A96" s="100" t="s">
        <v>634</v>
      </c>
      <c r="B96" s="101" t="s">
        <v>630</v>
      </c>
      <c r="C96" s="102">
        <v>803</v>
      </c>
      <c r="D96" s="103">
        <v>408</v>
      </c>
      <c r="E96" s="103">
        <v>202</v>
      </c>
      <c r="F96" s="103">
        <v>92</v>
      </c>
      <c r="G96" s="103">
        <v>13</v>
      </c>
      <c r="H96" s="103">
        <v>68</v>
      </c>
      <c r="I96" s="103">
        <v>17</v>
      </c>
      <c r="J96" s="103">
        <v>3</v>
      </c>
      <c r="K96" s="105">
        <v>37</v>
      </c>
      <c r="L96" s="105">
        <v>280</v>
      </c>
      <c r="M96" s="105">
        <v>2</v>
      </c>
      <c r="N96" s="105">
        <v>305</v>
      </c>
    </row>
    <row r="97" spans="1:14" ht="15.75" customHeight="1" x14ac:dyDescent="0.2">
      <c r="A97" s="100" t="s">
        <v>634</v>
      </c>
      <c r="B97" s="106" t="s">
        <v>631</v>
      </c>
      <c r="C97" s="102">
        <v>351</v>
      </c>
      <c r="D97" s="103">
        <v>307</v>
      </c>
      <c r="E97" s="103">
        <v>31</v>
      </c>
      <c r="F97" s="103">
        <v>10</v>
      </c>
      <c r="G97" s="103">
        <v>1</v>
      </c>
      <c r="H97" s="103">
        <v>2</v>
      </c>
      <c r="I97" s="104">
        <v>0</v>
      </c>
      <c r="J97" s="104">
        <v>0</v>
      </c>
      <c r="K97" s="105">
        <v>202</v>
      </c>
      <c r="L97" s="105">
        <v>2</v>
      </c>
      <c r="M97" s="105">
        <v>2</v>
      </c>
      <c r="N97" s="105">
        <v>46</v>
      </c>
    </row>
    <row r="98" spans="1:14" ht="4.5" customHeight="1" x14ac:dyDescent="0.2">
      <c r="A98" s="100" t="s">
        <v>634</v>
      </c>
      <c r="B98" s="107" t="s">
        <v>632</v>
      </c>
      <c r="C98" s="102">
        <v>439</v>
      </c>
      <c r="D98" s="103">
        <v>396</v>
      </c>
      <c r="E98" s="103">
        <v>38</v>
      </c>
      <c r="F98" s="103">
        <v>2</v>
      </c>
      <c r="G98" s="103">
        <v>2</v>
      </c>
      <c r="H98" s="103">
        <v>1</v>
      </c>
      <c r="I98" s="104">
        <v>0</v>
      </c>
      <c r="J98" s="104">
        <v>0</v>
      </c>
      <c r="K98" s="105">
        <v>210</v>
      </c>
      <c r="L98" s="105">
        <v>1</v>
      </c>
      <c r="M98" s="105">
        <v>5</v>
      </c>
      <c r="N98" s="105">
        <v>58</v>
      </c>
    </row>
    <row r="99" spans="1:14" ht="15.75" customHeight="1" x14ac:dyDescent="0.2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</row>
    <row r="100" spans="1:14" ht="15.75" customHeight="1" x14ac:dyDescent="0.2">
      <c r="A100" s="100" t="s">
        <v>635</v>
      </c>
      <c r="B100" s="101" t="s">
        <v>630</v>
      </c>
      <c r="C100" s="102">
        <v>847</v>
      </c>
      <c r="D100" s="103">
        <v>413</v>
      </c>
      <c r="E100" s="103">
        <v>228</v>
      </c>
      <c r="F100" s="103">
        <v>96</v>
      </c>
      <c r="G100" s="103">
        <v>20</v>
      </c>
      <c r="H100" s="103">
        <v>78</v>
      </c>
      <c r="I100" s="103">
        <v>9</v>
      </c>
      <c r="J100" s="103">
        <v>3</v>
      </c>
      <c r="K100" s="105">
        <v>33</v>
      </c>
      <c r="L100" s="105">
        <v>267</v>
      </c>
      <c r="M100" s="105">
        <v>4</v>
      </c>
      <c r="N100" s="105">
        <v>355</v>
      </c>
    </row>
    <row r="101" spans="1:14" ht="15.75" customHeight="1" x14ac:dyDescent="0.2">
      <c r="A101" s="100" t="s">
        <v>635</v>
      </c>
      <c r="B101" s="106" t="s">
        <v>631</v>
      </c>
      <c r="C101" s="102">
        <v>299</v>
      </c>
      <c r="D101" s="103">
        <v>253</v>
      </c>
      <c r="E101" s="103">
        <v>32</v>
      </c>
      <c r="F101" s="103">
        <v>11</v>
      </c>
      <c r="G101" s="103">
        <v>2</v>
      </c>
      <c r="H101" s="104">
        <v>0</v>
      </c>
      <c r="I101" s="103">
        <v>1</v>
      </c>
      <c r="J101" s="104">
        <v>0</v>
      </c>
      <c r="K101" s="105">
        <v>141</v>
      </c>
      <c r="L101" s="105">
        <v>7</v>
      </c>
      <c r="M101" s="105">
        <v>2</v>
      </c>
      <c r="N101" s="105">
        <v>54</v>
      </c>
    </row>
    <row r="102" spans="1:14" ht="4.5" customHeight="1" x14ac:dyDescent="0.2">
      <c r="A102" s="100" t="s">
        <v>635</v>
      </c>
      <c r="B102" s="107" t="s">
        <v>632</v>
      </c>
      <c r="C102" s="102">
        <v>460</v>
      </c>
      <c r="D102" s="103">
        <v>429</v>
      </c>
      <c r="E102" s="103">
        <v>29</v>
      </c>
      <c r="F102" s="103">
        <v>2</v>
      </c>
      <c r="G102" s="104">
        <v>0</v>
      </c>
      <c r="H102" s="104">
        <v>0</v>
      </c>
      <c r="I102" s="104">
        <v>0</v>
      </c>
      <c r="J102" s="104">
        <v>0</v>
      </c>
      <c r="K102" s="105">
        <v>223</v>
      </c>
      <c r="L102" s="105">
        <v>6</v>
      </c>
      <c r="M102" s="105">
        <v>3</v>
      </c>
      <c r="N102" s="105">
        <v>48</v>
      </c>
    </row>
    <row r="103" spans="1:14" ht="15.75" customHeight="1" x14ac:dyDescent="0.2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</row>
    <row r="104" spans="1:14" ht="15.75" customHeight="1" x14ac:dyDescent="0.2">
      <c r="A104" s="100" t="s">
        <v>636</v>
      </c>
      <c r="B104" s="101" t="s">
        <v>630</v>
      </c>
      <c r="C104" s="102">
        <v>920</v>
      </c>
      <c r="D104" s="103">
        <v>508</v>
      </c>
      <c r="E104" s="103">
        <v>232</v>
      </c>
      <c r="F104" s="103">
        <v>95</v>
      </c>
      <c r="G104" s="103">
        <v>8</v>
      </c>
      <c r="H104" s="103">
        <v>66</v>
      </c>
      <c r="I104" s="103">
        <v>9</v>
      </c>
      <c r="J104" s="103">
        <v>2</v>
      </c>
      <c r="K104" s="105">
        <v>34</v>
      </c>
      <c r="L104" s="105">
        <v>316</v>
      </c>
      <c r="M104" s="105">
        <v>6</v>
      </c>
      <c r="N104" s="105">
        <v>306</v>
      </c>
    </row>
    <row r="105" spans="1:14" ht="15.75" customHeight="1" x14ac:dyDescent="0.2">
      <c r="A105" s="100" t="s">
        <v>636</v>
      </c>
      <c r="B105" s="106" t="s">
        <v>631</v>
      </c>
      <c r="C105" s="102">
        <v>368</v>
      </c>
      <c r="D105" s="103">
        <v>309</v>
      </c>
      <c r="E105" s="103">
        <v>37</v>
      </c>
      <c r="F105" s="103">
        <v>14</v>
      </c>
      <c r="G105" s="103">
        <v>6</v>
      </c>
      <c r="H105" s="103">
        <v>2</v>
      </c>
      <c r="I105" s="104">
        <v>0</v>
      </c>
      <c r="J105" s="104">
        <v>0</v>
      </c>
      <c r="K105" s="105">
        <v>194</v>
      </c>
      <c r="L105" s="105">
        <v>4</v>
      </c>
      <c r="M105" s="105">
        <v>3</v>
      </c>
      <c r="N105" s="105">
        <v>63</v>
      </c>
    </row>
    <row r="106" spans="1:14" ht="4.5" customHeight="1" x14ac:dyDescent="0.2">
      <c r="A106" s="100" t="s">
        <v>636</v>
      </c>
      <c r="B106" s="107" t="s">
        <v>632</v>
      </c>
      <c r="C106" s="102">
        <v>380</v>
      </c>
      <c r="D106" s="103">
        <v>358</v>
      </c>
      <c r="E106" s="103">
        <v>14</v>
      </c>
      <c r="F106" s="103">
        <v>5</v>
      </c>
      <c r="G106" s="103">
        <v>2</v>
      </c>
      <c r="H106" s="103">
        <v>1</v>
      </c>
      <c r="I106" s="104">
        <v>0</v>
      </c>
      <c r="J106" s="104">
        <v>0</v>
      </c>
      <c r="K106" s="105">
        <v>186</v>
      </c>
      <c r="L106" s="105">
        <v>1</v>
      </c>
      <c r="M106" s="105">
        <v>3</v>
      </c>
      <c r="N106" s="105">
        <v>30</v>
      </c>
    </row>
    <row r="107" spans="1:14" ht="15.75" customHeight="1" x14ac:dyDescent="0.2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</row>
    <row r="108" spans="1:14" ht="15.75" customHeight="1" x14ac:dyDescent="0.2">
      <c r="A108" s="100" t="s">
        <v>637</v>
      </c>
      <c r="B108" s="101" t="s">
        <v>630</v>
      </c>
      <c r="C108" s="102">
        <v>854</v>
      </c>
      <c r="D108" s="103">
        <v>425</v>
      </c>
      <c r="E108" s="103">
        <v>217</v>
      </c>
      <c r="F108" s="103">
        <v>113</v>
      </c>
      <c r="G108" s="103">
        <v>10</v>
      </c>
      <c r="H108" s="103">
        <v>71</v>
      </c>
      <c r="I108" s="103">
        <v>15</v>
      </c>
      <c r="J108" s="103">
        <v>3</v>
      </c>
      <c r="K108" s="105">
        <v>27</v>
      </c>
      <c r="L108" s="105">
        <v>298</v>
      </c>
      <c r="M108" s="105">
        <v>4</v>
      </c>
      <c r="N108" s="105">
        <v>325</v>
      </c>
    </row>
    <row r="109" spans="1:14" ht="15.75" customHeight="1" x14ac:dyDescent="0.2">
      <c r="A109" s="100" t="s">
        <v>637</v>
      </c>
      <c r="B109" s="106" t="s">
        <v>631</v>
      </c>
      <c r="C109" s="102">
        <v>426</v>
      </c>
      <c r="D109" s="103">
        <v>364</v>
      </c>
      <c r="E109" s="103">
        <v>43</v>
      </c>
      <c r="F109" s="103">
        <v>13</v>
      </c>
      <c r="G109" s="103">
        <v>2</v>
      </c>
      <c r="H109" s="103">
        <v>3</v>
      </c>
      <c r="I109" s="103">
        <v>1</v>
      </c>
      <c r="J109" s="104">
        <v>0</v>
      </c>
      <c r="K109" s="105">
        <v>217</v>
      </c>
      <c r="L109" s="105">
        <v>7</v>
      </c>
      <c r="M109" s="105">
        <v>15</v>
      </c>
      <c r="N109" s="105">
        <v>68</v>
      </c>
    </row>
    <row r="110" spans="1:14" ht="4.5" customHeight="1" x14ac:dyDescent="0.2">
      <c r="A110" s="100" t="s">
        <v>637</v>
      </c>
      <c r="B110" s="107" t="s">
        <v>632</v>
      </c>
      <c r="C110" s="102">
        <v>372</v>
      </c>
      <c r="D110" s="103">
        <v>339</v>
      </c>
      <c r="E110" s="103">
        <v>27</v>
      </c>
      <c r="F110" s="103">
        <v>4</v>
      </c>
      <c r="G110" s="103">
        <v>1</v>
      </c>
      <c r="H110" s="103">
        <v>1</v>
      </c>
      <c r="I110" s="104">
        <v>0</v>
      </c>
      <c r="J110" s="104">
        <v>0</v>
      </c>
      <c r="K110" s="105">
        <v>169</v>
      </c>
      <c r="L110" s="105">
        <v>6</v>
      </c>
      <c r="M110" s="105">
        <v>7</v>
      </c>
      <c r="N110" s="105">
        <v>46</v>
      </c>
    </row>
    <row r="111" spans="1:14" ht="15.75" customHeight="1" x14ac:dyDescent="0.2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</row>
    <row r="112" spans="1:14" ht="15.75" customHeight="1" x14ac:dyDescent="0.2">
      <c r="A112" s="100" t="s">
        <v>638</v>
      </c>
      <c r="B112" s="101" t="s">
        <v>630</v>
      </c>
      <c r="C112" s="102">
        <v>915</v>
      </c>
      <c r="D112" s="103">
        <v>457</v>
      </c>
      <c r="E112" s="103">
        <v>256</v>
      </c>
      <c r="F112" s="103">
        <v>99</v>
      </c>
      <c r="G112" s="103">
        <v>13</v>
      </c>
      <c r="H112" s="103">
        <v>78</v>
      </c>
      <c r="I112" s="103">
        <v>9</v>
      </c>
      <c r="J112" s="103">
        <v>3</v>
      </c>
      <c r="K112" s="105">
        <v>26</v>
      </c>
      <c r="L112" s="105">
        <v>286</v>
      </c>
      <c r="M112" s="105">
        <v>3</v>
      </c>
      <c r="N112" s="105">
        <v>369</v>
      </c>
    </row>
    <row r="113" spans="1:14" ht="15.75" customHeight="1" x14ac:dyDescent="0.2">
      <c r="A113" s="100" t="s">
        <v>638</v>
      </c>
      <c r="B113" s="106" t="s">
        <v>631</v>
      </c>
      <c r="C113" s="102">
        <v>544</v>
      </c>
      <c r="D113" s="103">
        <v>454</v>
      </c>
      <c r="E113" s="103">
        <v>65</v>
      </c>
      <c r="F113" s="103">
        <v>16</v>
      </c>
      <c r="G113" s="103">
        <v>5</v>
      </c>
      <c r="H113" s="103">
        <v>3</v>
      </c>
      <c r="I113" s="104">
        <v>0</v>
      </c>
      <c r="J113" s="103">
        <v>1</v>
      </c>
      <c r="K113" s="105">
        <v>268</v>
      </c>
      <c r="L113" s="105">
        <v>7</v>
      </c>
      <c r="M113" s="105">
        <v>15</v>
      </c>
      <c r="N113" s="105">
        <v>109</v>
      </c>
    </row>
    <row r="114" spans="1:14" ht="4.5" customHeight="1" x14ac:dyDescent="0.2">
      <c r="A114" s="100" t="s">
        <v>638</v>
      </c>
      <c r="B114" s="107" t="s">
        <v>632</v>
      </c>
      <c r="C114" s="102">
        <v>404</v>
      </c>
      <c r="D114" s="103">
        <v>363</v>
      </c>
      <c r="E114" s="103">
        <v>35</v>
      </c>
      <c r="F114" s="103">
        <v>3</v>
      </c>
      <c r="G114" s="103">
        <v>1</v>
      </c>
      <c r="H114" s="103">
        <v>2</v>
      </c>
      <c r="I114" s="104">
        <v>0</v>
      </c>
      <c r="J114" s="104">
        <v>0</v>
      </c>
      <c r="K114" s="105">
        <v>207</v>
      </c>
      <c r="L114" s="105">
        <v>2</v>
      </c>
      <c r="M114" s="105">
        <v>6</v>
      </c>
      <c r="N114" s="105">
        <v>60</v>
      </c>
    </row>
    <row r="115" spans="1:14" ht="15.75" customHeight="1" x14ac:dyDescent="0.2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</row>
    <row r="116" spans="1:14" ht="15.75" customHeight="1" x14ac:dyDescent="0.2">
      <c r="A116" s="100" t="s">
        <v>639</v>
      </c>
      <c r="B116" s="101" t="s">
        <v>630</v>
      </c>
      <c r="C116" s="102">
        <v>865</v>
      </c>
      <c r="D116" s="103">
        <v>448</v>
      </c>
      <c r="E116" s="103">
        <v>239</v>
      </c>
      <c r="F116" s="103">
        <v>98</v>
      </c>
      <c r="G116" s="103">
        <v>12</v>
      </c>
      <c r="H116" s="103">
        <v>54</v>
      </c>
      <c r="I116" s="103">
        <v>12</v>
      </c>
      <c r="J116" s="103">
        <v>2</v>
      </c>
      <c r="K116" s="105">
        <v>36</v>
      </c>
      <c r="L116" s="105">
        <v>277</v>
      </c>
      <c r="M116" s="105">
        <v>5</v>
      </c>
      <c r="N116" s="105">
        <v>331</v>
      </c>
    </row>
    <row r="117" spans="1:14" ht="15.75" customHeight="1" x14ac:dyDescent="0.2">
      <c r="A117" s="100" t="s">
        <v>639</v>
      </c>
      <c r="B117" s="106" t="s">
        <v>631</v>
      </c>
      <c r="C117" s="102">
        <v>586</v>
      </c>
      <c r="D117" s="103">
        <v>510</v>
      </c>
      <c r="E117" s="103">
        <v>49</v>
      </c>
      <c r="F117" s="103">
        <v>19</v>
      </c>
      <c r="G117" s="103">
        <v>5</v>
      </c>
      <c r="H117" s="103">
        <v>2</v>
      </c>
      <c r="I117" s="103">
        <v>1</v>
      </c>
      <c r="J117" s="104">
        <v>0</v>
      </c>
      <c r="K117" s="105">
        <v>270</v>
      </c>
      <c r="L117" s="105">
        <v>7</v>
      </c>
      <c r="M117" s="105">
        <v>14</v>
      </c>
      <c r="N117" s="105">
        <v>113</v>
      </c>
    </row>
    <row r="118" spans="1:14" ht="4.5" customHeight="1" x14ac:dyDescent="0.2">
      <c r="A118" s="100" t="s">
        <v>639</v>
      </c>
      <c r="B118" s="107" t="s">
        <v>632</v>
      </c>
      <c r="C118" s="102">
        <v>351</v>
      </c>
      <c r="D118" s="103">
        <v>307</v>
      </c>
      <c r="E118" s="103">
        <v>33</v>
      </c>
      <c r="F118" s="103">
        <v>3</v>
      </c>
      <c r="G118" s="103">
        <v>5</v>
      </c>
      <c r="H118" s="103">
        <v>2</v>
      </c>
      <c r="I118" s="103">
        <v>1</v>
      </c>
      <c r="J118" s="104">
        <v>0</v>
      </c>
      <c r="K118" s="105">
        <v>167</v>
      </c>
      <c r="L118" s="105">
        <v>5</v>
      </c>
      <c r="M118" s="105">
        <v>11</v>
      </c>
      <c r="N118" s="105">
        <v>50</v>
      </c>
    </row>
    <row r="119" spans="1:14" ht="15.75" customHeight="1" x14ac:dyDescent="0.2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</row>
    <row r="120" spans="1:14" ht="15.75" customHeight="1" x14ac:dyDescent="0.2">
      <c r="A120" s="100" t="s">
        <v>640</v>
      </c>
      <c r="B120" s="101" t="s">
        <v>630</v>
      </c>
      <c r="C120" s="102">
        <v>882</v>
      </c>
      <c r="D120" s="103">
        <v>441</v>
      </c>
      <c r="E120" s="103">
        <v>215</v>
      </c>
      <c r="F120" s="103">
        <v>119</v>
      </c>
      <c r="G120" s="103">
        <v>25</v>
      </c>
      <c r="H120" s="103">
        <v>67</v>
      </c>
      <c r="I120" s="103">
        <v>13</v>
      </c>
      <c r="J120" s="103">
        <v>2</v>
      </c>
      <c r="K120" s="105">
        <v>39</v>
      </c>
      <c r="L120" s="105">
        <v>170</v>
      </c>
      <c r="M120" s="105">
        <v>3</v>
      </c>
      <c r="N120" s="105">
        <v>318</v>
      </c>
    </row>
    <row r="121" spans="1:14" ht="15.75" customHeight="1" x14ac:dyDescent="0.2">
      <c r="A121" s="100" t="s">
        <v>640</v>
      </c>
      <c r="B121" s="106" t="s">
        <v>631</v>
      </c>
      <c r="C121" s="102">
        <v>504</v>
      </c>
      <c r="D121" s="103">
        <v>426</v>
      </c>
      <c r="E121" s="103">
        <v>57</v>
      </c>
      <c r="F121" s="103">
        <v>15</v>
      </c>
      <c r="G121" s="104">
        <v>0</v>
      </c>
      <c r="H121" s="103">
        <v>6</v>
      </c>
      <c r="I121" s="104">
        <v>0</v>
      </c>
      <c r="J121" s="104">
        <v>0</v>
      </c>
      <c r="K121" s="105">
        <v>256</v>
      </c>
      <c r="L121" s="105">
        <v>3</v>
      </c>
      <c r="M121" s="105">
        <v>8</v>
      </c>
      <c r="N121" s="105">
        <v>97</v>
      </c>
    </row>
    <row r="122" spans="1:14" ht="4.5" customHeight="1" x14ac:dyDescent="0.2">
      <c r="A122" s="100" t="s">
        <v>640</v>
      </c>
      <c r="B122" s="107" t="s">
        <v>632</v>
      </c>
      <c r="C122" s="102">
        <v>292</v>
      </c>
      <c r="D122" s="103">
        <v>269</v>
      </c>
      <c r="E122" s="103">
        <v>15</v>
      </c>
      <c r="F122" s="103">
        <v>4</v>
      </c>
      <c r="G122" s="103">
        <v>2</v>
      </c>
      <c r="H122" s="103">
        <v>2</v>
      </c>
      <c r="I122" s="104">
        <v>0</v>
      </c>
      <c r="J122" s="104">
        <v>0</v>
      </c>
      <c r="K122" s="105">
        <v>139</v>
      </c>
      <c r="L122" s="105">
        <v>1</v>
      </c>
      <c r="M122" s="105">
        <v>1</v>
      </c>
      <c r="N122" s="105">
        <v>39</v>
      </c>
    </row>
    <row r="123" spans="1:14" ht="15.75" customHeight="1" x14ac:dyDescent="0.2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</row>
    <row r="124" spans="1:14" ht="15.75" customHeight="1" x14ac:dyDescent="0.2">
      <c r="A124" s="100" t="s">
        <v>641</v>
      </c>
      <c r="B124" s="101" t="s">
        <v>630</v>
      </c>
      <c r="C124" s="102">
        <v>1360</v>
      </c>
      <c r="D124" s="103">
        <v>710</v>
      </c>
      <c r="E124" s="103">
        <v>319</v>
      </c>
      <c r="F124" s="103">
        <v>174</v>
      </c>
      <c r="G124" s="103">
        <v>41</v>
      </c>
      <c r="H124" s="103">
        <v>109</v>
      </c>
      <c r="I124" s="103">
        <v>7</v>
      </c>
      <c r="J124" s="104">
        <v>0</v>
      </c>
      <c r="K124" s="105">
        <v>124</v>
      </c>
      <c r="L124" s="105">
        <v>104</v>
      </c>
      <c r="M124" s="105">
        <v>3</v>
      </c>
      <c r="N124" s="105">
        <v>576</v>
      </c>
    </row>
    <row r="125" spans="1:14" ht="15.75" customHeight="1" x14ac:dyDescent="0.2">
      <c r="A125" s="100" t="s">
        <v>641</v>
      </c>
      <c r="B125" s="106" t="s">
        <v>631</v>
      </c>
      <c r="C125" s="102">
        <v>764</v>
      </c>
      <c r="D125" s="103">
        <v>621</v>
      </c>
      <c r="E125" s="103">
        <v>106</v>
      </c>
      <c r="F125" s="103">
        <v>28</v>
      </c>
      <c r="G125" s="103">
        <v>5</v>
      </c>
      <c r="H125" s="103">
        <v>2</v>
      </c>
      <c r="I125" s="103">
        <v>1</v>
      </c>
      <c r="J125" s="103">
        <v>1</v>
      </c>
      <c r="K125" s="105">
        <v>407</v>
      </c>
      <c r="L125" s="105">
        <v>5</v>
      </c>
      <c r="M125" s="105">
        <v>7</v>
      </c>
      <c r="N125" s="105">
        <v>217</v>
      </c>
    </row>
    <row r="126" spans="1:14" ht="4.5" customHeight="1" x14ac:dyDescent="0.2">
      <c r="A126" s="100" t="s">
        <v>641</v>
      </c>
      <c r="B126" s="107" t="s">
        <v>632</v>
      </c>
      <c r="C126" s="102">
        <v>294</v>
      </c>
      <c r="D126" s="103">
        <v>271</v>
      </c>
      <c r="E126" s="103">
        <v>18</v>
      </c>
      <c r="F126" s="103">
        <v>4</v>
      </c>
      <c r="G126" s="103">
        <v>1</v>
      </c>
      <c r="H126" s="104">
        <v>0</v>
      </c>
      <c r="I126" s="104">
        <v>0</v>
      </c>
      <c r="J126" s="104">
        <v>0</v>
      </c>
      <c r="K126" s="105">
        <v>148</v>
      </c>
      <c r="L126" s="104">
        <v>0</v>
      </c>
      <c r="M126" s="105">
        <v>1</v>
      </c>
      <c r="N126" s="105">
        <v>87</v>
      </c>
    </row>
    <row r="127" spans="1:14" ht="15.75" customHeight="1" x14ac:dyDescent="0.2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</row>
    <row r="128" spans="1:14" ht="15.75" customHeight="1" x14ac:dyDescent="0.2">
      <c r="A128" s="100" t="s">
        <v>642</v>
      </c>
      <c r="B128" s="101" t="s">
        <v>630</v>
      </c>
      <c r="C128" s="102">
        <v>1379</v>
      </c>
      <c r="D128" s="103">
        <v>681</v>
      </c>
      <c r="E128" s="103">
        <v>368</v>
      </c>
      <c r="F128" s="103">
        <v>166</v>
      </c>
      <c r="G128" s="103">
        <v>54</v>
      </c>
      <c r="H128" s="103">
        <v>91</v>
      </c>
      <c r="I128" s="103">
        <v>17</v>
      </c>
      <c r="J128" s="103">
        <v>2</v>
      </c>
      <c r="K128" s="105">
        <v>67</v>
      </c>
      <c r="L128" s="105">
        <v>370</v>
      </c>
      <c r="M128" s="105">
        <v>12</v>
      </c>
      <c r="N128" s="105">
        <v>539</v>
      </c>
    </row>
    <row r="129" spans="1:14" ht="15.75" customHeight="1" x14ac:dyDescent="0.2">
      <c r="A129" s="100" t="s">
        <v>642</v>
      </c>
      <c r="B129" s="106" t="s">
        <v>631</v>
      </c>
      <c r="C129" s="102">
        <v>689</v>
      </c>
      <c r="D129" s="103">
        <v>575</v>
      </c>
      <c r="E129" s="103">
        <v>83</v>
      </c>
      <c r="F129" s="103">
        <v>25</v>
      </c>
      <c r="G129" s="103">
        <v>2</v>
      </c>
      <c r="H129" s="103">
        <v>1</v>
      </c>
      <c r="I129" s="103">
        <v>2</v>
      </c>
      <c r="J129" s="103">
        <v>1</v>
      </c>
      <c r="K129" s="105">
        <v>332</v>
      </c>
      <c r="L129" s="105">
        <v>8</v>
      </c>
      <c r="M129" s="105">
        <v>20</v>
      </c>
      <c r="N129" s="105">
        <v>165</v>
      </c>
    </row>
    <row r="130" spans="1:14" ht="4.5" customHeight="1" x14ac:dyDescent="0.2">
      <c r="A130" s="100" t="s">
        <v>642</v>
      </c>
      <c r="B130" s="107" t="s">
        <v>632</v>
      </c>
      <c r="C130" s="102">
        <v>333</v>
      </c>
      <c r="D130" s="103">
        <v>301</v>
      </c>
      <c r="E130" s="103">
        <v>23</v>
      </c>
      <c r="F130" s="103">
        <v>7</v>
      </c>
      <c r="G130" s="103">
        <v>1</v>
      </c>
      <c r="H130" s="103">
        <v>1</v>
      </c>
      <c r="I130" s="104">
        <v>0</v>
      </c>
      <c r="J130" s="104">
        <v>0</v>
      </c>
      <c r="K130" s="105">
        <v>192</v>
      </c>
      <c r="L130" s="105">
        <v>4</v>
      </c>
      <c r="M130" s="105">
        <v>7</v>
      </c>
      <c r="N130" s="105">
        <v>62</v>
      </c>
    </row>
    <row r="131" spans="1:14" ht="15.75" customHeight="1" x14ac:dyDescent="0.2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</row>
    <row r="132" spans="1:14" ht="15.75" customHeight="1" x14ac:dyDescent="0.2">
      <c r="A132" s="100" t="s">
        <v>643</v>
      </c>
      <c r="B132" s="101" t="s">
        <v>630</v>
      </c>
      <c r="C132" s="102">
        <v>1320</v>
      </c>
      <c r="D132" s="103">
        <v>682</v>
      </c>
      <c r="E132" s="103">
        <v>288</v>
      </c>
      <c r="F132" s="103">
        <v>207</v>
      </c>
      <c r="G132" s="103">
        <v>38</v>
      </c>
      <c r="H132" s="103">
        <v>86</v>
      </c>
      <c r="I132" s="103">
        <v>16</v>
      </c>
      <c r="J132" s="103">
        <v>3</v>
      </c>
      <c r="K132" s="105">
        <v>46</v>
      </c>
      <c r="L132" s="105">
        <v>400</v>
      </c>
      <c r="M132" s="105">
        <v>11</v>
      </c>
      <c r="N132" s="105">
        <v>467</v>
      </c>
    </row>
    <row r="133" spans="1:14" ht="15.75" customHeight="1" x14ac:dyDescent="0.2">
      <c r="A133" s="100" t="s">
        <v>643</v>
      </c>
      <c r="B133" s="106" t="s">
        <v>631</v>
      </c>
      <c r="C133" s="102">
        <v>737</v>
      </c>
      <c r="D133" s="103">
        <v>636</v>
      </c>
      <c r="E133" s="103">
        <v>78</v>
      </c>
      <c r="F133" s="103">
        <v>18</v>
      </c>
      <c r="G133" s="103">
        <v>3</v>
      </c>
      <c r="H133" s="103">
        <v>2</v>
      </c>
      <c r="I133" s="104">
        <v>0</v>
      </c>
      <c r="J133" s="104">
        <v>0</v>
      </c>
      <c r="K133" s="105">
        <v>376</v>
      </c>
      <c r="L133" s="105">
        <v>14</v>
      </c>
      <c r="M133" s="105">
        <v>27</v>
      </c>
      <c r="N133" s="105">
        <v>157</v>
      </c>
    </row>
    <row r="134" spans="1:14" ht="4.5" customHeight="1" x14ac:dyDescent="0.2">
      <c r="A134" s="100" t="s">
        <v>643</v>
      </c>
      <c r="B134" s="107" t="s">
        <v>632</v>
      </c>
      <c r="C134" s="102">
        <v>557</v>
      </c>
      <c r="D134" s="103">
        <v>508</v>
      </c>
      <c r="E134" s="103">
        <v>38</v>
      </c>
      <c r="F134" s="103">
        <v>5</v>
      </c>
      <c r="G134" s="103">
        <v>2</v>
      </c>
      <c r="H134" s="103">
        <v>4</v>
      </c>
      <c r="I134" s="104">
        <v>0</v>
      </c>
      <c r="J134" s="104">
        <v>0</v>
      </c>
      <c r="K134" s="105">
        <v>287</v>
      </c>
      <c r="L134" s="105">
        <v>9</v>
      </c>
      <c r="M134" s="105">
        <v>22</v>
      </c>
      <c r="N134" s="105">
        <v>73</v>
      </c>
    </row>
    <row r="135" spans="1:14" ht="15.75" customHeight="1" x14ac:dyDescent="0.2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</row>
    <row r="136" spans="1:14" ht="15.75" customHeight="1" x14ac:dyDescent="0.2">
      <c r="A136" s="100" t="s">
        <v>644</v>
      </c>
      <c r="B136" s="101" t="s">
        <v>630</v>
      </c>
      <c r="C136" s="102">
        <v>1587</v>
      </c>
      <c r="D136" s="103">
        <v>879</v>
      </c>
      <c r="E136" s="103">
        <v>254</v>
      </c>
      <c r="F136" s="103">
        <v>315</v>
      </c>
      <c r="G136" s="103">
        <v>23</v>
      </c>
      <c r="H136" s="103">
        <v>90</v>
      </c>
      <c r="I136" s="103">
        <v>18</v>
      </c>
      <c r="J136" s="103">
        <v>8</v>
      </c>
      <c r="K136" s="105">
        <v>85</v>
      </c>
      <c r="L136" s="105">
        <v>487</v>
      </c>
      <c r="M136" s="105">
        <v>14</v>
      </c>
      <c r="N136" s="105">
        <v>605</v>
      </c>
    </row>
    <row r="137" spans="1:14" ht="15.75" customHeight="1" x14ac:dyDescent="0.2">
      <c r="A137" s="100" t="s">
        <v>644</v>
      </c>
      <c r="B137" s="106" t="s">
        <v>631</v>
      </c>
      <c r="C137" s="102">
        <v>819</v>
      </c>
      <c r="D137" s="103">
        <v>685</v>
      </c>
      <c r="E137" s="103">
        <v>95</v>
      </c>
      <c r="F137" s="103">
        <v>29</v>
      </c>
      <c r="G137" s="103">
        <v>6</v>
      </c>
      <c r="H137" s="103">
        <v>3</v>
      </c>
      <c r="I137" s="103">
        <v>1</v>
      </c>
      <c r="J137" s="104">
        <v>0</v>
      </c>
      <c r="K137" s="105">
        <v>427</v>
      </c>
      <c r="L137" s="105">
        <v>3</v>
      </c>
      <c r="M137" s="105">
        <v>32</v>
      </c>
      <c r="N137" s="105">
        <v>195</v>
      </c>
    </row>
    <row r="138" spans="1:14" ht="4.5" customHeight="1" x14ac:dyDescent="0.2">
      <c r="A138" s="100" t="s">
        <v>644</v>
      </c>
      <c r="B138" s="107" t="s">
        <v>632</v>
      </c>
      <c r="C138" s="102">
        <v>600</v>
      </c>
      <c r="D138" s="103">
        <v>534</v>
      </c>
      <c r="E138" s="103">
        <v>53</v>
      </c>
      <c r="F138" s="103">
        <v>9</v>
      </c>
      <c r="G138" s="103">
        <v>3</v>
      </c>
      <c r="H138" s="103">
        <v>1</v>
      </c>
      <c r="I138" s="104">
        <v>0</v>
      </c>
      <c r="J138" s="104">
        <v>0</v>
      </c>
      <c r="K138" s="105">
        <v>301</v>
      </c>
      <c r="L138" s="105">
        <v>8</v>
      </c>
      <c r="M138" s="105">
        <v>18</v>
      </c>
      <c r="N138" s="105">
        <v>133</v>
      </c>
    </row>
    <row r="139" spans="1:14" ht="15.75" customHeight="1" x14ac:dyDescent="0.2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</row>
    <row r="140" spans="1:14" ht="15.75" customHeight="1" x14ac:dyDescent="0.2">
      <c r="A140" s="100" t="s">
        <v>645</v>
      </c>
      <c r="B140" s="101" t="s">
        <v>630</v>
      </c>
      <c r="C140" s="102">
        <v>1183</v>
      </c>
      <c r="D140" s="103">
        <v>561</v>
      </c>
      <c r="E140" s="103">
        <v>209</v>
      </c>
      <c r="F140" s="103">
        <v>255</v>
      </c>
      <c r="G140" s="103">
        <v>27</v>
      </c>
      <c r="H140" s="103">
        <v>111</v>
      </c>
      <c r="I140" s="103">
        <v>16</v>
      </c>
      <c r="J140" s="103">
        <v>4</v>
      </c>
      <c r="K140" s="105">
        <v>86</v>
      </c>
      <c r="L140" s="105">
        <v>379</v>
      </c>
      <c r="M140" s="105">
        <v>16</v>
      </c>
      <c r="N140" s="105">
        <v>545</v>
      </c>
    </row>
    <row r="141" spans="1:14" ht="15.75" customHeight="1" x14ac:dyDescent="0.2">
      <c r="A141" s="100" t="s">
        <v>645</v>
      </c>
      <c r="B141" s="106" t="s">
        <v>631</v>
      </c>
      <c r="C141" s="102">
        <v>1105</v>
      </c>
      <c r="D141" s="103">
        <v>947</v>
      </c>
      <c r="E141" s="103">
        <v>129</v>
      </c>
      <c r="F141" s="103">
        <v>19</v>
      </c>
      <c r="G141" s="103">
        <v>6</v>
      </c>
      <c r="H141" s="103">
        <v>2</v>
      </c>
      <c r="I141" s="103">
        <v>2</v>
      </c>
      <c r="J141" s="104">
        <v>0</v>
      </c>
      <c r="K141" s="105">
        <v>520</v>
      </c>
      <c r="L141" s="105">
        <v>21</v>
      </c>
      <c r="M141" s="105">
        <v>22</v>
      </c>
      <c r="N141" s="105">
        <v>257</v>
      </c>
    </row>
    <row r="142" spans="1:14" ht="4.5" customHeight="1" x14ac:dyDescent="0.2">
      <c r="A142" s="100" t="s">
        <v>645</v>
      </c>
      <c r="B142" s="107" t="s">
        <v>632</v>
      </c>
      <c r="C142" s="102">
        <v>688</v>
      </c>
      <c r="D142" s="103">
        <v>607</v>
      </c>
      <c r="E142" s="103">
        <v>64</v>
      </c>
      <c r="F142" s="103">
        <v>8</v>
      </c>
      <c r="G142" s="103">
        <v>5</v>
      </c>
      <c r="H142" s="103">
        <v>4</v>
      </c>
      <c r="I142" s="104">
        <v>0</v>
      </c>
      <c r="J142" s="104">
        <v>0</v>
      </c>
      <c r="K142" s="105">
        <v>319</v>
      </c>
      <c r="L142" s="105">
        <v>11</v>
      </c>
      <c r="M142" s="105">
        <v>24</v>
      </c>
      <c r="N142" s="105">
        <v>157</v>
      </c>
    </row>
    <row r="143" spans="1:14" ht="15.75" customHeight="1" x14ac:dyDescent="0.2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</row>
    <row r="144" spans="1:14" ht="15.75" customHeight="1" x14ac:dyDescent="0.2">
      <c r="A144" s="100" t="s">
        <v>646</v>
      </c>
      <c r="B144" s="101" t="s">
        <v>630</v>
      </c>
      <c r="C144" s="102">
        <v>852</v>
      </c>
      <c r="D144" s="103">
        <v>495</v>
      </c>
      <c r="E144" s="103">
        <v>147</v>
      </c>
      <c r="F144" s="103">
        <v>140</v>
      </c>
      <c r="G144" s="103">
        <v>12</v>
      </c>
      <c r="H144" s="103">
        <v>43</v>
      </c>
      <c r="I144" s="103">
        <v>14</v>
      </c>
      <c r="J144" s="103">
        <v>1</v>
      </c>
      <c r="K144" s="105">
        <v>30</v>
      </c>
      <c r="L144" s="105">
        <v>232</v>
      </c>
      <c r="M144" s="105">
        <v>10</v>
      </c>
      <c r="N144" s="105">
        <v>287</v>
      </c>
    </row>
    <row r="145" spans="1:14" ht="15.75" customHeight="1" x14ac:dyDescent="0.2">
      <c r="A145" s="100" t="s">
        <v>646</v>
      </c>
      <c r="B145" s="106" t="s">
        <v>631</v>
      </c>
      <c r="C145" s="102">
        <v>545</v>
      </c>
      <c r="D145" s="103">
        <v>480</v>
      </c>
      <c r="E145" s="103">
        <v>45</v>
      </c>
      <c r="F145" s="103">
        <v>14</v>
      </c>
      <c r="G145" s="103">
        <v>2</v>
      </c>
      <c r="H145" s="103">
        <v>2</v>
      </c>
      <c r="I145" s="103">
        <v>2</v>
      </c>
      <c r="J145" s="104">
        <v>0</v>
      </c>
      <c r="K145" s="105">
        <v>205</v>
      </c>
      <c r="L145" s="105">
        <v>24</v>
      </c>
      <c r="M145" s="105">
        <v>59</v>
      </c>
      <c r="N145" s="105">
        <v>103</v>
      </c>
    </row>
    <row r="146" spans="1:14" ht="4.5" customHeight="1" x14ac:dyDescent="0.2">
      <c r="A146" s="100" t="s">
        <v>646</v>
      </c>
      <c r="B146" s="107" t="s">
        <v>632</v>
      </c>
      <c r="C146" s="102">
        <v>400</v>
      </c>
      <c r="D146" s="103">
        <v>366</v>
      </c>
      <c r="E146" s="103">
        <v>26</v>
      </c>
      <c r="F146" s="103">
        <v>4</v>
      </c>
      <c r="G146" s="103">
        <v>1</v>
      </c>
      <c r="H146" s="103">
        <v>3</v>
      </c>
      <c r="I146" s="104">
        <v>0</v>
      </c>
      <c r="J146" s="104">
        <v>0</v>
      </c>
      <c r="K146" s="105">
        <v>143</v>
      </c>
      <c r="L146" s="105">
        <v>22</v>
      </c>
      <c r="M146" s="105">
        <v>37</v>
      </c>
      <c r="N146" s="105">
        <v>61</v>
      </c>
    </row>
    <row r="147" spans="1:14" ht="15.75" customHeight="1" x14ac:dyDescent="0.2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</row>
    <row r="148" spans="1:14" ht="15.75" customHeight="1" x14ac:dyDescent="0.2">
      <c r="A148" s="100" t="s">
        <v>647</v>
      </c>
      <c r="B148" s="101" t="s">
        <v>630</v>
      </c>
      <c r="C148" s="102">
        <v>893</v>
      </c>
      <c r="D148" s="103">
        <v>484</v>
      </c>
      <c r="E148" s="103">
        <v>133</v>
      </c>
      <c r="F148" s="103">
        <v>168</v>
      </c>
      <c r="G148" s="103">
        <v>23</v>
      </c>
      <c r="H148" s="103">
        <v>66</v>
      </c>
      <c r="I148" s="103">
        <v>16</v>
      </c>
      <c r="J148" s="103">
        <v>3</v>
      </c>
      <c r="K148" s="105">
        <v>22</v>
      </c>
      <c r="L148" s="105">
        <v>320</v>
      </c>
      <c r="M148" s="105">
        <v>12</v>
      </c>
      <c r="N148" s="105">
        <v>322</v>
      </c>
    </row>
    <row r="149" spans="1:14" ht="15.75" customHeight="1" x14ac:dyDescent="0.2">
      <c r="A149" s="100" t="s">
        <v>647</v>
      </c>
      <c r="B149" s="106" t="s">
        <v>631</v>
      </c>
      <c r="C149" s="102">
        <v>545</v>
      </c>
      <c r="D149" s="103">
        <v>478</v>
      </c>
      <c r="E149" s="103">
        <v>46</v>
      </c>
      <c r="F149" s="103">
        <v>15</v>
      </c>
      <c r="G149" s="103">
        <v>1</v>
      </c>
      <c r="H149" s="103">
        <v>3</v>
      </c>
      <c r="I149" s="104">
        <v>0</v>
      </c>
      <c r="J149" s="103">
        <v>2</v>
      </c>
      <c r="K149" s="105">
        <v>128</v>
      </c>
      <c r="L149" s="105">
        <v>42</v>
      </c>
      <c r="M149" s="105">
        <v>105</v>
      </c>
      <c r="N149" s="105">
        <v>101</v>
      </c>
    </row>
    <row r="150" spans="1:14" ht="4.5" customHeight="1" x14ac:dyDescent="0.2">
      <c r="A150" s="100" t="s">
        <v>647</v>
      </c>
      <c r="B150" s="107" t="s">
        <v>632</v>
      </c>
      <c r="C150" s="102">
        <v>357</v>
      </c>
      <c r="D150" s="103">
        <v>323</v>
      </c>
      <c r="E150" s="103">
        <v>23</v>
      </c>
      <c r="F150" s="103">
        <v>7</v>
      </c>
      <c r="G150" s="103">
        <v>2</v>
      </c>
      <c r="H150" s="103">
        <v>1</v>
      </c>
      <c r="I150" s="104">
        <v>0</v>
      </c>
      <c r="J150" s="103">
        <v>1</v>
      </c>
      <c r="K150" s="105">
        <v>95</v>
      </c>
      <c r="L150" s="105">
        <v>23</v>
      </c>
      <c r="M150" s="105">
        <v>71</v>
      </c>
      <c r="N150" s="105">
        <v>59</v>
      </c>
    </row>
    <row r="151" spans="1:14" ht="13.5" customHeight="1" x14ac:dyDescent="0.2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</row>
    <row r="152" spans="1:14" ht="13.5" customHeight="1" x14ac:dyDescent="0.2">
      <c r="A152" s="100" t="s">
        <v>648</v>
      </c>
      <c r="B152" s="101" t="s">
        <v>630</v>
      </c>
      <c r="C152" s="102">
        <v>810</v>
      </c>
      <c r="D152" s="103">
        <v>472</v>
      </c>
      <c r="E152" s="103">
        <v>117</v>
      </c>
      <c r="F152" s="103">
        <v>146</v>
      </c>
      <c r="G152" s="103">
        <v>15</v>
      </c>
      <c r="H152" s="103">
        <v>47</v>
      </c>
      <c r="I152" s="103">
        <v>9</v>
      </c>
      <c r="J152" s="103">
        <v>4</v>
      </c>
      <c r="K152" s="105">
        <v>19</v>
      </c>
      <c r="L152" s="105">
        <v>284</v>
      </c>
      <c r="M152" s="105">
        <v>20</v>
      </c>
      <c r="N152" s="105">
        <v>289</v>
      </c>
    </row>
    <row r="153" spans="1:14" ht="13.5" customHeight="1" x14ac:dyDescent="0.2">
      <c r="A153" s="100" t="s">
        <v>648</v>
      </c>
      <c r="B153" s="106" t="s">
        <v>631</v>
      </c>
      <c r="C153" s="102">
        <v>559</v>
      </c>
      <c r="D153" s="103">
        <v>487</v>
      </c>
      <c r="E153" s="103">
        <v>53</v>
      </c>
      <c r="F153" s="103">
        <v>13</v>
      </c>
      <c r="G153" s="103">
        <v>2</v>
      </c>
      <c r="H153" s="103">
        <v>3</v>
      </c>
      <c r="I153" s="103">
        <v>1</v>
      </c>
      <c r="J153" s="104">
        <v>0</v>
      </c>
      <c r="K153" s="105">
        <v>111</v>
      </c>
      <c r="L153" s="105">
        <v>57</v>
      </c>
      <c r="M153" s="105">
        <v>122</v>
      </c>
      <c r="N153" s="105">
        <v>100</v>
      </c>
    </row>
    <row r="154" spans="1:14" ht="13.5" customHeight="1" x14ac:dyDescent="0.2">
      <c r="A154" s="100" t="s">
        <v>648</v>
      </c>
      <c r="B154" s="107" t="s">
        <v>632</v>
      </c>
      <c r="C154" s="102">
        <v>287</v>
      </c>
      <c r="D154" s="103">
        <v>258</v>
      </c>
      <c r="E154" s="103">
        <v>24</v>
      </c>
      <c r="F154" s="103">
        <v>2</v>
      </c>
      <c r="G154" s="103">
        <v>1</v>
      </c>
      <c r="H154" s="103">
        <v>2</v>
      </c>
      <c r="I154" s="104">
        <v>0</v>
      </c>
      <c r="J154" s="104">
        <v>0</v>
      </c>
      <c r="K154" s="105">
        <v>81</v>
      </c>
      <c r="L154" s="105">
        <v>16</v>
      </c>
      <c r="M154" s="105">
        <v>49</v>
      </c>
      <c r="N154" s="105">
        <v>44</v>
      </c>
    </row>
    <row r="155" spans="1:14" ht="13.5" customHeight="1" x14ac:dyDescent="0.2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</row>
    <row r="156" spans="1:14" ht="13.5" customHeight="1" x14ac:dyDescent="0.2">
      <c r="A156" s="100" t="s">
        <v>574</v>
      </c>
      <c r="B156" s="101" t="s">
        <v>630</v>
      </c>
      <c r="C156" s="102">
        <v>731</v>
      </c>
      <c r="D156" s="103">
        <v>420</v>
      </c>
      <c r="E156" s="103">
        <v>91</v>
      </c>
      <c r="F156" s="103">
        <v>141</v>
      </c>
      <c r="G156" s="103">
        <v>10</v>
      </c>
      <c r="H156" s="103">
        <v>51</v>
      </c>
      <c r="I156" s="103">
        <v>15</v>
      </c>
      <c r="J156" s="103">
        <v>3</v>
      </c>
      <c r="K156" s="105">
        <v>20</v>
      </c>
      <c r="L156" s="105">
        <v>244</v>
      </c>
      <c r="M156" s="105">
        <v>23</v>
      </c>
      <c r="N156" s="105">
        <v>285</v>
      </c>
    </row>
    <row r="157" spans="1:14" x14ac:dyDescent="0.2">
      <c r="A157" s="100" t="s">
        <v>574</v>
      </c>
      <c r="B157" s="106" t="s">
        <v>631</v>
      </c>
      <c r="C157" s="102">
        <v>568</v>
      </c>
      <c r="D157" s="103">
        <v>497</v>
      </c>
      <c r="E157" s="103">
        <v>54</v>
      </c>
      <c r="F157" s="103">
        <v>13</v>
      </c>
      <c r="G157" s="103">
        <v>2</v>
      </c>
      <c r="H157" s="103">
        <v>2</v>
      </c>
      <c r="I157" s="104">
        <v>0</v>
      </c>
      <c r="J157" s="104">
        <v>0</v>
      </c>
      <c r="K157" s="105">
        <v>115</v>
      </c>
      <c r="L157" s="105">
        <v>57</v>
      </c>
      <c r="M157" s="105">
        <v>134</v>
      </c>
      <c r="N157" s="105">
        <v>115</v>
      </c>
    </row>
    <row r="158" spans="1:14" x14ac:dyDescent="0.2">
      <c r="A158" s="100" t="s">
        <v>574</v>
      </c>
      <c r="B158" s="107" t="s">
        <v>632</v>
      </c>
      <c r="C158" s="102">
        <v>293</v>
      </c>
      <c r="D158" s="103">
        <v>255</v>
      </c>
      <c r="E158" s="103">
        <v>30</v>
      </c>
      <c r="F158" s="103">
        <v>4</v>
      </c>
      <c r="G158" s="104">
        <v>3</v>
      </c>
      <c r="H158" s="103">
        <v>1</v>
      </c>
      <c r="I158" s="104">
        <v>0</v>
      </c>
      <c r="J158" s="104">
        <v>0</v>
      </c>
      <c r="K158" s="105">
        <v>74</v>
      </c>
      <c r="L158" s="105">
        <v>27</v>
      </c>
      <c r="M158" s="105">
        <v>62</v>
      </c>
      <c r="N158" s="105">
        <v>68</v>
      </c>
    </row>
    <row r="159" spans="1:14" x14ac:dyDescent="0.2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</row>
    <row r="160" spans="1:14" x14ac:dyDescent="0.2">
      <c r="A160" s="100" t="s">
        <v>649</v>
      </c>
      <c r="B160" s="101" t="s">
        <v>630</v>
      </c>
      <c r="C160" s="102">
        <v>740</v>
      </c>
      <c r="D160" s="103">
        <v>415</v>
      </c>
      <c r="E160" s="103">
        <v>86</v>
      </c>
      <c r="F160" s="103">
        <v>160</v>
      </c>
      <c r="G160" s="103">
        <v>9</v>
      </c>
      <c r="H160" s="103">
        <v>54</v>
      </c>
      <c r="I160" s="103">
        <v>13</v>
      </c>
      <c r="J160" s="103">
        <v>3</v>
      </c>
      <c r="K160" s="105">
        <v>13</v>
      </c>
      <c r="L160" s="105">
        <v>263</v>
      </c>
      <c r="M160" s="105">
        <v>16</v>
      </c>
      <c r="N160" s="105">
        <v>278</v>
      </c>
    </row>
    <row r="161" spans="1:14" x14ac:dyDescent="0.2">
      <c r="A161" s="100" t="s">
        <v>649</v>
      </c>
      <c r="B161" s="106" t="s">
        <v>631</v>
      </c>
      <c r="C161" s="102">
        <v>581</v>
      </c>
      <c r="D161" s="103">
        <v>505</v>
      </c>
      <c r="E161" s="103">
        <v>54</v>
      </c>
      <c r="F161" s="103">
        <v>16</v>
      </c>
      <c r="G161" s="103">
        <v>3</v>
      </c>
      <c r="H161" s="103">
        <v>3</v>
      </c>
      <c r="I161" s="104">
        <v>0</v>
      </c>
      <c r="J161" s="104">
        <v>0</v>
      </c>
      <c r="K161" s="105">
        <v>120</v>
      </c>
      <c r="L161" s="105">
        <v>69</v>
      </c>
      <c r="M161" s="105">
        <v>125</v>
      </c>
      <c r="N161" s="105">
        <v>109</v>
      </c>
    </row>
    <row r="162" spans="1:14" x14ac:dyDescent="0.2">
      <c r="A162" s="100" t="s">
        <v>649</v>
      </c>
      <c r="B162" s="107" t="s">
        <v>632</v>
      </c>
      <c r="C162" s="102">
        <v>281</v>
      </c>
      <c r="D162" s="103">
        <v>244</v>
      </c>
      <c r="E162" s="103">
        <v>23</v>
      </c>
      <c r="F162" s="103">
        <v>8</v>
      </c>
      <c r="G162" s="104">
        <v>2</v>
      </c>
      <c r="H162" s="103">
        <v>4</v>
      </c>
      <c r="I162" s="104">
        <v>0</v>
      </c>
      <c r="J162" s="104">
        <v>0</v>
      </c>
      <c r="K162" s="105">
        <v>61</v>
      </c>
      <c r="L162" s="105">
        <v>30</v>
      </c>
      <c r="M162" s="105">
        <v>58</v>
      </c>
      <c r="N162" s="105">
        <v>55</v>
      </c>
    </row>
    <row r="163" spans="1:14" x14ac:dyDescent="0.2">
      <c r="A163" t="s">
        <v>650</v>
      </c>
      <c r="B163" t="s">
        <v>630</v>
      </c>
      <c r="C163">
        <v>689</v>
      </c>
      <c r="D163">
        <v>368</v>
      </c>
      <c r="E163">
        <v>91</v>
      </c>
      <c r="F163">
        <v>132</v>
      </c>
      <c r="G163">
        <v>21</v>
      </c>
      <c r="H163">
        <v>61</v>
      </c>
      <c r="I163">
        <v>15</v>
      </c>
      <c r="J163">
        <v>1</v>
      </c>
      <c r="K163">
        <v>23</v>
      </c>
      <c r="L163">
        <v>161</v>
      </c>
      <c r="M163">
        <v>22</v>
      </c>
      <c r="N163">
        <v>283</v>
      </c>
    </row>
    <row r="164" spans="1:14" x14ac:dyDescent="0.2">
      <c r="A164" t="s">
        <v>650</v>
      </c>
      <c r="B164" t="s">
        <v>631</v>
      </c>
      <c r="C164">
        <v>553</v>
      </c>
      <c r="D164">
        <v>480</v>
      </c>
      <c r="E164">
        <v>41</v>
      </c>
      <c r="F164">
        <v>24</v>
      </c>
      <c r="G164">
        <v>5</v>
      </c>
      <c r="H164">
        <v>3</v>
      </c>
      <c r="I164">
        <v>0</v>
      </c>
      <c r="J164">
        <v>0</v>
      </c>
      <c r="K164">
        <v>106</v>
      </c>
      <c r="L164">
        <v>68</v>
      </c>
      <c r="M164">
        <v>114</v>
      </c>
      <c r="N164">
        <v>107</v>
      </c>
    </row>
    <row r="165" spans="1:14" x14ac:dyDescent="0.2">
      <c r="A165" t="s">
        <v>650</v>
      </c>
      <c r="B165" t="s">
        <v>632</v>
      </c>
      <c r="C165">
        <v>272</v>
      </c>
      <c r="D165">
        <v>251</v>
      </c>
      <c r="E165">
        <v>18</v>
      </c>
      <c r="F165">
        <v>3</v>
      </c>
      <c r="G165">
        <v>0</v>
      </c>
      <c r="H165">
        <v>0</v>
      </c>
      <c r="I165">
        <v>0</v>
      </c>
      <c r="J165">
        <v>0</v>
      </c>
      <c r="K165">
        <v>75</v>
      </c>
      <c r="L165">
        <v>21</v>
      </c>
      <c r="M165">
        <v>42</v>
      </c>
      <c r="N165">
        <v>47</v>
      </c>
    </row>
    <row r="166" spans="1:14" x14ac:dyDescent="0.2">
      <c r="A166" t="s">
        <v>651</v>
      </c>
      <c r="B166" t="s">
        <v>630</v>
      </c>
      <c r="C166">
        <v>661</v>
      </c>
      <c r="D166">
        <v>361</v>
      </c>
      <c r="E166">
        <v>107</v>
      </c>
      <c r="F166">
        <v>127</v>
      </c>
      <c r="G166">
        <v>6</v>
      </c>
      <c r="H166">
        <v>45</v>
      </c>
      <c r="I166">
        <v>12</v>
      </c>
      <c r="J166">
        <v>3</v>
      </c>
      <c r="K166">
        <v>8</v>
      </c>
      <c r="L166">
        <v>136</v>
      </c>
      <c r="M166">
        <v>20</v>
      </c>
      <c r="N166">
        <v>247</v>
      </c>
    </row>
    <row r="167" spans="1:14" x14ac:dyDescent="0.2">
      <c r="A167" s="146" t="s">
        <v>651</v>
      </c>
      <c r="B167" t="s">
        <v>631</v>
      </c>
      <c r="C167">
        <v>413</v>
      </c>
      <c r="D167">
        <v>355</v>
      </c>
      <c r="E167">
        <v>37</v>
      </c>
      <c r="F167">
        <v>12</v>
      </c>
      <c r="G167">
        <v>1</v>
      </c>
      <c r="H167">
        <v>4</v>
      </c>
      <c r="I167">
        <v>4</v>
      </c>
      <c r="J167">
        <v>0</v>
      </c>
      <c r="K167">
        <v>89</v>
      </c>
      <c r="L167">
        <v>55</v>
      </c>
      <c r="M167">
        <v>92</v>
      </c>
      <c r="N167">
        <v>87</v>
      </c>
    </row>
    <row r="168" spans="1:14" x14ac:dyDescent="0.2">
      <c r="A168" s="147" t="s">
        <v>651</v>
      </c>
      <c r="B168" s="147" t="s">
        <v>632</v>
      </c>
      <c r="C168" s="147">
        <v>201</v>
      </c>
      <c r="D168" s="147">
        <v>178</v>
      </c>
      <c r="E168" s="147">
        <v>13</v>
      </c>
      <c r="F168" s="147">
        <v>7</v>
      </c>
      <c r="G168" s="147">
        <v>2</v>
      </c>
      <c r="H168" s="147">
        <v>1</v>
      </c>
      <c r="I168" s="147">
        <v>0</v>
      </c>
      <c r="J168" s="147">
        <v>0</v>
      </c>
      <c r="K168" s="147">
        <v>46</v>
      </c>
      <c r="L168" s="147">
        <v>20</v>
      </c>
      <c r="M168" s="147">
        <v>53</v>
      </c>
      <c r="N168" s="147">
        <v>47</v>
      </c>
    </row>
    <row r="169" spans="1:14" x14ac:dyDescent="0.2">
      <c r="A169" s="147" t="s">
        <v>652</v>
      </c>
      <c r="B169" s="147" t="s">
        <v>630</v>
      </c>
      <c r="C169" s="147">
        <v>149</v>
      </c>
      <c r="D169" s="147">
        <v>136</v>
      </c>
      <c r="E169" s="147">
        <v>8</v>
      </c>
      <c r="F169" s="147">
        <v>2</v>
      </c>
      <c r="G169" s="147">
        <v>1</v>
      </c>
      <c r="H169" s="147">
        <v>0</v>
      </c>
      <c r="I169" s="147">
        <v>1</v>
      </c>
      <c r="J169" s="147">
        <v>1</v>
      </c>
      <c r="K169" s="147">
        <v>0</v>
      </c>
      <c r="L169" s="147">
        <v>0</v>
      </c>
      <c r="M169" s="147">
        <v>0</v>
      </c>
      <c r="N169" s="147">
        <v>0</v>
      </c>
    </row>
    <row r="170" spans="1:14" x14ac:dyDescent="0.2">
      <c r="A170" s="147" t="s">
        <v>652</v>
      </c>
      <c r="B170" s="147" t="s">
        <v>631</v>
      </c>
      <c r="C170" s="147">
        <v>18</v>
      </c>
      <c r="D170" s="147">
        <v>18</v>
      </c>
      <c r="E170" s="147">
        <v>0</v>
      </c>
      <c r="F170" s="147">
        <v>0</v>
      </c>
      <c r="G170" s="147">
        <v>0</v>
      </c>
      <c r="H170" s="147">
        <v>0</v>
      </c>
      <c r="I170" s="147">
        <v>0</v>
      </c>
      <c r="J170" s="147">
        <v>0</v>
      </c>
      <c r="K170" s="147">
        <v>0</v>
      </c>
      <c r="L170" s="147">
        <v>0</v>
      </c>
      <c r="M170" s="147">
        <v>0</v>
      </c>
      <c r="N170" s="147">
        <v>0</v>
      </c>
    </row>
    <row r="171" spans="1:14" x14ac:dyDescent="0.2">
      <c r="A171" s="147" t="s">
        <v>652</v>
      </c>
      <c r="B171" s="147" t="s">
        <v>632</v>
      </c>
      <c r="C171" s="147">
        <v>9</v>
      </c>
      <c r="D171" s="147">
        <v>8</v>
      </c>
      <c r="E171" s="147">
        <v>1</v>
      </c>
      <c r="F171" s="147">
        <v>0</v>
      </c>
      <c r="G171" s="147">
        <v>0</v>
      </c>
      <c r="H171" s="147">
        <v>0</v>
      </c>
      <c r="I171" s="147">
        <v>0</v>
      </c>
      <c r="J171" s="147">
        <v>0</v>
      </c>
      <c r="K171" s="147">
        <v>0</v>
      </c>
      <c r="L171" s="147">
        <v>0</v>
      </c>
      <c r="M171" s="147">
        <v>0</v>
      </c>
      <c r="N171" s="147">
        <v>0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2026-10-12T05:41:26Z</dcterms:modified>
  <dc:language>en-US</dc:language>
</cp:coreProperties>
</file>