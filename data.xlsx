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cos/Downloads/"/>
    </mc:Choice>
  </mc:AlternateContent>
  <xr:revisionPtr revIDLastSave="0" documentId="8_{07C4ECF5-8558-BF4C-AA5F-8C145FD1F42C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P35" i="18"/>
  <c r="O35" i="18"/>
  <c r="M35" i="18"/>
  <c r="N35" i="18" s="1"/>
  <c r="Q34" i="18"/>
  <c r="P34" i="18"/>
  <c r="O34" i="18"/>
  <c r="N34" i="18"/>
  <c r="M34" i="18"/>
  <c r="Q33" i="18"/>
  <c r="P33" i="18"/>
  <c r="O33" i="18"/>
  <c r="M33" i="18"/>
  <c r="N33" i="18" s="1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N26" i="18" s="1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N19" i="18" s="1"/>
  <c r="Q18" i="18"/>
  <c r="O18" i="18"/>
  <c r="M18" i="18"/>
  <c r="Q17" i="18"/>
  <c r="O17" i="18"/>
  <c r="M17" i="18"/>
  <c r="Q16" i="18"/>
  <c r="O16" i="18"/>
  <c r="M16" i="18"/>
  <c r="Q15" i="18"/>
  <c r="O15" i="18"/>
  <c r="M15" i="18"/>
  <c r="Q14" i="18"/>
  <c r="O14" i="18"/>
  <c r="M14" i="18"/>
  <c r="Q13" i="18"/>
  <c r="O13" i="18"/>
  <c r="M13" i="18"/>
  <c r="Q12" i="18"/>
  <c r="O12" i="18"/>
  <c r="M12" i="18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J22" i="17"/>
  <c r="G22" i="17"/>
  <c r="F22" i="17"/>
  <c r="E22" i="17"/>
  <c r="D22" i="17"/>
  <c r="C22" i="17"/>
  <c r="J9" i="17"/>
  <c r="G9" i="17"/>
  <c r="F9" i="17"/>
  <c r="E9" i="17"/>
  <c r="D9" i="17"/>
  <c r="C9" i="17"/>
  <c r="J8" i="17"/>
  <c r="F8" i="17"/>
  <c r="D8" i="17"/>
  <c r="C8" i="17"/>
  <c r="J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K5" i="15"/>
  <c r="J5" i="15"/>
  <c r="H5" i="15"/>
  <c r="G5" i="15"/>
  <c r="F5" i="15"/>
  <c r="E5" i="15"/>
  <c r="D5" i="15"/>
  <c r="C5" i="15"/>
  <c r="K4" i="15"/>
  <c r="J4" i="15"/>
  <c r="H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N25" i="14"/>
  <c r="M25" i="14"/>
  <c r="Q24" i="14"/>
  <c r="O24" i="14"/>
  <c r="M24" i="14"/>
  <c r="Q23" i="14"/>
  <c r="P23" i="14"/>
  <c r="O23" i="14"/>
  <c r="M23" i="14"/>
  <c r="N23" i="14" s="1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N18" i="10"/>
  <c r="M18" i="10"/>
  <c r="P18" i="10" s="1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N10" i="10"/>
  <c r="M10" i="10"/>
  <c r="P10" i="10" s="1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N36" i="9"/>
  <c r="M36" i="9"/>
  <c r="P36" i="9" s="1"/>
  <c r="Q35" i="9"/>
  <c r="O35" i="9"/>
  <c r="M35" i="9"/>
  <c r="Q34" i="9"/>
  <c r="P34" i="9"/>
  <c r="O34" i="9"/>
  <c r="M34" i="9"/>
  <c r="N34" i="9" s="1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N6" i="9"/>
  <c r="M6" i="9"/>
  <c r="P6" i="9" s="1"/>
  <c r="Q33" i="8"/>
  <c r="O33" i="8"/>
  <c r="M33" i="8"/>
  <c r="Q32" i="8"/>
  <c r="O32" i="8"/>
  <c r="M32" i="8"/>
  <c r="Q31" i="8"/>
  <c r="O31" i="8"/>
  <c r="M31" i="8"/>
  <c r="Q30" i="8"/>
  <c r="O30" i="8"/>
  <c r="N30" i="8"/>
  <c r="M30" i="8"/>
  <c r="P30" i="8" s="1"/>
  <c r="Q29" i="8"/>
  <c r="O29" i="8"/>
  <c r="M29" i="8"/>
  <c r="Q28" i="8"/>
  <c r="O28" i="8"/>
  <c r="M28" i="8"/>
  <c r="Q27" i="8"/>
  <c r="O27" i="8"/>
  <c r="M27" i="8"/>
  <c r="Q26" i="8"/>
  <c r="O26" i="8"/>
  <c r="N26" i="8"/>
  <c r="M26" i="8"/>
  <c r="P26" i="8" s="1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N23" i="8"/>
  <c r="M23" i="8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N32" i="6"/>
  <c r="M32" i="6"/>
  <c r="P32" i="6" s="1"/>
  <c r="Q31" i="6"/>
  <c r="O31" i="6"/>
  <c r="M31" i="6"/>
  <c r="Q30" i="6"/>
  <c r="O30" i="6"/>
  <c r="M30" i="6"/>
  <c r="Q29" i="6"/>
  <c r="O29" i="6"/>
  <c r="N29" i="6"/>
  <c r="M29" i="6"/>
  <c r="P29" i="6" s="1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P13" i="6"/>
  <c r="O13" i="6"/>
  <c r="M13" i="6"/>
  <c r="N13" i="6" s="1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11" i="2" s="1"/>
  <c r="X6" i="2"/>
  <c r="E8" i="25" l="1"/>
  <c r="E7" i="25"/>
  <c r="E6" i="25"/>
  <c r="E5" i="25"/>
  <c r="E4" i="25"/>
  <c r="J8" i="25"/>
  <c r="N33" i="24"/>
  <c r="N26" i="24"/>
  <c r="J7" i="25"/>
  <c r="N19" i="24"/>
  <c r="J6" i="25"/>
  <c r="J5" i="25"/>
  <c r="N12" i="24"/>
  <c r="N6" i="24"/>
  <c r="J4" i="25"/>
  <c r="E9" i="23"/>
  <c r="E8" i="23"/>
  <c r="M7" i="23"/>
  <c r="E7" i="23"/>
  <c r="M6" i="23"/>
  <c r="E6" i="23"/>
  <c r="M5" i="23"/>
  <c r="E5" i="23"/>
  <c r="E4" i="23"/>
  <c r="M4" i="23"/>
  <c r="J9" i="23"/>
  <c r="N35" i="22"/>
  <c r="N32" i="22"/>
  <c r="J8" i="23"/>
  <c r="E8" i="21"/>
  <c r="E7" i="21"/>
  <c r="E6" i="21"/>
  <c r="E5" i="21"/>
  <c r="M4" i="21"/>
  <c r="E4" i="21"/>
  <c r="J8" i="21"/>
  <c r="N31" i="20"/>
  <c r="J7" i="21"/>
  <c r="N24" i="20"/>
  <c r="J6" i="21"/>
  <c r="N17" i="20"/>
  <c r="J5" i="21"/>
  <c r="N16" i="20"/>
  <c r="N18" i="18"/>
  <c r="P18" i="18"/>
  <c r="P17" i="18"/>
  <c r="N17" i="18"/>
  <c r="P16" i="18"/>
  <c r="N16" i="18"/>
  <c r="N15" i="18"/>
  <c r="P15" i="18"/>
  <c r="N14" i="18"/>
  <c r="P14" i="18"/>
  <c r="P13" i="18"/>
  <c r="N13" i="18"/>
  <c r="P12" i="18"/>
  <c r="N12" i="18"/>
  <c r="P11" i="18"/>
  <c r="N11" i="18"/>
  <c r="N10" i="18"/>
  <c r="P10" i="18"/>
  <c r="P9" i="18"/>
  <c r="N9" i="18"/>
  <c r="P8" i="18"/>
  <c r="N8" i="18"/>
  <c r="P7" i="18"/>
  <c r="N7" i="18"/>
  <c r="N6" i="18"/>
  <c r="P6" i="18"/>
  <c r="P36" i="16"/>
  <c r="N36" i="16"/>
  <c r="N35" i="16"/>
  <c r="P35" i="16"/>
  <c r="P34" i="16"/>
  <c r="N34" i="16"/>
  <c r="I9" i="17" s="1"/>
  <c r="H9" i="17"/>
  <c r="P33" i="16"/>
  <c r="N33" i="16"/>
  <c r="P32" i="16"/>
  <c r="N32" i="16"/>
  <c r="P31" i="16"/>
  <c r="N31" i="16"/>
  <c r="N30" i="16"/>
  <c r="P30" i="16"/>
  <c r="P29" i="16"/>
  <c r="N29" i="16"/>
  <c r="H8" i="17"/>
  <c r="N28" i="16"/>
  <c r="I8" i="17" s="1"/>
  <c r="P28" i="16"/>
  <c r="H7" i="17"/>
  <c r="N27" i="16"/>
  <c r="I7" i="17" s="1"/>
  <c r="P27" i="16"/>
  <c r="N26" i="16"/>
  <c r="P26" i="16"/>
  <c r="P25" i="16"/>
  <c r="N25" i="16"/>
  <c r="P24" i="16"/>
  <c r="N24" i="16"/>
  <c r="N23" i="16"/>
  <c r="P23" i="16"/>
  <c r="N22" i="16"/>
  <c r="P22" i="16"/>
  <c r="P21" i="16"/>
  <c r="N21" i="16"/>
  <c r="N20" i="16"/>
  <c r="I6" i="17" s="1"/>
  <c r="H6" i="17"/>
  <c r="P20" i="16"/>
  <c r="N19" i="16"/>
  <c r="P19" i="16"/>
  <c r="P18" i="16"/>
  <c r="N18" i="16"/>
  <c r="P17" i="16"/>
  <c r="N17" i="16"/>
  <c r="N16" i="16"/>
  <c r="P16" i="16"/>
  <c r="N15" i="16"/>
  <c r="P15" i="16"/>
  <c r="N14" i="16"/>
  <c r="P14" i="16"/>
  <c r="N13" i="16"/>
  <c r="I5" i="17" s="1"/>
  <c r="H5" i="17"/>
  <c r="P13" i="16"/>
  <c r="N12" i="16"/>
  <c r="P12" i="16"/>
  <c r="N11" i="16"/>
  <c r="P11" i="16"/>
  <c r="N10" i="16"/>
  <c r="P10" i="16"/>
  <c r="N9" i="16"/>
  <c r="P9" i="16"/>
  <c r="N8" i="16"/>
  <c r="P8" i="16"/>
  <c r="N7" i="16"/>
  <c r="K8" i="17"/>
  <c r="P7" i="16"/>
  <c r="N6" i="16"/>
  <c r="P6" i="16"/>
  <c r="H4" i="17"/>
  <c r="K6" i="17"/>
  <c r="K7" i="17"/>
  <c r="K9" i="17"/>
  <c r="H22" i="17"/>
  <c r="K5" i="17"/>
  <c r="K4" i="17"/>
  <c r="K22" i="17"/>
  <c r="N36" i="14"/>
  <c r="P36" i="14"/>
  <c r="P35" i="14"/>
  <c r="N35" i="14"/>
  <c r="N34" i="14"/>
  <c r="P34" i="14"/>
  <c r="N33" i="14"/>
  <c r="P33" i="14"/>
  <c r="N32" i="14"/>
  <c r="H8" i="15"/>
  <c r="P32" i="14"/>
  <c r="N31" i="14"/>
  <c r="P31" i="14"/>
  <c r="N30" i="14"/>
  <c r="P30" i="14"/>
  <c r="N29" i="14"/>
  <c r="P29" i="14"/>
  <c r="P28" i="14"/>
  <c r="N28" i="14"/>
  <c r="P27" i="14"/>
  <c r="N27" i="14"/>
  <c r="P26" i="14"/>
  <c r="N26" i="14"/>
  <c r="H7" i="15"/>
  <c r="P25" i="14"/>
  <c r="H6" i="15"/>
  <c r="K7" i="15"/>
  <c r="K8" i="15"/>
  <c r="H21" i="15"/>
  <c r="N24" i="14"/>
  <c r="P24" i="14"/>
  <c r="K6" i="15"/>
  <c r="K21" i="15"/>
  <c r="P22" i="14"/>
  <c r="N22" i="14"/>
  <c r="P21" i="14"/>
  <c r="N21" i="14"/>
  <c r="P20" i="14"/>
  <c r="N20" i="14"/>
  <c r="P19" i="14"/>
  <c r="N19" i="14"/>
  <c r="N18" i="14"/>
  <c r="I6" i="15" s="1"/>
  <c r="P18" i="14"/>
  <c r="P17" i="14"/>
  <c r="N17" i="14"/>
  <c r="N16" i="14"/>
  <c r="P16" i="14"/>
  <c r="N15" i="14"/>
  <c r="P15" i="14"/>
  <c r="N14" i="14"/>
  <c r="P14" i="14"/>
  <c r="N13" i="14"/>
  <c r="P13" i="14"/>
  <c r="N12" i="14"/>
  <c r="P12" i="14"/>
  <c r="N11" i="14"/>
  <c r="I5" i="15" s="1"/>
  <c r="P11" i="14"/>
  <c r="P10" i="14"/>
  <c r="N10" i="14"/>
  <c r="N9" i="14"/>
  <c r="P9" i="14"/>
  <c r="N8" i="14"/>
  <c r="P8" i="14"/>
  <c r="P7" i="14"/>
  <c r="N7" i="14"/>
  <c r="N6" i="14"/>
  <c r="P6" i="14"/>
  <c r="P35" i="12"/>
  <c r="N35" i="12"/>
  <c r="P34" i="12"/>
  <c r="N34" i="12"/>
  <c r="P33" i="12"/>
  <c r="N33" i="12"/>
  <c r="P32" i="12"/>
  <c r="N32" i="12"/>
  <c r="P31" i="12"/>
  <c r="N31" i="12"/>
  <c r="P30" i="12"/>
  <c r="N30" i="12"/>
  <c r="P29" i="12"/>
  <c r="N29" i="12"/>
  <c r="P28" i="12"/>
  <c r="N28" i="12"/>
  <c r="P27" i="12"/>
  <c r="N27" i="12"/>
  <c r="N26" i="12"/>
  <c r="P26" i="12"/>
  <c r="P25" i="12"/>
  <c r="N25" i="12"/>
  <c r="P24" i="12"/>
  <c r="N24" i="12"/>
  <c r="P23" i="12"/>
  <c r="N23" i="12"/>
  <c r="P22" i="12"/>
  <c r="N22" i="12"/>
  <c r="P21" i="12"/>
  <c r="N21" i="12"/>
  <c r="P20" i="12"/>
  <c r="N20" i="12"/>
  <c r="P19" i="12"/>
  <c r="N19" i="12"/>
  <c r="P18" i="12"/>
  <c r="N18" i="12"/>
  <c r="P17" i="12"/>
  <c r="N17" i="12"/>
  <c r="N16" i="12"/>
  <c r="P16" i="12"/>
  <c r="P15" i="12"/>
  <c r="N15" i="12"/>
  <c r="P14" i="12"/>
  <c r="N14" i="12"/>
  <c r="P13" i="12"/>
  <c r="N13" i="12"/>
  <c r="P12" i="12"/>
  <c r="N12" i="12"/>
  <c r="P11" i="12"/>
  <c r="N11" i="12"/>
  <c r="P10" i="12"/>
  <c r="N10" i="12"/>
  <c r="P9" i="12"/>
  <c r="N9" i="12"/>
  <c r="P8" i="12"/>
  <c r="N8" i="12"/>
  <c r="P7" i="12"/>
  <c r="N7" i="12"/>
  <c r="P6" i="12"/>
  <c r="N6" i="12"/>
  <c r="P36" i="11"/>
  <c r="N36" i="11"/>
  <c r="N35" i="11"/>
  <c r="P35" i="11"/>
  <c r="P34" i="11"/>
  <c r="N34" i="11"/>
  <c r="P33" i="11"/>
  <c r="N33" i="11"/>
  <c r="P32" i="11"/>
  <c r="N32" i="11"/>
  <c r="P31" i="11"/>
  <c r="N31" i="11"/>
  <c r="P30" i="11"/>
  <c r="N30" i="11"/>
  <c r="P29" i="11"/>
  <c r="N29" i="11"/>
  <c r="P28" i="11"/>
  <c r="N28" i="11"/>
  <c r="P27" i="11"/>
  <c r="N27" i="11"/>
  <c r="P26" i="11"/>
  <c r="N26" i="11"/>
  <c r="P25" i="11"/>
  <c r="N25" i="11"/>
  <c r="P24" i="11"/>
  <c r="N24" i="11"/>
  <c r="P23" i="11"/>
  <c r="N23" i="11"/>
  <c r="P22" i="11"/>
  <c r="N22" i="11"/>
  <c r="P21" i="11"/>
  <c r="N21" i="11"/>
  <c r="P20" i="11"/>
  <c r="N20" i="11"/>
  <c r="P19" i="11"/>
  <c r="N19" i="11"/>
  <c r="P18" i="11"/>
  <c r="N18" i="11"/>
  <c r="P17" i="11"/>
  <c r="N17" i="11"/>
  <c r="P16" i="11"/>
  <c r="N16" i="11"/>
  <c r="P15" i="11"/>
  <c r="N15" i="11"/>
  <c r="P14" i="11"/>
  <c r="N14" i="11"/>
  <c r="N13" i="11"/>
  <c r="P13" i="11"/>
  <c r="P12" i="11"/>
  <c r="N12" i="11"/>
  <c r="N11" i="11"/>
  <c r="P11" i="11"/>
  <c r="P10" i="11"/>
  <c r="N10" i="11"/>
  <c r="P9" i="11"/>
  <c r="N9" i="11"/>
  <c r="P8" i="11"/>
  <c r="N8" i="11"/>
  <c r="P7" i="11"/>
  <c r="N7" i="11"/>
  <c r="P6" i="11"/>
  <c r="N6" i="11"/>
  <c r="N35" i="10"/>
  <c r="P35" i="10"/>
  <c r="N34" i="10"/>
  <c r="P34" i="10"/>
  <c r="N33" i="10"/>
  <c r="P33" i="10"/>
  <c r="P32" i="10"/>
  <c r="N32" i="10"/>
  <c r="N31" i="10"/>
  <c r="P31" i="10"/>
  <c r="N30" i="10"/>
  <c r="P30" i="10"/>
  <c r="P29" i="10"/>
  <c r="N29" i="10"/>
  <c r="P28" i="10"/>
  <c r="N28" i="10"/>
  <c r="N27" i="10"/>
  <c r="P27" i="10"/>
  <c r="N26" i="10"/>
  <c r="P26" i="10"/>
  <c r="P25" i="10"/>
  <c r="N25" i="10"/>
  <c r="N24" i="10"/>
  <c r="P24" i="10"/>
  <c r="N23" i="10"/>
  <c r="P23" i="10"/>
  <c r="P22" i="10"/>
  <c r="N22" i="10"/>
  <c r="P21" i="10"/>
  <c r="N21" i="10"/>
  <c r="N20" i="10"/>
  <c r="P20" i="10"/>
  <c r="N19" i="10"/>
  <c r="P19" i="10"/>
  <c r="N17" i="10"/>
  <c r="P17" i="10"/>
  <c r="N16" i="10"/>
  <c r="P16" i="10"/>
  <c r="N15" i="10"/>
  <c r="P15" i="10"/>
  <c r="P14" i="10"/>
  <c r="N14" i="10"/>
  <c r="N13" i="10"/>
  <c r="P13" i="10"/>
  <c r="P12" i="10"/>
  <c r="N12" i="10"/>
  <c r="N11" i="10"/>
  <c r="P11" i="10"/>
  <c r="N9" i="10"/>
  <c r="P9" i="10"/>
  <c r="N8" i="10"/>
  <c r="P8" i="10"/>
  <c r="N7" i="10"/>
  <c r="P7" i="10"/>
  <c r="N6" i="10"/>
  <c r="P6" i="10"/>
  <c r="N35" i="9"/>
  <c r="P35" i="9"/>
  <c r="N33" i="9"/>
  <c r="P33" i="9"/>
  <c r="N32" i="9"/>
  <c r="P32" i="9"/>
  <c r="N31" i="9"/>
  <c r="P31" i="9"/>
  <c r="N30" i="9"/>
  <c r="P30" i="9"/>
  <c r="N29" i="9"/>
  <c r="P29" i="9"/>
  <c r="N28" i="9"/>
  <c r="P28" i="9"/>
  <c r="N27" i="9"/>
  <c r="P27" i="9"/>
  <c r="N26" i="9"/>
  <c r="P26" i="9"/>
  <c r="P25" i="9"/>
  <c r="N25" i="9"/>
  <c r="N24" i="9"/>
  <c r="P24" i="9"/>
  <c r="P23" i="9"/>
  <c r="N23" i="9"/>
  <c r="P22" i="9"/>
  <c r="N22" i="9"/>
  <c r="P21" i="9"/>
  <c r="N21" i="9"/>
  <c r="P20" i="9"/>
  <c r="N20" i="9"/>
  <c r="N19" i="9"/>
  <c r="P19" i="9"/>
  <c r="N18" i="9"/>
  <c r="P18" i="9"/>
  <c r="N17" i="9"/>
  <c r="P17" i="9"/>
  <c r="P16" i="9"/>
  <c r="N16" i="9"/>
  <c r="N15" i="9"/>
  <c r="P15" i="9"/>
  <c r="N14" i="9"/>
  <c r="P14" i="9"/>
  <c r="P13" i="9"/>
  <c r="N13" i="9"/>
  <c r="N12" i="9"/>
  <c r="P12" i="9"/>
  <c r="N11" i="9"/>
  <c r="P11" i="9"/>
  <c r="N10" i="9"/>
  <c r="P10" i="9"/>
  <c r="P9" i="9"/>
  <c r="N9" i="9"/>
  <c r="P8" i="9"/>
  <c r="N8" i="9"/>
  <c r="P7" i="9"/>
  <c r="N7" i="9"/>
  <c r="N33" i="8"/>
  <c r="P33" i="8"/>
  <c r="N32" i="8"/>
  <c r="P32" i="8"/>
  <c r="N31" i="8"/>
  <c r="P31" i="8"/>
  <c r="P29" i="8"/>
  <c r="N29" i="8"/>
  <c r="N28" i="8"/>
  <c r="P28" i="8"/>
  <c r="N27" i="8"/>
  <c r="P27" i="8"/>
  <c r="N21" i="8"/>
  <c r="P21" i="8"/>
  <c r="N20" i="8"/>
  <c r="P20" i="8"/>
  <c r="N19" i="8"/>
  <c r="P19" i="8"/>
  <c r="P18" i="8"/>
  <c r="N18" i="8"/>
  <c r="P17" i="8"/>
  <c r="N17" i="8"/>
  <c r="N16" i="8"/>
  <c r="P16" i="8"/>
  <c r="N15" i="8"/>
  <c r="P15" i="8"/>
  <c r="N14" i="8"/>
  <c r="P14" i="8"/>
  <c r="P13" i="8"/>
  <c r="N13" i="8"/>
  <c r="P12" i="8"/>
  <c r="N12" i="8"/>
  <c r="N11" i="8"/>
  <c r="P11" i="8"/>
  <c r="P10" i="8"/>
  <c r="N10" i="8"/>
  <c r="P9" i="8"/>
  <c r="N9" i="8"/>
  <c r="N8" i="8"/>
  <c r="P8" i="8"/>
  <c r="P7" i="8"/>
  <c r="N7" i="8"/>
  <c r="N6" i="8"/>
  <c r="P6" i="8"/>
  <c r="N36" i="7"/>
  <c r="P36" i="7"/>
  <c r="N35" i="7"/>
  <c r="P35" i="7"/>
  <c r="N34" i="7"/>
  <c r="P34" i="7"/>
  <c r="N33" i="7"/>
  <c r="P33" i="7"/>
  <c r="P32" i="7"/>
  <c r="N32" i="7"/>
  <c r="N31" i="7"/>
  <c r="P31" i="7"/>
  <c r="P30" i="7"/>
  <c r="N30" i="7"/>
  <c r="P29" i="7"/>
  <c r="N29" i="7"/>
  <c r="N28" i="7"/>
  <c r="P28" i="7"/>
  <c r="P27" i="7"/>
  <c r="N27" i="7"/>
  <c r="P26" i="7"/>
  <c r="N26" i="7"/>
  <c r="P25" i="7"/>
  <c r="N25" i="7"/>
  <c r="P24" i="7"/>
  <c r="N24" i="7"/>
  <c r="P23" i="7"/>
  <c r="N23" i="7"/>
  <c r="P22" i="7"/>
  <c r="N22" i="7"/>
  <c r="N21" i="7"/>
  <c r="P21" i="7"/>
  <c r="P20" i="7"/>
  <c r="N20" i="7"/>
  <c r="P19" i="7"/>
  <c r="N19" i="7"/>
  <c r="P18" i="7"/>
  <c r="N18" i="7"/>
  <c r="P17" i="7"/>
  <c r="N17" i="7"/>
  <c r="P16" i="7"/>
  <c r="N16" i="7"/>
  <c r="P15" i="7"/>
  <c r="N15" i="7"/>
  <c r="N14" i="7"/>
  <c r="P14" i="7"/>
  <c r="N13" i="7"/>
  <c r="P13" i="7"/>
  <c r="P12" i="7"/>
  <c r="N12" i="7"/>
  <c r="P11" i="7"/>
  <c r="N11" i="7"/>
  <c r="P10" i="7"/>
  <c r="N10" i="7"/>
  <c r="P9" i="7"/>
  <c r="N9" i="7"/>
  <c r="P8" i="7"/>
  <c r="N8" i="7"/>
  <c r="P7" i="7"/>
  <c r="N7" i="7"/>
  <c r="P6" i="7"/>
  <c r="N6" i="7"/>
  <c r="P36" i="6"/>
  <c r="N36" i="6"/>
  <c r="P35" i="6"/>
  <c r="N35" i="6"/>
  <c r="P34" i="6"/>
  <c r="N34" i="6"/>
  <c r="P33" i="6"/>
  <c r="N33" i="6"/>
  <c r="N31" i="6"/>
  <c r="P31" i="6"/>
  <c r="P30" i="6"/>
  <c r="N30" i="6"/>
  <c r="N28" i="6"/>
  <c r="P28" i="6"/>
  <c r="P27" i="6"/>
  <c r="N27" i="6"/>
  <c r="P26" i="6"/>
  <c r="N26" i="6"/>
  <c r="P25" i="6"/>
  <c r="N25" i="6"/>
  <c r="P24" i="6"/>
  <c r="N24" i="6"/>
  <c r="N23" i="6"/>
  <c r="P23" i="6"/>
  <c r="N22" i="6"/>
  <c r="P22" i="6"/>
  <c r="P21" i="6"/>
  <c r="N21" i="6"/>
  <c r="P20" i="6"/>
  <c r="N20" i="6"/>
  <c r="N19" i="6"/>
  <c r="P19" i="6"/>
  <c r="P18" i="6"/>
  <c r="N18" i="6"/>
  <c r="N17" i="6"/>
  <c r="P17" i="6"/>
  <c r="N16" i="6"/>
  <c r="P16" i="6"/>
  <c r="P15" i="6"/>
  <c r="N15" i="6"/>
  <c r="P14" i="6"/>
  <c r="N14" i="6"/>
  <c r="P12" i="6"/>
  <c r="N12" i="6"/>
  <c r="P11" i="6"/>
  <c r="N11" i="6"/>
  <c r="P10" i="6"/>
  <c r="N10" i="6"/>
  <c r="P9" i="6"/>
  <c r="N9" i="6"/>
  <c r="P8" i="6"/>
  <c r="N8" i="6"/>
  <c r="P7" i="6"/>
  <c r="N7" i="6"/>
  <c r="P6" i="6"/>
  <c r="N6" i="6"/>
  <c r="P35" i="5"/>
  <c r="N35" i="5"/>
  <c r="P34" i="5"/>
  <c r="N34" i="5"/>
  <c r="P33" i="5"/>
  <c r="N33" i="5"/>
  <c r="P32" i="5"/>
  <c r="N32" i="5"/>
  <c r="P31" i="5"/>
  <c r="N31" i="5"/>
  <c r="P30" i="5"/>
  <c r="N30" i="5"/>
  <c r="P29" i="5"/>
  <c r="N29" i="5"/>
  <c r="P28" i="5"/>
  <c r="N28" i="5"/>
  <c r="N27" i="5"/>
  <c r="P27" i="5"/>
  <c r="N26" i="5"/>
  <c r="P26" i="5"/>
  <c r="N25" i="5"/>
  <c r="P25" i="5"/>
  <c r="N24" i="5"/>
  <c r="P24" i="5"/>
  <c r="P23" i="5"/>
  <c r="N23" i="5"/>
  <c r="P22" i="5"/>
  <c r="N22" i="5"/>
  <c r="P21" i="5"/>
  <c r="N21" i="5"/>
  <c r="P20" i="5"/>
  <c r="N20" i="5"/>
  <c r="P19" i="5"/>
  <c r="N19" i="5"/>
  <c r="N18" i="5"/>
  <c r="P18" i="5"/>
  <c r="N17" i="5"/>
  <c r="P17" i="5"/>
  <c r="N16" i="5"/>
  <c r="P16" i="5"/>
  <c r="P15" i="5"/>
  <c r="N15" i="5"/>
  <c r="N14" i="5"/>
  <c r="P14" i="5"/>
  <c r="N13" i="5"/>
  <c r="P13" i="5"/>
  <c r="N12" i="5"/>
  <c r="P12" i="5"/>
  <c r="N11" i="5"/>
  <c r="P11" i="5"/>
  <c r="P10" i="5"/>
  <c r="N10" i="5"/>
  <c r="P9" i="5"/>
  <c r="N9" i="5"/>
  <c r="N8" i="5"/>
  <c r="P8" i="5"/>
  <c r="P7" i="5"/>
  <c r="N7" i="5"/>
  <c r="N6" i="5"/>
  <c r="P6" i="5"/>
  <c r="N36" i="4"/>
  <c r="P36" i="4"/>
  <c r="P35" i="4"/>
  <c r="N35" i="4"/>
  <c r="P34" i="4"/>
  <c r="N34" i="4"/>
  <c r="P33" i="4"/>
  <c r="N33" i="4"/>
  <c r="P32" i="4"/>
  <c r="N32" i="4"/>
  <c r="P31" i="4"/>
  <c r="N31" i="4"/>
  <c r="P30" i="4"/>
  <c r="N30" i="4"/>
  <c r="P29" i="4"/>
  <c r="N29" i="4"/>
  <c r="P28" i="4"/>
  <c r="N28" i="4"/>
  <c r="N27" i="4"/>
  <c r="P27" i="4"/>
  <c r="P26" i="4"/>
  <c r="N26" i="4"/>
  <c r="N25" i="4"/>
  <c r="P25" i="4"/>
  <c r="N24" i="4"/>
  <c r="P24" i="4"/>
  <c r="N23" i="4"/>
  <c r="P23" i="4"/>
  <c r="N22" i="4"/>
  <c r="P22" i="4"/>
  <c r="P21" i="4"/>
  <c r="N21" i="4"/>
  <c r="P20" i="4"/>
  <c r="N20" i="4"/>
  <c r="N19" i="4"/>
  <c r="P19" i="4"/>
  <c r="P18" i="4"/>
  <c r="N18" i="4"/>
  <c r="P17" i="4"/>
  <c r="N17" i="4"/>
  <c r="P16" i="4"/>
  <c r="N16" i="4"/>
  <c r="N15" i="4"/>
  <c r="P15" i="4"/>
  <c r="N14" i="4"/>
  <c r="P14" i="4"/>
  <c r="N13" i="4"/>
  <c r="P13" i="4"/>
  <c r="N12" i="4"/>
  <c r="P12" i="4"/>
  <c r="N11" i="4"/>
  <c r="P11" i="4"/>
  <c r="N10" i="4"/>
  <c r="P10" i="4"/>
  <c r="P9" i="4"/>
  <c r="N9" i="4"/>
  <c r="N8" i="4"/>
  <c r="P8" i="4"/>
  <c r="N7" i="4"/>
  <c r="P7" i="4"/>
  <c r="P6" i="4"/>
  <c r="N6" i="4"/>
  <c r="N35" i="3"/>
  <c r="P35" i="3"/>
  <c r="P34" i="3"/>
  <c r="N34" i="3"/>
  <c r="P33" i="3"/>
  <c r="N33" i="3"/>
  <c r="N32" i="3"/>
  <c r="P32" i="3"/>
  <c r="N31" i="3"/>
  <c r="P31" i="3"/>
  <c r="N30" i="3"/>
  <c r="P30" i="3"/>
  <c r="N29" i="3"/>
  <c r="P29" i="3"/>
  <c r="N28" i="3"/>
  <c r="P28" i="3"/>
  <c r="N27" i="3"/>
  <c r="P27" i="3"/>
  <c r="P26" i="3"/>
  <c r="N26" i="3"/>
  <c r="N25" i="3"/>
  <c r="P25" i="3"/>
  <c r="N24" i="3"/>
  <c r="P24" i="3"/>
  <c r="N23" i="3"/>
  <c r="P23" i="3"/>
  <c r="N22" i="3"/>
  <c r="P22" i="3"/>
  <c r="N21" i="3"/>
  <c r="P21" i="3"/>
  <c r="P20" i="3"/>
  <c r="N20" i="3"/>
  <c r="P19" i="3"/>
  <c r="N19" i="3"/>
  <c r="P18" i="3"/>
  <c r="N18" i="3"/>
  <c r="P17" i="3"/>
  <c r="N17" i="3"/>
  <c r="P16" i="3"/>
  <c r="N16" i="3"/>
  <c r="P15" i="3"/>
  <c r="N15" i="3"/>
  <c r="N14" i="3"/>
  <c r="P14" i="3"/>
  <c r="N13" i="3"/>
  <c r="P13" i="3"/>
  <c r="N12" i="3"/>
  <c r="P12" i="3"/>
  <c r="N11" i="3"/>
  <c r="P11" i="3"/>
  <c r="N10" i="3"/>
  <c r="P10" i="3"/>
  <c r="N9" i="3"/>
  <c r="P9" i="3"/>
  <c r="P8" i="3"/>
  <c r="N8" i="3"/>
  <c r="P7" i="3"/>
  <c r="N7" i="3"/>
  <c r="P6" i="3"/>
  <c r="N6" i="3"/>
  <c r="I4" i="17" l="1"/>
  <c r="I22" i="17"/>
  <c r="I4" i="15"/>
  <c r="I21" i="15"/>
  <c r="I8" i="15"/>
  <c r="I7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</calcChain>
</file>

<file path=xl/sharedStrings.xml><?xml version="1.0" encoding="utf-8"?>
<sst xmlns="http://schemas.openxmlformats.org/spreadsheetml/2006/main" count="2059" uniqueCount="648">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</sst>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5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3" fillId="2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5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0" fillId="0" borderId="8" xfId="0" applyBorder="1"/>
    <xf numFmtId="0" fontId="2" fillId="9" borderId="2" xfId="0" applyFont="1" applyFill="1" applyBorder="1" applyAlignment="1">
      <alignment horizontal="left" vertical="center" wrapText="1"/>
    </xf>
    <xf numFmtId="0" fontId="8" fillId="10" borderId="10" xfId="0" applyFont="1" applyFill="1" applyBorder="1"/>
    <xf numFmtId="0" fontId="5" fillId="9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0" t="s">
        <v>95</v>
      </c>
      <c r="B1" s="161"/>
      <c r="C1" s="161"/>
      <c r="D1" s="161"/>
      <c r="E1" s="161"/>
      <c r="F1" s="161"/>
      <c r="G1" s="161"/>
      <c r="H1" s="161"/>
    </row>
    <row r="2" spans="1:8" ht="22" customHeight="1" x14ac:dyDescent="0.2">
      <c r="A2" s="164" t="s">
        <v>96</v>
      </c>
      <c r="B2" s="161"/>
      <c r="C2" s="161"/>
      <c r="D2" s="161"/>
      <c r="E2" s="161"/>
      <c r="F2" s="161"/>
      <c r="G2" s="161"/>
      <c r="H2" s="161"/>
    </row>
    <row r="3" spans="1:8" ht="18" customHeight="1" x14ac:dyDescent="0.2">
      <c r="A3" s="162" t="s">
        <v>97</v>
      </c>
      <c r="B3" s="161"/>
      <c r="C3" s="161"/>
      <c r="D3" s="161"/>
      <c r="E3" s="161"/>
      <c r="F3" s="161"/>
      <c r="G3" s="161"/>
      <c r="H3" s="161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3" t="s">
        <v>106</v>
      </c>
      <c r="B5" s="161"/>
      <c r="C5" s="161"/>
      <c r="D5" s="161"/>
      <c r="E5" s="161"/>
      <c r="F5" s="161"/>
      <c r="G5" s="161"/>
      <c r="H5" s="161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3" t="s">
        <v>137</v>
      </c>
      <c r="B11" s="161"/>
      <c r="C11" s="161"/>
      <c r="D11" s="161"/>
      <c r="E11" s="161"/>
      <c r="F11" s="161"/>
      <c r="G11" s="161"/>
      <c r="H11" s="161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148</v>
      </c>
      <c r="G13" s="140" t="s">
        <v>149</v>
      </c>
      <c r="H13" s="140"/>
    </row>
    <row r="14" spans="1:8" ht="68" customHeight="1" x14ac:dyDescent="0.2">
      <c r="A14" s="134" t="s">
        <v>150</v>
      </c>
      <c r="B14" s="135" t="s">
        <v>108</v>
      </c>
      <c r="C14" s="136" t="s">
        <v>151</v>
      </c>
      <c r="D14" s="136" t="s">
        <v>152</v>
      </c>
      <c r="E14" s="136" t="s">
        <v>153</v>
      </c>
      <c r="F14" s="142" t="s">
        <v>154</v>
      </c>
      <c r="G14" s="136" t="s">
        <v>155</v>
      </c>
      <c r="H14" s="136" t="s">
        <v>156</v>
      </c>
    </row>
    <row r="15" spans="1:8" ht="68" customHeight="1" x14ac:dyDescent="0.2">
      <c r="A15" s="138" t="s">
        <v>157</v>
      </c>
      <c r="B15" s="139" t="s">
        <v>108</v>
      </c>
      <c r="C15" s="140" t="s">
        <v>158</v>
      </c>
      <c r="D15" s="140" t="s">
        <v>159</v>
      </c>
      <c r="E15" s="140" t="s">
        <v>160</v>
      </c>
      <c r="F15" s="142" t="s">
        <v>148</v>
      </c>
      <c r="G15" s="140" t="s">
        <v>161</v>
      </c>
      <c r="H15" s="140" t="s">
        <v>162</v>
      </c>
    </row>
    <row r="16" spans="1:8" ht="68" customHeight="1" x14ac:dyDescent="0.2">
      <c r="A16" s="134" t="s">
        <v>163</v>
      </c>
      <c r="B16" s="135" t="s">
        <v>108</v>
      </c>
      <c r="C16" s="136" t="s">
        <v>164</v>
      </c>
      <c r="D16" s="136" t="s">
        <v>165</v>
      </c>
      <c r="E16" s="136" t="s">
        <v>166</v>
      </c>
      <c r="F16" s="142" t="s">
        <v>148</v>
      </c>
      <c r="G16" s="136" t="s">
        <v>167</v>
      </c>
      <c r="H16" s="136" t="s">
        <v>168</v>
      </c>
    </row>
    <row r="17" spans="1:8" ht="68" customHeight="1" x14ac:dyDescent="0.2">
      <c r="A17" s="138" t="s">
        <v>169</v>
      </c>
      <c r="B17" s="139" t="s">
        <v>108</v>
      </c>
      <c r="C17" s="140" t="s">
        <v>170</v>
      </c>
      <c r="D17" s="140" t="s">
        <v>171</v>
      </c>
      <c r="E17" s="140" t="s">
        <v>172</v>
      </c>
      <c r="F17" s="142" t="s">
        <v>148</v>
      </c>
      <c r="G17" s="140" t="s">
        <v>173</v>
      </c>
      <c r="H17" s="140" t="s">
        <v>174</v>
      </c>
    </row>
    <row r="18" spans="1:8" ht="68" customHeight="1" x14ac:dyDescent="0.2">
      <c r="A18" s="134" t="s">
        <v>175</v>
      </c>
      <c r="B18" s="135" t="s">
        <v>108</v>
      </c>
      <c r="C18" s="136" t="s">
        <v>49</v>
      </c>
      <c r="D18" s="136" t="s">
        <v>176</v>
      </c>
      <c r="E18" s="136" t="s">
        <v>177</v>
      </c>
      <c r="F18" s="142" t="s">
        <v>178</v>
      </c>
      <c r="G18" s="136" t="s">
        <v>179</v>
      </c>
      <c r="H18" s="136" t="s">
        <v>180</v>
      </c>
    </row>
    <row r="19" spans="1:8" ht="68" customHeight="1" x14ac:dyDescent="0.2">
      <c r="A19" s="138" t="s">
        <v>181</v>
      </c>
      <c r="B19" s="139" t="s">
        <v>108</v>
      </c>
      <c r="C19" s="140" t="s">
        <v>182</v>
      </c>
      <c r="D19" s="140" t="s">
        <v>183</v>
      </c>
      <c r="E19" s="140" t="s">
        <v>184</v>
      </c>
      <c r="F19" s="142" t="s">
        <v>148</v>
      </c>
      <c r="G19" s="140" t="s">
        <v>185</v>
      </c>
      <c r="H19" s="140" t="s">
        <v>186</v>
      </c>
    </row>
    <row r="20" spans="1:8" ht="68" customHeight="1" x14ac:dyDescent="0.2">
      <c r="A20" s="134" t="s">
        <v>187</v>
      </c>
      <c r="B20" s="135" t="s">
        <v>108</v>
      </c>
      <c r="C20" s="136" t="s">
        <v>188</v>
      </c>
      <c r="D20" s="136" t="s">
        <v>189</v>
      </c>
      <c r="E20" s="136" t="s">
        <v>190</v>
      </c>
      <c r="F20" s="142" t="s">
        <v>148</v>
      </c>
      <c r="G20" s="136" t="s">
        <v>191</v>
      </c>
      <c r="H20" s="136" t="s">
        <v>192</v>
      </c>
    </row>
    <row r="21" spans="1:8" ht="68" customHeight="1" x14ac:dyDescent="0.2">
      <c r="A21" s="138" t="s">
        <v>193</v>
      </c>
      <c r="B21" s="139" t="s">
        <v>108</v>
      </c>
      <c r="C21" s="140" t="s">
        <v>194</v>
      </c>
      <c r="D21" s="140" t="s">
        <v>195</v>
      </c>
      <c r="E21" s="140" t="s">
        <v>196</v>
      </c>
      <c r="F21" s="142" t="s">
        <v>148</v>
      </c>
      <c r="G21" s="140" t="s">
        <v>197</v>
      </c>
      <c r="H21" s="140" t="s">
        <v>198</v>
      </c>
    </row>
    <row r="22" spans="1:8" ht="68" customHeight="1" x14ac:dyDescent="0.2">
      <c r="A22" s="134" t="s">
        <v>199</v>
      </c>
      <c r="B22" s="135" t="s">
        <v>108</v>
      </c>
      <c r="C22" s="136" t="s">
        <v>55</v>
      </c>
      <c r="D22" s="136" t="s">
        <v>200</v>
      </c>
      <c r="E22" s="136" t="s">
        <v>201</v>
      </c>
      <c r="F22" s="142" t="s">
        <v>148</v>
      </c>
      <c r="G22" s="136" t="s">
        <v>202</v>
      </c>
      <c r="H22" s="136" t="s">
        <v>203</v>
      </c>
    </row>
    <row r="23" spans="1:8" ht="68" customHeight="1" x14ac:dyDescent="0.2">
      <c r="A23" s="138" t="s">
        <v>204</v>
      </c>
      <c r="B23" s="139" t="s">
        <v>108</v>
      </c>
      <c r="C23" s="140" t="s">
        <v>205</v>
      </c>
      <c r="D23" s="140" t="s">
        <v>206</v>
      </c>
      <c r="E23" s="140" t="s">
        <v>207</v>
      </c>
      <c r="F23" s="142" t="s">
        <v>208</v>
      </c>
      <c r="G23" s="140" t="s">
        <v>209</v>
      </c>
      <c r="H23" s="140" t="s">
        <v>210</v>
      </c>
    </row>
    <row r="24" spans="1:8" ht="20" customHeight="1" x14ac:dyDescent="0.2">
      <c r="A24" s="163" t="s">
        <v>211</v>
      </c>
      <c r="B24" s="161"/>
      <c r="C24" s="161"/>
      <c r="D24" s="161"/>
      <c r="E24" s="161"/>
      <c r="F24" s="161"/>
      <c r="G24" s="161"/>
      <c r="H24" s="161"/>
    </row>
    <row r="25" spans="1:8" ht="68" customHeight="1" x14ac:dyDescent="0.2">
      <c r="A25" s="134" t="s">
        <v>212</v>
      </c>
      <c r="B25" s="135" t="s">
        <v>213</v>
      </c>
      <c r="C25" s="136" t="s">
        <v>214</v>
      </c>
      <c r="D25" s="136" t="s">
        <v>215</v>
      </c>
      <c r="E25" s="136" t="s">
        <v>216</v>
      </c>
      <c r="F25" s="137" t="s">
        <v>217</v>
      </c>
      <c r="G25" s="136" t="s">
        <v>218</v>
      </c>
      <c r="H25" s="136" t="s">
        <v>219</v>
      </c>
    </row>
    <row r="26" spans="1:8" ht="68" customHeight="1" x14ac:dyDescent="0.2">
      <c r="A26" s="138" t="s">
        <v>220</v>
      </c>
      <c r="B26" s="139" t="s">
        <v>213</v>
      </c>
      <c r="C26" s="140" t="s">
        <v>221</v>
      </c>
      <c r="D26" s="140" t="s">
        <v>222</v>
      </c>
      <c r="E26" s="140" t="s">
        <v>223</v>
      </c>
      <c r="F26" s="137" t="s">
        <v>117</v>
      </c>
      <c r="G26" s="140" t="s">
        <v>224</v>
      </c>
      <c r="H26" s="140" t="s">
        <v>225</v>
      </c>
    </row>
    <row r="27" spans="1:8" ht="68" customHeight="1" x14ac:dyDescent="0.2">
      <c r="A27" s="134" t="s">
        <v>226</v>
      </c>
      <c r="B27" s="135" t="s">
        <v>213</v>
      </c>
      <c r="C27" s="136" t="s">
        <v>227</v>
      </c>
      <c r="D27" s="136" t="s">
        <v>228</v>
      </c>
      <c r="E27" s="136" t="s">
        <v>229</v>
      </c>
      <c r="F27" s="137" t="s">
        <v>117</v>
      </c>
      <c r="G27" s="136" t="s">
        <v>230</v>
      </c>
      <c r="H27" s="136" t="s">
        <v>231</v>
      </c>
    </row>
    <row r="28" spans="1:8" ht="68" customHeight="1" x14ac:dyDescent="0.2">
      <c r="A28" s="138" t="s">
        <v>232</v>
      </c>
      <c r="B28" s="139" t="s">
        <v>213</v>
      </c>
      <c r="C28" s="140" t="s">
        <v>233</v>
      </c>
      <c r="D28" s="140" t="s">
        <v>234</v>
      </c>
      <c r="E28" s="140" t="s">
        <v>235</v>
      </c>
      <c r="F28" s="137" t="s">
        <v>117</v>
      </c>
      <c r="G28" s="140" t="s">
        <v>236</v>
      </c>
      <c r="H28" s="140" t="s">
        <v>237</v>
      </c>
    </row>
    <row r="29" spans="1:8" ht="68" customHeight="1" x14ac:dyDescent="0.2">
      <c r="A29" s="134" t="s">
        <v>238</v>
      </c>
      <c r="B29" s="135" t="s">
        <v>213</v>
      </c>
      <c r="C29" s="136" t="s">
        <v>65</v>
      </c>
      <c r="D29" s="136" t="s">
        <v>239</v>
      </c>
      <c r="E29" s="136" t="s">
        <v>240</v>
      </c>
      <c r="F29" s="137" t="s">
        <v>117</v>
      </c>
      <c r="G29" s="136" t="s">
        <v>241</v>
      </c>
      <c r="H29" s="136" t="s">
        <v>242</v>
      </c>
    </row>
    <row r="30" spans="1:8" ht="68" customHeight="1" x14ac:dyDescent="0.2">
      <c r="A30" s="138" t="s">
        <v>243</v>
      </c>
      <c r="B30" s="139" t="s">
        <v>213</v>
      </c>
      <c r="C30" s="140" t="s">
        <v>66</v>
      </c>
      <c r="D30" s="140" t="s">
        <v>244</v>
      </c>
      <c r="E30" s="140" t="s">
        <v>245</v>
      </c>
      <c r="F30" s="137" t="s">
        <v>246</v>
      </c>
      <c r="G30" s="140" t="s">
        <v>247</v>
      </c>
      <c r="H30" s="140" t="s">
        <v>248</v>
      </c>
    </row>
    <row r="31" spans="1:8" ht="20" customHeight="1" x14ac:dyDescent="0.2">
      <c r="A31" s="163" t="s">
        <v>249</v>
      </c>
      <c r="B31" s="161"/>
      <c r="C31" s="161"/>
      <c r="D31" s="161"/>
      <c r="E31" s="161"/>
      <c r="F31" s="161"/>
      <c r="G31" s="161"/>
      <c r="H31" s="161"/>
    </row>
    <row r="32" spans="1:8" ht="68" customHeight="1" x14ac:dyDescent="0.2">
      <c r="A32" s="134" t="s">
        <v>250</v>
      </c>
      <c r="B32" s="135" t="s">
        <v>213</v>
      </c>
      <c r="C32" s="136" t="s">
        <v>67</v>
      </c>
      <c r="D32" s="136" t="s">
        <v>251</v>
      </c>
      <c r="E32" s="136" t="s">
        <v>252</v>
      </c>
      <c r="F32" s="142" t="s">
        <v>148</v>
      </c>
      <c r="G32" s="136" t="s">
        <v>253</v>
      </c>
      <c r="H32" s="136" t="s">
        <v>254</v>
      </c>
    </row>
    <row r="33" spans="1:8" ht="68" customHeight="1" x14ac:dyDescent="0.2">
      <c r="A33" s="138" t="s">
        <v>255</v>
      </c>
      <c r="B33" s="139" t="s">
        <v>213</v>
      </c>
      <c r="C33" s="140" t="s">
        <v>256</v>
      </c>
      <c r="D33" s="140" t="s">
        <v>257</v>
      </c>
      <c r="E33" s="140" t="s">
        <v>258</v>
      </c>
      <c r="F33" s="142" t="s">
        <v>148</v>
      </c>
      <c r="G33" s="140" t="s">
        <v>259</v>
      </c>
      <c r="H33" s="140" t="s">
        <v>260</v>
      </c>
    </row>
    <row r="34" spans="1:8" ht="68" customHeight="1" x14ac:dyDescent="0.2">
      <c r="A34" s="134" t="s">
        <v>261</v>
      </c>
      <c r="B34" s="135" t="s">
        <v>213</v>
      </c>
      <c r="C34" s="136" t="s">
        <v>262</v>
      </c>
      <c r="D34" s="136" t="s">
        <v>263</v>
      </c>
      <c r="E34" s="136" t="s">
        <v>264</v>
      </c>
      <c r="F34" s="142" t="s">
        <v>154</v>
      </c>
      <c r="G34" s="136" t="s">
        <v>265</v>
      </c>
      <c r="H34" s="136" t="s">
        <v>266</v>
      </c>
    </row>
    <row r="35" spans="1:8" ht="68" customHeight="1" x14ac:dyDescent="0.2">
      <c r="A35" s="138" t="s">
        <v>267</v>
      </c>
      <c r="B35" s="139" t="s">
        <v>213</v>
      </c>
      <c r="C35" s="140" t="s">
        <v>268</v>
      </c>
      <c r="D35" s="140" t="s">
        <v>269</v>
      </c>
      <c r="E35" s="140" t="s">
        <v>270</v>
      </c>
      <c r="F35" s="142" t="s">
        <v>148</v>
      </c>
      <c r="G35" s="140" t="s">
        <v>271</v>
      </c>
      <c r="H35" s="140" t="s">
        <v>272</v>
      </c>
    </row>
    <row r="36" spans="1:8" ht="68" customHeight="1" x14ac:dyDescent="0.2">
      <c r="A36" s="134" t="s">
        <v>273</v>
      </c>
      <c r="B36" s="135" t="s">
        <v>213</v>
      </c>
      <c r="C36" s="136" t="s">
        <v>274</v>
      </c>
      <c r="D36" s="136" t="s">
        <v>275</v>
      </c>
      <c r="E36" s="136" t="s">
        <v>276</v>
      </c>
      <c r="F36" s="142" t="s">
        <v>148</v>
      </c>
      <c r="G36" s="136" t="s">
        <v>277</v>
      </c>
      <c r="H36" s="136" t="s">
        <v>278</v>
      </c>
    </row>
    <row r="37" spans="1:8" ht="68" customHeight="1" x14ac:dyDescent="0.2">
      <c r="A37" s="138" t="s">
        <v>279</v>
      </c>
      <c r="B37" s="139" t="s">
        <v>213</v>
      </c>
      <c r="C37" s="140" t="s">
        <v>280</v>
      </c>
      <c r="D37" s="140" t="s">
        <v>281</v>
      </c>
      <c r="E37" s="140" t="s">
        <v>282</v>
      </c>
      <c r="F37" s="142" t="s">
        <v>148</v>
      </c>
      <c r="G37" s="140" t="s">
        <v>283</v>
      </c>
      <c r="H37" s="140" t="s">
        <v>284</v>
      </c>
    </row>
    <row r="38" spans="1:8" ht="68" customHeight="1" x14ac:dyDescent="0.2">
      <c r="A38" s="134" t="s">
        <v>285</v>
      </c>
      <c r="B38" s="135" t="s">
        <v>213</v>
      </c>
      <c r="C38" s="136" t="s">
        <v>71</v>
      </c>
      <c r="D38" s="136" t="s">
        <v>286</v>
      </c>
      <c r="E38" s="136" t="s">
        <v>287</v>
      </c>
      <c r="F38" s="142" t="s">
        <v>288</v>
      </c>
      <c r="G38" s="136" t="s">
        <v>289</v>
      </c>
      <c r="H38" s="136" t="s">
        <v>290</v>
      </c>
    </row>
    <row r="39" spans="1:8" ht="68" customHeight="1" x14ac:dyDescent="0.2">
      <c r="A39" s="138" t="s">
        <v>291</v>
      </c>
      <c r="B39" s="139" t="s">
        <v>213</v>
      </c>
      <c r="C39" s="140" t="s">
        <v>292</v>
      </c>
      <c r="D39" s="140" t="s">
        <v>293</v>
      </c>
      <c r="E39" s="140" t="s">
        <v>294</v>
      </c>
      <c r="F39" s="142" t="s">
        <v>148</v>
      </c>
      <c r="G39" s="140" t="s">
        <v>295</v>
      </c>
      <c r="H39" s="140" t="s">
        <v>296</v>
      </c>
    </row>
    <row r="40" spans="1:8" ht="68" customHeight="1" x14ac:dyDescent="0.2">
      <c r="A40" s="134" t="s">
        <v>297</v>
      </c>
      <c r="B40" s="135" t="s">
        <v>213</v>
      </c>
      <c r="C40" s="136" t="s">
        <v>298</v>
      </c>
      <c r="D40" s="136" t="s">
        <v>299</v>
      </c>
      <c r="E40" s="136" t="s">
        <v>300</v>
      </c>
      <c r="F40" s="142" t="s">
        <v>148</v>
      </c>
      <c r="G40" s="136" t="s">
        <v>301</v>
      </c>
      <c r="H40" s="136" t="s">
        <v>302</v>
      </c>
    </row>
    <row r="41" spans="1:8" ht="68" customHeight="1" x14ac:dyDescent="0.2">
      <c r="A41" s="138" t="s">
        <v>303</v>
      </c>
      <c r="B41" s="139" t="s">
        <v>213</v>
      </c>
      <c r="C41" s="140" t="s">
        <v>304</v>
      </c>
      <c r="D41" s="140" t="s">
        <v>305</v>
      </c>
      <c r="E41" s="140" t="s">
        <v>306</v>
      </c>
      <c r="F41" s="142" t="s">
        <v>148</v>
      </c>
      <c r="G41" s="140" t="s">
        <v>307</v>
      </c>
      <c r="H41" s="140" t="s">
        <v>308</v>
      </c>
    </row>
    <row r="42" spans="1:8" ht="68" customHeight="1" x14ac:dyDescent="0.2">
      <c r="A42" s="134" t="s">
        <v>309</v>
      </c>
      <c r="B42" s="135" t="s">
        <v>213</v>
      </c>
      <c r="C42" s="136" t="s">
        <v>72</v>
      </c>
      <c r="D42" s="136" t="s">
        <v>310</v>
      </c>
      <c r="E42" s="136" t="s">
        <v>311</v>
      </c>
      <c r="F42" s="142" t="s">
        <v>148</v>
      </c>
      <c r="G42" s="136" t="s">
        <v>312</v>
      </c>
      <c r="H42" s="136" t="s">
        <v>313</v>
      </c>
    </row>
    <row r="43" spans="1:8" ht="68" customHeight="1" x14ac:dyDescent="0.2">
      <c r="A43" s="138" t="s">
        <v>314</v>
      </c>
      <c r="B43" s="139" t="s">
        <v>213</v>
      </c>
      <c r="C43" s="140" t="s">
        <v>315</v>
      </c>
      <c r="D43" s="140" t="s">
        <v>316</v>
      </c>
      <c r="E43" s="140" t="s">
        <v>317</v>
      </c>
      <c r="F43" s="142" t="s">
        <v>208</v>
      </c>
      <c r="G43" s="140" t="s">
        <v>318</v>
      </c>
      <c r="H43" s="140" t="s">
        <v>319</v>
      </c>
    </row>
    <row r="44" spans="1:8" ht="20" customHeight="1" x14ac:dyDescent="0.2">
      <c r="A44" s="163" t="s">
        <v>320</v>
      </c>
      <c r="B44" s="161"/>
      <c r="C44" s="161"/>
      <c r="D44" s="161"/>
      <c r="E44" s="161"/>
      <c r="F44" s="161"/>
      <c r="G44" s="161"/>
      <c r="H44" s="161"/>
    </row>
    <row r="45" spans="1:8" ht="68" customHeight="1" x14ac:dyDescent="0.2">
      <c r="A45" s="134" t="s">
        <v>321</v>
      </c>
      <c r="B45" s="135" t="s">
        <v>322</v>
      </c>
      <c r="C45" s="136" t="s">
        <v>323</v>
      </c>
      <c r="D45" s="136" t="s">
        <v>324</v>
      </c>
      <c r="E45" s="136" t="s">
        <v>325</v>
      </c>
      <c r="F45" s="137" t="s">
        <v>326</v>
      </c>
      <c r="G45" s="136" t="s">
        <v>327</v>
      </c>
      <c r="H45" s="136" t="s">
        <v>328</v>
      </c>
    </row>
    <row r="46" spans="1:8" ht="68" customHeight="1" x14ac:dyDescent="0.2">
      <c r="A46" s="138" t="s">
        <v>329</v>
      </c>
      <c r="B46" s="139" t="s">
        <v>322</v>
      </c>
      <c r="C46" s="140" t="s">
        <v>330</v>
      </c>
      <c r="D46" s="140" t="s">
        <v>331</v>
      </c>
      <c r="E46" s="140" t="s">
        <v>332</v>
      </c>
      <c r="F46" s="137" t="s">
        <v>333</v>
      </c>
      <c r="G46" s="140" t="s">
        <v>334</v>
      </c>
      <c r="H46" s="140" t="s">
        <v>335</v>
      </c>
    </row>
    <row r="47" spans="1:8" ht="68" customHeight="1" x14ac:dyDescent="0.2">
      <c r="A47" s="134" t="s">
        <v>336</v>
      </c>
      <c r="B47" s="135" t="s">
        <v>322</v>
      </c>
      <c r="C47" s="136" t="s">
        <v>337</v>
      </c>
      <c r="D47" s="136" t="s">
        <v>338</v>
      </c>
      <c r="E47" s="136" t="s">
        <v>339</v>
      </c>
      <c r="F47" s="137" t="s">
        <v>340</v>
      </c>
      <c r="G47" s="136" t="s">
        <v>341</v>
      </c>
      <c r="H47" s="136" t="s">
        <v>342</v>
      </c>
    </row>
    <row r="48" spans="1:8" ht="68" customHeight="1" x14ac:dyDescent="0.2">
      <c r="A48" s="138" t="s">
        <v>343</v>
      </c>
      <c r="B48" s="139" t="s">
        <v>322</v>
      </c>
      <c r="C48" s="140" t="s">
        <v>344</v>
      </c>
      <c r="D48" s="140" t="s">
        <v>345</v>
      </c>
      <c r="E48" s="140" t="s">
        <v>346</v>
      </c>
      <c r="F48" s="142" t="s">
        <v>148</v>
      </c>
      <c r="G48" s="140" t="s">
        <v>347</v>
      </c>
      <c r="H48" s="140" t="s">
        <v>348</v>
      </c>
    </row>
    <row r="49" spans="1:8" ht="68" customHeight="1" x14ac:dyDescent="0.2">
      <c r="A49" s="134" t="s">
        <v>349</v>
      </c>
      <c r="B49" s="135" t="s">
        <v>322</v>
      </c>
      <c r="C49" s="136" t="s">
        <v>350</v>
      </c>
      <c r="D49" s="136" t="s">
        <v>351</v>
      </c>
      <c r="E49" s="136" t="s">
        <v>352</v>
      </c>
      <c r="F49" s="142" t="s">
        <v>353</v>
      </c>
      <c r="G49" s="136" t="s">
        <v>354</v>
      </c>
      <c r="H49" s="136" t="s">
        <v>355</v>
      </c>
    </row>
    <row r="50" spans="1:8" ht="68" customHeight="1" x14ac:dyDescent="0.2">
      <c r="A50" s="138" t="s">
        <v>356</v>
      </c>
      <c r="B50" s="139" t="s">
        <v>322</v>
      </c>
      <c r="C50" s="140" t="s">
        <v>357</v>
      </c>
      <c r="D50" s="140" t="s">
        <v>358</v>
      </c>
      <c r="E50" s="140" t="s">
        <v>359</v>
      </c>
      <c r="F50" s="142" t="s">
        <v>148</v>
      </c>
      <c r="G50" s="140" t="s">
        <v>360</v>
      </c>
      <c r="H50" s="140" t="s">
        <v>361</v>
      </c>
    </row>
    <row r="51" spans="1:8" ht="20" customHeight="1" x14ac:dyDescent="0.2">
      <c r="A51" s="163" t="s">
        <v>362</v>
      </c>
      <c r="B51" s="161"/>
      <c r="C51" s="161"/>
      <c r="D51" s="161"/>
      <c r="E51" s="161"/>
      <c r="F51" s="161"/>
      <c r="G51" s="161"/>
      <c r="H51" s="161"/>
    </row>
    <row r="52" spans="1:8" ht="68" customHeight="1" x14ac:dyDescent="0.2">
      <c r="A52" s="134" t="s">
        <v>363</v>
      </c>
      <c r="B52" s="135" t="s">
        <v>322</v>
      </c>
      <c r="C52" s="136" t="s">
        <v>364</v>
      </c>
      <c r="D52" s="136" t="s">
        <v>365</v>
      </c>
      <c r="E52" s="136" t="s">
        <v>366</v>
      </c>
      <c r="F52" s="142" t="s">
        <v>367</v>
      </c>
      <c r="G52" s="136" t="s">
        <v>368</v>
      </c>
      <c r="H52" s="136" t="s">
        <v>369</v>
      </c>
    </row>
    <row r="53" spans="1:8" ht="68" customHeight="1" x14ac:dyDescent="0.2">
      <c r="A53" s="138" t="s">
        <v>370</v>
      </c>
      <c r="B53" s="139" t="s">
        <v>108</v>
      </c>
      <c r="C53" s="140" t="s">
        <v>371</v>
      </c>
      <c r="D53" s="140" t="s">
        <v>372</v>
      </c>
      <c r="E53" s="140" t="s">
        <v>373</v>
      </c>
      <c r="F53" s="142" t="s">
        <v>374</v>
      </c>
      <c r="G53" s="140" t="s">
        <v>375</v>
      </c>
      <c r="H53" s="140" t="s">
        <v>376</v>
      </c>
    </row>
    <row r="54" spans="1:8" ht="68" customHeight="1" x14ac:dyDescent="0.2">
      <c r="A54" s="134" t="s">
        <v>377</v>
      </c>
      <c r="B54" s="135" t="s">
        <v>213</v>
      </c>
      <c r="C54" s="136" t="s">
        <v>378</v>
      </c>
      <c r="D54" s="136" t="s">
        <v>379</v>
      </c>
      <c r="E54" s="136" t="s">
        <v>380</v>
      </c>
      <c r="F54" s="142" t="s">
        <v>381</v>
      </c>
      <c r="G54" s="136" t="s">
        <v>382</v>
      </c>
      <c r="H54" s="136" t="s">
        <v>383</v>
      </c>
    </row>
    <row r="55" spans="1:8" ht="68" customHeight="1" x14ac:dyDescent="0.2">
      <c r="A55" s="138" t="s">
        <v>384</v>
      </c>
      <c r="B55" s="139" t="s">
        <v>108</v>
      </c>
      <c r="C55" s="140" t="s">
        <v>385</v>
      </c>
      <c r="D55" s="140" t="s">
        <v>386</v>
      </c>
      <c r="E55" s="140" t="s">
        <v>387</v>
      </c>
      <c r="F55" s="142" t="s">
        <v>208</v>
      </c>
      <c r="G55" s="140" t="s">
        <v>388</v>
      </c>
      <c r="H55" s="140" t="s">
        <v>389</v>
      </c>
    </row>
    <row r="56" spans="1:8" ht="68" customHeight="1" x14ac:dyDescent="0.2">
      <c r="A56" s="134" t="s">
        <v>390</v>
      </c>
      <c r="B56" s="135" t="s">
        <v>213</v>
      </c>
      <c r="C56" s="136" t="s">
        <v>391</v>
      </c>
      <c r="D56" s="136" t="s">
        <v>392</v>
      </c>
      <c r="E56" s="136" t="s">
        <v>393</v>
      </c>
      <c r="F56" s="142" t="s">
        <v>208</v>
      </c>
      <c r="G56" s="136" t="s">
        <v>394</v>
      </c>
      <c r="H56" s="136" t="s">
        <v>395</v>
      </c>
    </row>
    <row r="57" spans="1:8" ht="68" customHeight="1" x14ac:dyDescent="0.2">
      <c r="A57" s="138" t="s">
        <v>396</v>
      </c>
      <c r="B57" s="139" t="s">
        <v>108</v>
      </c>
      <c r="C57" s="140" t="s">
        <v>397</v>
      </c>
      <c r="D57" s="140" t="s">
        <v>398</v>
      </c>
      <c r="E57" s="140"/>
      <c r="F57" s="142" t="s">
        <v>399</v>
      </c>
      <c r="G57" s="140" t="s">
        <v>400</v>
      </c>
      <c r="H57" s="140" t="s">
        <v>401</v>
      </c>
    </row>
    <row r="58" spans="1:8" ht="68" customHeight="1" x14ac:dyDescent="0.2">
      <c r="A58" s="134" t="s">
        <v>402</v>
      </c>
      <c r="B58" s="135" t="s">
        <v>213</v>
      </c>
      <c r="C58" s="136" t="s">
        <v>403</v>
      </c>
      <c r="D58" s="136" t="s">
        <v>404</v>
      </c>
      <c r="E58" s="136"/>
      <c r="F58" s="142" t="s">
        <v>405</v>
      </c>
      <c r="G58" s="136" t="s">
        <v>406</v>
      </c>
      <c r="H58" s="136" t="s">
        <v>407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X10" sqref="X1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48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21.75" customHeight="1" x14ac:dyDescent="0.2">
      <c r="A2" s="152" t="s">
        <v>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8" t="s">
        <v>26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</row>
    <row r="5" spans="1:24" ht="18.75" customHeight="1" x14ac:dyDescent="0.2">
      <c r="A5" s="150" t="s">
        <v>27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1147560671</v>
      </c>
      <c r="X6" s="8">
        <f>IFERROR(SUM('📅 DAILY T9'!C$6:C$35),0)</f>
        <v>427051092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2630</v>
      </c>
      <c r="X7" s="8">
        <f>IFERROR(SUM('📅 DAILY T9'!D$6:D$35),0)</f>
        <v>991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436335</v>
      </c>
      <c r="X8" s="8">
        <f>IFERROR(SUM('📅 DAILY T9'!C$6:C$35)/SUM('📅 DAILY T9'!D$6:D$35),"")</f>
        <v>430929.45711402624</v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2472</v>
      </c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X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0.54327618260689936</v>
      </c>
      <c r="X11" s="12">
        <f t="shared" si="0"/>
        <v>0.40088996763754048</v>
      </c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0" t="s">
        <v>39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</row>
    <row r="14" spans="1:24" ht="18.75" customHeight="1" x14ac:dyDescent="0.2">
      <c r="A14" s="151" t="s">
        <v>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747</v>
      </c>
      <c r="X15" s="11">
        <v>281</v>
      </c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433990</v>
      </c>
      <c r="X16" s="11">
        <v>385103</v>
      </c>
    </row>
    <row r="17" spans="1:24" ht="21.75" customHeight="1" x14ac:dyDescent="0.2">
      <c r="A17" s="4"/>
      <c r="B17" s="9" t="s">
        <v>44</v>
      </c>
      <c r="C17" s="10" t="s">
        <v>37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>
        <v>54</v>
      </c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>
        <v>24</v>
      </c>
    </row>
    <row r="19" spans="1:24" ht="18.75" customHeight="1" x14ac:dyDescent="0.2">
      <c r="A19" s="151" t="s">
        <v>46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1655</v>
      </c>
      <c r="X20" s="11">
        <v>665</v>
      </c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500556</v>
      </c>
      <c r="X21" s="11">
        <v>481095</v>
      </c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0.68899999999999995</v>
      </c>
      <c r="X22" s="13">
        <v>0.70299999999999996</v>
      </c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179</v>
      </c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371329</v>
      </c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213</v>
      </c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484623</v>
      </c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273</v>
      </c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550314</v>
      </c>
    </row>
    <row r="29" spans="1:24" ht="18.75" customHeight="1" x14ac:dyDescent="0.2">
      <c r="A29" s="151" t="s">
        <v>54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1348</v>
      </c>
      <c r="X30" s="11">
        <v>538</v>
      </c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517786</v>
      </c>
      <c r="X31" s="11">
        <v>506563</v>
      </c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1740028</v>
      </c>
      <c r="X32" s="11">
        <v>1672378</v>
      </c>
    </row>
    <row r="33" spans="1:24" ht="25.5" customHeight="1" x14ac:dyDescent="0.2">
      <c r="A33" s="155" t="s">
        <v>59</v>
      </c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</row>
    <row r="34" spans="1:24" ht="18.75" customHeight="1" x14ac:dyDescent="0.2">
      <c r="A34" s="157" t="s">
        <v>60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478057804</v>
      </c>
      <c r="X35" s="8">
        <v>213135876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241642155</v>
      </c>
      <c r="X36" s="8">
        <v>108298050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124655638</v>
      </c>
      <c r="X37" s="8">
        <v>61391263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111760011</v>
      </c>
      <c r="X38" s="8">
        <v>43446563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1536</v>
      </c>
      <c r="X39" s="8">
        <v>641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311236</v>
      </c>
      <c r="X40" s="8">
        <f>IFERROR(SUM('📅 DAILY T9'!M$6:M$35)/SUM('📅 DAILY T9'!J$6:J$35),"")</f>
        <v>332505.26677067083</v>
      </c>
    </row>
    <row r="41" spans="1:24" ht="18.75" customHeight="1" x14ac:dyDescent="0.2">
      <c r="A41" s="153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54"/>
    </row>
    <row r="42" spans="1:24" ht="18.75" customHeight="1" x14ac:dyDescent="0.2">
      <c r="A42" s="153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54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527</v>
      </c>
      <c r="X43" s="11">
        <v>222</v>
      </c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338511</v>
      </c>
      <c r="X44" s="11">
        <v>384295</v>
      </c>
    </row>
    <row r="45" spans="1:24" ht="21.75" customHeight="1" x14ac:dyDescent="0.2">
      <c r="A45" s="20"/>
      <c r="B45" s="9" t="s">
        <v>44</v>
      </c>
      <c r="C45" s="10" t="s">
        <v>37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3">
        <v>33</v>
      </c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34</v>
      </c>
      <c r="X46" s="13">
        <v>15</v>
      </c>
    </row>
    <row r="47" spans="1:24" ht="18.75" customHeight="1" x14ac:dyDescent="0.2">
      <c r="A47" s="151" t="s">
        <v>46</v>
      </c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791</v>
      </c>
      <c r="X48" s="11">
        <v>329</v>
      </c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380772</v>
      </c>
      <c r="X49" s="11">
        <v>389171</v>
      </c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0.60019999999999996</v>
      </c>
      <c r="X50" s="13">
        <v>0.59709999999999996</v>
      </c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68</v>
      </c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476202</v>
      </c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93</v>
      </c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328995</v>
      </c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168</v>
      </c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387257</v>
      </c>
    </row>
    <row r="57" spans="1:24" ht="18.75" customHeight="1" x14ac:dyDescent="0.2">
      <c r="A57" s="151" t="s">
        <v>54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585</v>
      </c>
      <c r="X58" s="11">
        <v>250</v>
      </c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406621</v>
      </c>
      <c r="X59" s="11">
        <v>418496</v>
      </c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1389818</v>
      </c>
      <c r="X60" s="11">
        <v>1420474</v>
      </c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9650006</v>
      </c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1.507373077297631E-2</v>
      </c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1625618475</v>
      </c>
      <c r="X68" s="8">
        <f>IFERROR(SUM('📅 DAILY T9'!C$6:C$35)+SUM('📅 DAILY T9'!G$6:I$35),0)</f>
        <v>640186968</v>
      </c>
    </row>
    <row r="69" spans="1:24" ht="18.75" customHeight="1" x14ac:dyDescent="0.2">
      <c r="A69" s="156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54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1.135</v>
      </c>
      <c r="X70" s="14">
        <v>1.109</v>
      </c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20501</v>
      </c>
      <c r="X71" s="11">
        <v>19907</v>
      </c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497</v>
      </c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105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1418862</v>
      </c>
      <c r="X77" s="11">
        <v>1363698</v>
      </c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914424</v>
      </c>
      <c r="X78" s="11">
        <v>1004940</v>
      </c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1740028</v>
      </c>
      <c r="X79" s="11">
        <v>1672378</v>
      </c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1389818</v>
      </c>
      <c r="X80" s="11">
        <v>1420474</v>
      </c>
    </row>
    <row r="81" spans="1:24" ht="21.75" customHeight="1" x14ac:dyDescent="0.2">
      <c r="A81" s="159" t="s">
        <v>93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81:X81"/>
    <mergeCell ref="A57:X57"/>
    <mergeCell ref="A47:X47"/>
    <mergeCell ref="A42:X42"/>
    <mergeCell ref="A41:X41"/>
    <mergeCell ref="A19:X19"/>
    <mergeCell ref="A33:X33"/>
    <mergeCell ref="A69:X69"/>
    <mergeCell ref="A34:X34"/>
    <mergeCell ref="A29:X29"/>
    <mergeCell ref="A1:X1"/>
    <mergeCell ref="A5:X5"/>
    <mergeCell ref="A13:X13"/>
    <mergeCell ref="A14:X14"/>
    <mergeCell ref="A2:X2"/>
    <mergeCell ref="A4:X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408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436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437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438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439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440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441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442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436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437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438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439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440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441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442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436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437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438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439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440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441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442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436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437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438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439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440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441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442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436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437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438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439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440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441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442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436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437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438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439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440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441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442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436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437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438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439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440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441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442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436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437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438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439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440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441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442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436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437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438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439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440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441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442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436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437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438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439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440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441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442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436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437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438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439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440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441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442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436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437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438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439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440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441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442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436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437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438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439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440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441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442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436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437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438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439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440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441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442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436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437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438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439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440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441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442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436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437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438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439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440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441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442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436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437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438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439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440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441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442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436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437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438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439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440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441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442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436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437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438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439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440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441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442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436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437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438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439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440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441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442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436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437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438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439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440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441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442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436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437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438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439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440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441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442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436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437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438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439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440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441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442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436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437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438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439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440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441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442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436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441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442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436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437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438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439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440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441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442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436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437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438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439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440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441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442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436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437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438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439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440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441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442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436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437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438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439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440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441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442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436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437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438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439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440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441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442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436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437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449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438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439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440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441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442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436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437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438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439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440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441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442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436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437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438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439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440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441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442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436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437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438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439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440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441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442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436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437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438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439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450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440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441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442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436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437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438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439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440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441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442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436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437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438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439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440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441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442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436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437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438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439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440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441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442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436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437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438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439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440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441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442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451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436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437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438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439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440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441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442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436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437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438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439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440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441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442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436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437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438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439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440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441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442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436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437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438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439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440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441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442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436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437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5" t="s">
        <v>452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2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462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463</v>
      </c>
      <c r="B5" s="63" t="s">
        <v>464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465</v>
      </c>
      <c r="B6" s="65" t="s">
        <v>466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467</v>
      </c>
      <c r="B7" s="67" t="s">
        <v>468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469</v>
      </c>
      <c r="B8" s="69" t="s">
        <v>470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471</v>
      </c>
      <c r="B21" s="72" t="s">
        <v>472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5" t="s">
        <v>473</v>
      </c>
      <c r="B23" s="149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4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20" ht="18.75" customHeight="1" x14ac:dyDescent="0.2"/>
    <row r="27" spans="1:20" ht="42" customHeight="1" x14ac:dyDescent="0.2">
      <c r="A27" s="172" t="s">
        <v>475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73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476</v>
      </c>
      <c r="B28" s="80" t="s">
        <v>477</v>
      </c>
      <c r="C28" s="80" t="s">
        <v>478</v>
      </c>
      <c r="D28" s="80" t="s">
        <v>479</v>
      </c>
      <c r="E28" s="80" t="s">
        <v>480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481</v>
      </c>
      <c r="C29" s="82" t="s">
        <v>482</v>
      </c>
      <c r="D29" s="82" t="s">
        <v>483</v>
      </c>
      <c r="E29" s="83" t="s">
        <v>484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485</v>
      </c>
      <c r="C30" s="82" t="s">
        <v>486</v>
      </c>
      <c r="D30" s="82" t="s">
        <v>483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487</v>
      </c>
      <c r="C31" s="82" t="s">
        <v>488</v>
      </c>
      <c r="D31" s="82" t="s">
        <v>489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490</v>
      </c>
      <c r="C32" s="82" t="s">
        <v>491</v>
      </c>
      <c r="D32" s="82" t="s">
        <v>483</v>
      </c>
      <c r="E32" s="83">
        <v>0.85</v>
      </c>
      <c r="F32" s="84" t="s">
        <v>492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493</v>
      </c>
      <c r="C33" s="82"/>
      <c r="D33" s="82" t="s">
        <v>494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495</v>
      </c>
      <c r="C34" s="82" t="s">
        <v>496</v>
      </c>
      <c r="D34" s="82" t="s">
        <v>497</v>
      </c>
      <c r="E34" s="82" t="s">
        <v>498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2" t="s">
        <v>499</v>
      </c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73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476</v>
      </c>
      <c r="B36" s="82" t="s">
        <v>500</v>
      </c>
      <c r="C36" s="82" t="s">
        <v>501</v>
      </c>
      <c r="D36" s="82" t="s">
        <v>502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503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438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439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440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441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442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436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437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438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439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440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441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442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436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437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438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439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440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441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442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436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437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438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439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440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441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442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436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437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438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439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440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5" t="s">
        <v>504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2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505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463</v>
      </c>
      <c r="B5" s="63" t="s">
        <v>506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465</v>
      </c>
      <c r="B6" s="65" t="s">
        <v>507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467</v>
      </c>
      <c r="B7" s="67" t="s">
        <v>508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469</v>
      </c>
      <c r="B8" s="69" t="s">
        <v>509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471</v>
      </c>
      <c r="B21" s="72" t="s">
        <v>510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5" t="s">
        <v>473</v>
      </c>
      <c r="B23" s="149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4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511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441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442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436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437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438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439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440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441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442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436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437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438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439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440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441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442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436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437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438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439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440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441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442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436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437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438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439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440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441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442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436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5" t="s">
        <v>512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2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513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463</v>
      </c>
      <c r="B5" s="63" t="s">
        <v>514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465</v>
      </c>
      <c r="B6" s="65" t="s">
        <v>515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467</v>
      </c>
      <c r="B7" s="67" t="s">
        <v>516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469</v>
      </c>
      <c r="B8" s="69" t="s">
        <v>517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518</v>
      </c>
      <c r="B9" s="109">
        <v>46265</v>
      </c>
      <c r="C9" s="55">
        <f>IFERROR(SUM('📅 DAILY T8'!C34:C36),0)</f>
        <v>101494121</v>
      </c>
      <c r="D9" s="55">
        <f>IFERROR(SUM('📅 DAILY T8'!D34:D36),0)</f>
        <v>235</v>
      </c>
      <c r="E9" s="55">
        <f>IFERROR(SUM('📅 DAILY T8'!C34:C36)/SUM('📅 DAILY T8'!D34:D36),"")</f>
        <v>431889.87659574469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50452010</v>
      </c>
      <c r="I9" s="59">
        <f>IFERROR(SUM('📅 DAILY T8'!N34:N36),0)</f>
        <v>151946131</v>
      </c>
      <c r="J9" s="60">
        <f>IFERROR(SUM('📅 DAILY T8'!C6:C36)/1292244677,"")</f>
        <v>0.888036678676139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471</v>
      </c>
      <c r="B22" s="72" t="s">
        <v>519</v>
      </c>
      <c r="C22" s="73">
        <f>IFERROR(SUM('📅 DAILY T8'!C6:C36),0)</f>
        <v>1147560671</v>
      </c>
      <c r="D22" s="73">
        <f>IFERROR(SUM('📅 DAILY T8'!D6:D36),0)</f>
        <v>2630</v>
      </c>
      <c r="E22" s="73">
        <f>IFERROR(SUM('📅 DAILY T8'!C6:C36)/SUM('📅 DAILY T8'!D6:D36),"")</f>
        <v>436334.85589353612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1625618475</v>
      </c>
      <c r="J22" s="75">
        <f>IFERROR(SUM('📅 DAILY T8'!C6:C36)/1292244677,"")</f>
        <v>0.888036678676139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75" t="s">
        <v>473</v>
      </c>
      <c r="B24" s="149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4" t="s">
        <v>474</v>
      </c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520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437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438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439</v>
      </c>
      <c r="C8" s="49">
        <v>28089291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44522539</v>
      </c>
      <c r="O8" s="8">
        <f t="shared" si="2"/>
        <v>401275.58571428573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440</v>
      </c>
      <c r="C9" s="49">
        <v>53539297</v>
      </c>
      <c r="D9" s="49">
        <v>100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78467318</v>
      </c>
      <c r="O9" s="8">
        <f t="shared" si="2"/>
        <v>535392.97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441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442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436</v>
      </c>
      <c r="C12" s="49">
        <v>35421885</v>
      </c>
      <c r="D12" s="49">
        <v>83</v>
      </c>
      <c r="E12" s="49"/>
      <c r="F12" s="49"/>
      <c r="G12" s="49">
        <v>6254004</v>
      </c>
      <c r="H12" s="49">
        <v>3830501</v>
      </c>
      <c r="I12" s="49">
        <v>3769255</v>
      </c>
      <c r="J12" s="49">
        <v>35</v>
      </c>
      <c r="K12" s="49">
        <v>1028800</v>
      </c>
      <c r="L12" s="50"/>
      <c r="M12" s="8">
        <f t="shared" si="0"/>
        <v>13853760</v>
      </c>
      <c r="N12" s="8">
        <f t="shared" si="1"/>
        <v>49275645</v>
      </c>
      <c r="O12" s="8">
        <f t="shared" si="2"/>
        <v>426769.69879518071</v>
      </c>
      <c r="P12" s="8">
        <f t="shared" si="3"/>
        <v>395821.71428571426</v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437</v>
      </c>
      <c r="C13" s="49">
        <v>36832306</v>
      </c>
      <c r="D13" s="49">
        <v>85</v>
      </c>
      <c r="E13" s="49"/>
      <c r="F13" s="49"/>
      <c r="G13" s="49">
        <v>8823251</v>
      </c>
      <c r="H13" s="49">
        <v>3697004</v>
      </c>
      <c r="I13" s="49">
        <v>2528498</v>
      </c>
      <c r="J13" s="49">
        <v>48</v>
      </c>
      <c r="K13" s="49">
        <v>449999</v>
      </c>
      <c r="L13" s="50"/>
      <c r="M13" s="8">
        <f t="shared" si="0"/>
        <v>15048753</v>
      </c>
      <c r="N13" s="8">
        <f t="shared" si="1"/>
        <v>51881059</v>
      </c>
      <c r="O13" s="8">
        <f t="shared" si="2"/>
        <v>433321.24705882353</v>
      </c>
      <c r="P13" s="8">
        <f t="shared" si="3"/>
        <v>313515.6875</v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438</v>
      </c>
      <c r="C14" s="49">
        <v>43407044</v>
      </c>
      <c r="D14" s="49">
        <v>75</v>
      </c>
      <c r="E14" s="49"/>
      <c r="F14" s="49"/>
      <c r="G14" s="49">
        <v>4526000</v>
      </c>
      <c r="H14" s="49">
        <v>3158503</v>
      </c>
      <c r="I14" s="49">
        <v>2158001</v>
      </c>
      <c r="J14" s="49">
        <v>35</v>
      </c>
      <c r="K14" s="49"/>
      <c r="L14" s="50"/>
      <c r="M14" s="8">
        <f t="shared" si="0"/>
        <v>9842504</v>
      </c>
      <c r="N14" s="8">
        <f t="shared" si="1"/>
        <v>53249548</v>
      </c>
      <c r="O14" s="8">
        <f t="shared" si="2"/>
        <v>578760.58666666667</v>
      </c>
      <c r="P14" s="8">
        <f t="shared" si="3"/>
        <v>281214.40000000002</v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439</v>
      </c>
      <c r="C15" s="49">
        <v>27762575</v>
      </c>
      <c r="D15" s="49">
        <v>71</v>
      </c>
      <c r="E15" s="49"/>
      <c r="F15" s="49"/>
      <c r="G15" s="49">
        <v>2183500</v>
      </c>
      <c r="H15" s="49">
        <v>5738502</v>
      </c>
      <c r="I15" s="49">
        <v>2332749</v>
      </c>
      <c r="J15" s="49">
        <v>35</v>
      </c>
      <c r="K15" s="49">
        <v>1727207</v>
      </c>
      <c r="L15" s="50"/>
      <c r="M15" s="8">
        <f t="shared" si="0"/>
        <v>10254751</v>
      </c>
      <c r="N15" s="8">
        <f t="shared" si="1"/>
        <v>38017326</v>
      </c>
      <c r="O15" s="8">
        <f t="shared" si="2"/>
        <v>391022.18309859157</v>
      </c>
      <c r="P15" s="8">
        <f t="shared" si="3"/>
        <v>292992.88571428572</v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440</v>
      </c>
      <c r="C16" s="49">
        <v>39021786</v>
      </c>
      <c r="D16" s="49">
        <v>89</v>
      </c>
      <c r="E16" s="49"/>
      <c r="F16" s="49"/>
      <c r="G16" s="49">
        <v>10870752</v>
      </c>
      <c r="H16" s="49">
        <v>3791499</v>
      </c>
      <c r="I16" s="49">
        <v>5493702</v>
      </c>
      <c r="J16" s="49">
        <v>59</v>
      </c>
      <c r="K16" s="49">
        <v>364700</v>
      </c>
      <c r="L16" s="50"/>
      <c r="M16" s="8">
        <f t="shared" si="0"/>
        <v>20155953</v>
      </c>
      <c r="N16" s="8">
        <f t="shared" si="1"/>
        <v>59177739</v>
      </c>
      <c r="O16" s="8">
        <f t="shared" si="2"/>
        <v>438447.03370786516</v>
      </c>
      <c r="P16" s="8">
        <f t="shared" si="3"/>
        <v>341626.32203389832</v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441</v>
      </c>
      <c r="C17" s="49">
        <v>38341033</v>
      </c>
      <c r="D17" s="49">
        <v>89</v>
      </c>
      <c r="E17" s="49"/>
      <c r="F17" s="49"/>
      <c r="G17" s="49">
        <v>9599257</v>
      </c>
      <c r="H17" s="49">
        <v>3314753</v>
      </c>
      <c r="I17" s="49">
        <v>4445351</v>
      </c>
      <c r="J17" s="49">
        <v>62</v>
      </c>
      <c r="K17" s="49"/>
      <c r="L17" s="50"/>
      <c r="M17" s="8">
        <f t="shared" si="0"/>
        <v>17359361</v>
      </c>
      <c r="N17" s="8">
        <f t="shared" si="1"/>
        <v>55700394</v>
      </c>
      <c r="O17" s="8">
        <f t="shared" si="2"/>
        <v>430798.1235955056</v>
      </c>
      <c r="P17" s="8">
        <f t="shared" si="3"/>
        <v>279989.69354838709</v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442</v>
      </c>
      <c r="C18" s="49">
        <v>26083276</v>
      </c>
      <c r="D18" s="49">
        <v>66</v>
      </c>
      <c r="E18" s="49"/>
      <c r="F18" s="49"/>
      <c r="G18" s="49">
        <v>10090499</v>
      </c>
      <c r="H18" s="49">
        <v>4896999</v>
      </c>
      <c r="I18" s="49">
        <v>4483500</v>
      </c>
      <c r="J18" s="49">
        <v>60</v>
      </c>
      <c r="K18" s="49">
        <v>1188800</v>
      </c>
      <c r="L18" s="50"/>
      <c r="M18" s="8">
        <f t="shared" si="0"/>
        <v>19470998</v>
      </c>
      <c r="N18" s="8">
        <f t="shared" si="1"/>
        <v>45554274</v>
      </c>
      <c r="O18" s="8">
        <f t="shared" si="2"/>
        <v>395201.15151515149</v>
      </c>
      <c r="P18" s="8">
        <f t="shared" si="3"/>
        <v>324516.63333333336</v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436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437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438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439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440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441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442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521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526</v>
      </c>
      <c r="C4" s="124">
        <v>180181187</v>
      </c>
      <c r="D4" s="125">
        <v>201819517</v>
      </c>
      <c r="E4" s="126">
        <f>IFERROR(IF(D4&gt;0,C4/D4,""),"")</f>
        <v>0.89278375886708716</v>
      </c>
      <c r="F4" s="124">
        <v>433</v>
      </c>
      <c r="G4" s="124">
        <v>416123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287330983</v>
      </c>
      <c r="N4" s="131"/>
    </row>
    <row r="5" spans="1:14" ht="18" customHeight="1" x14ac:dyDescent="0.2">
      <c r="A5" s="122" t="s">
        <v>463</v>
      </c>
      <c r="B5" s="123" t="s">
        <v>527</v>
      </c>
      <c r="C5" s="124">
        <v>246869905</v>
      </c>
      <c r="D5" s="125">
        <v>235456103</v>
      </c>
      <c r="E5" s="126">
        <f>IFERROR(IF(D5&gt;0,C5/D5,""),"")</f>
        <v>1.0484752862829807</v>
      </c>
      <c r="F5" s="124">
        <v>558</v>
      </c>
      <c r="G5" s="124">
        <v>442419</v>
      </c>
      <c r="H5" s="127">
        <f>IFERROR(SUM('📅 DAILY T9'!F12:F18),0)</f>
        <v>0</v>
      </c>
      <c r="I5" s="128" t="str">
        <f>IFERROR(IF(H5&gt;0,C5/H5,""),"")</f>
        <v/>
      </c>
      <c r="J5" s="129">
        <v>105986080</v>
      </c>
      <c r="K5" s="125">
        <v>126396657</v>
      </c>
      <c r="L5" s="126">
        <f>IFERROR(IF(K5&gt;0,J5/K5,""),"")</f>
        <v>0.83851964534156942</v>
      </c>
      <c r="M5" s="130">
        <v>352855985</v>
      </c>
      <c r="N5" s="131"/>
    </row>
    <row r="6" spans="1:14" ht="18" customHeight="1" x14ac:dyDescent="0.2">
      <c r="A6" s="122" t="s">
        <v>465</v>
      </c>
      <c r="B6" s="123" t="s">
        <v>528</v>
      </c>
      <c r="C6" s="124">
        <v>0</v>
      </c>
      <c r="D6" s="125">
        <v>235456103</v>
      </c>
      <c r="E6" s="126">
        <f>IFERROR(IF(D6&gt;0,C6/D6,""),"")</f>
        <v>0</v>
      </c>
      <c r="F6" s="124">
        <v>0</v>
      </c>
      <c r="G6" s="124">
        <v>0</v>
      </c>
      <c r="H6" s="127">
        <f>IFERROR(SUM('📅 DAILY T9'!F19:F25),0)</f>
        <v>0</v>
      </c>
      <c r="I6" s="128" t="str">
        <f>IFERROR(IF(H6&gt;0,C6/H6,""),"")</f>
        <v/>
      </c>
      <c r="J6" s="129">
        <v>0</v>
      </c>
      <c r="K6" s="125">
        <v>126396657</v>
      </c>
      <c r="L6" s="126">
        <f>IFERROR(IF(K6&gt;0,J6/K6,""),"")</f>
        <v>0</v>
      </c>
      <c r="M6" s="130">
        <v>0</v>
      </c>
      <c r="N6" s="131"/>
    </row>
    <row r="7" spans="1:14" ht="18" customHeight="1" x14ac:dyDescent="0.2">
      <c r="A7" s="122" t="s">
        <v>467</v>
      </c>
      <c r="B7" s="123" t="s">
        <v>529</v>
      </c>
      <c r="C7" s="124">
        <v>0</v>
      </c>
      <c r="D7" s="125">
        <v>235456103</v>
      </c>
      <c r="E7" s="126">
        <f>IFERROR(IF(D7&gt;0,C7/D7,""),"")</f>
        <v>0</v>
      </c>
      <c r="F7" s="124">
        <v>0</v>
      </c>
      <c r="G7" s="124">
        <v>0</v>
      </c>
      <c r="H7" s="127">
        <f>IFERROR(SUM('📅 DAILY T9'!F26:F32),0)</f>
        <v>0</v>
      </c>
      <c r="I7" s="128" t="str">
        <f>IFERROR(IF(H7&gt;0,C7/H7,""),"")</f>
        <v/>
      </c>
      <c r="J7" s="129">
        <v>0</v>
      </c>
      <c r="K7" s="125">
        <v>126396657</v>
      </c>
      <c r="L7" s="126">
        <f>IFERROR(IF(K7&gt;0,J7/K7,""),"")</f>
        <v>0</v>
      </c>
      <c r="M7" s="130">
        <v>0</v>
      </c>
      <c r="N7" s="131"/>
    </row>
    <row r="8" spans="1:14" ht="18" customHeight="1" x14ac:dyDescent="0.2">
      <c r="A8" s="122" t="s">
        <v>469</v>
      </c>
      <c r="B8" s="123" t="s">
        <v>530</v>
      </c>
      <c r="C8" s="124">
        <v>0</v>
      </c>
      <c r="D8" s="125">
        <v>100909758</v>
      </c>
      <c r="E8" s="126">
        <f>IFERROR(IF(D8&gt;0,C8/D8,""),"")</f>
        <v>0</v>
      </c>
      <c r="F8" s="124">
        <v>0</v>
      </c>
      <c r="G8" s="124">
        <v>0</v>
      </c>
      <c r="H8" s="127">
        <f>IFERROR(SUM('📅 DAILY T9'!F33:F35),0)</f>
        <v>0</v>
      </c>
      <c r="I8" s="128" t="str">
        <f>IFERROR(IF(H8&gt;0,C8/H8,""),"")</f>
        <v/>
      </c>
      <c r="J8" s="129">
        <v>0</v>
      </c>
      <c r="K8" s="125">
        <v>54169996</v>
      </c>
      <c r="L8" s="126">
        <f>IFERROR(IF(K8&gt;0,J8/K8,""),"")</f>
        <v>0</v>
      </c>
      <c r="M8" s="130"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531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439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436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437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438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439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436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437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438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439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436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437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438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439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436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437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438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439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441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533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534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535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536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537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538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442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436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437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438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440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441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442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436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437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438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439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440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441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442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436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441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442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436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437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438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439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440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441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442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436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540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463</v>
      </c>
      <c r="B5" s="123" t="s">
        <v>541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465</v>
      </c>
      <c r="B6" s="123" t="s">
        <v>542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467</v>
      </c>
      <c r="B7" s="123" t="s">
        <v>543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469</v>
      </c>
      <c r="B8" s="123" t="s">
        <v>544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518</v>
      </c>
      <c r="B9" s="123" t="s">
        <v>545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5" t="s">
        <v>546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2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71" t="s">
        <v>410</v>
      </c>
      <c r="B3" s="149"/>
      <c r="C3" s="170" t="s">
        <v>411</v>
      </c>
      <c r="D3" s="149"/>
      <c r="E3" s="166" t="s">
        <v>412</v>
      </c>
      <c r="F3" s="149"/>
      <c r="G3" s="168" t="s">
        <v>413</v>
      </c>
      <c r="H3" s="149"/>
      <c r="I3" s="149"/>
      <c r="J3" s="149"/>
      <c r="K3" s="31" t="s">
        <v>414</v>
      </c>
      <c r="L3" s="32" t="s">
        <v>415</v>
      </c>
      <c r="M3" s="167" t="s">
        <v>416</v>
      </c>
      <c r="N3" s="149"/>
      <c r="O3" s="167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9" t="s">
        <v>435</v>
      </c>
      <c r="B5" s="149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437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438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439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440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441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442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436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437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438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439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440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441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442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436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437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438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439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440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441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442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439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547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548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549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550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551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552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65" t="s">
        <v>553</v>
      </c>
      <c r="B1" s="149"/>
      <c r="C1" s="149"/>
    </row>
    <row r="2" spans="1:3" ht="18.75" customHeight="1" x14ac:dyDescent="0.2"/>
    <row r="3" spans="1:3" ht="28.5" customHeight="1" x14ac:dyDescent="0.2">
      <c r="A3" s="180" t="s">
        <v>554</v>
      </c>
      <c r="B3" s="149"/>
      <c r="C3" s="149"/>
    </row>
    <row r="4" spans="1:3" ht="24" customHeight="1" x14ac:dyDescent="0.2">
      <c r="A4" s="86"/>
      <c r="B4" s="87" t="s">
        <v>555</v>
      </c>
      <c r="C4" s="88" t="s">
        <v>556</v>
      </c>
    </row>
    <row r="5" spans="1:3" ht="24" customHeight="1" x14ac:dyDescent="0.2">
      <c r="A5" s="61"/>
      <c r="B5" s="9" t="s">
        <v>557</v>
      </c>
      <c r="C5" s="89" t="s">
        <v>558</v>
      </c>
    </row>
    <row r="6" spans="1:3" ht="24" customHeight="1" x14ac:dyDescent="0.2">
      <c r="A6" s="86"/>
      <c r="B6" s="87" t="s">
        <v>559</v>
      </c>
      <c r="C6" s="88" t="s">
        <v>560</v>
      </c>
    </row>
    <row r="7" spans="1:3" ht="24" customHeight="1" x14ac:dyDescent="0.2">
      <c r="A7" s="61"/>
      <c r="B7" s="9" t="s">
        <v>561</v>
      </c>
      <c r="C7" s="89" t="s">
        <v>562</v>
      </c>
    </row>
    <row r="8" spans="1:3" ht="24" customHeight="1" x14ac:dyDescent="0.2">
      <c r="A8" s="86"/>
      <c r="B8" s="87" t="s">
        <v>563</v>
      </c>
      <c r="C8" s="88" t="s">
        <v>564</v>
      </c>
    </row>
    <row r="9" spans="1:3" ht="24" customHeight="1" x14ac:dyDescent="0.2">
      <c r="A9" s="61"/>
      <c r="B9" s="9" t="s">
        <v>565</v>
      </c>
      <c r="C9" s="89" t="s">
        <v>566</v>
      </c>
    </row>
    <row r="10" spans="1:3" ht="18.75" customHeight="1" x14ac:dyDescent="0.2"/>
    <row r="11" spans="1:3" ht="28.5" customHeight="1" x14ac:dyDescent="0.2">
      <c r="A11" s="178" t="s">
        <v>567</v>
      </c>
      <c r="B11" s="149"/>
      <c r="C11" s="149"/>
    </row>
    <row r="12" spans="1:3" ht="24" customHeight="1" x14ac:dyDescent="0.2">
      <c r="A12" s="90"/>
      <c r="B12" s="91" t="s">
        <v>568</v>
      </c>
      <c r="C12" s="92" t="s">
        <v>569</v>
      </c>
    </row>
    <row r="13" spans="1:3" ht="24" customHeight="1" x14ac:dyDescent="0.2">
      <c r="A13" s="61"/>
      <c r="B13" s="9" t="s">
        <v>570</v>
      </c>
      <c r="C13" s="89" t="s">
        <v>571</v>
      </c>
    </row>
    <row r="14" spans="1:3" ht="24" customHeight="1" x14ac:dyDescent="0.2">
      <c r="A14" s="90"/>
      <c r="B14" s="91" t="s">
        <v>572</v>
      </c>
      <c r="C14" s="92" t="s">
        <v>573</v>
      </c>
    </row>
    <row r="15" spans="1:3" ht="24" customHeight="1" x14ac:dyDescent="0.2">
      <c r="A15" s="61"/>
      <c r="B15" s="9" t="s">
        <v>574</v>
      </c>
      <c r="C15" s="89" t="s">
        <v>575</v>
      </c>
    </row>
    <row r="16" spans="1:3" ht="18.75" customHeight="1" x14ac:dyDescent="0.2"/>
    <row r="17" spans="1:3" ht="28.5" customHeight="1" x14ac:dyDescent="0.2">
      <c r="A17" s="179" t="s">
        <v>576</v>
      </c>
      <c r="B17" s="149"/>
      <c r="C17" s="149"/>
    </row>
    <row r="18" spans="1:3" ht="24" customHeight="1" x14ac:dyDescent="0.2">
      <c r="A18" s="93"/>
      <c r="B18" s="94" t="s">
        <v>577</v>
      </c>
      <c r="C18" s="95" t="s">
        <v>578</v>
      </c>
    </row>
    <row r="19" spans="1:3" ht="24" customHeight="1" x14ac:dyDescent="0.2">
      <c r="A19" s="61"/>
      <c r="B19" s="9" t="s">
        <v>579</v>
      </c>
      <c r="C19" s="89" t="s">
        <v>580</v>
      </c>
    </row>
    <row r="20" spans="1:3" ht="24" customHeight="1" x14ac:dyDescent="0.2">
      <c r="A20" s="93"/>
      <c r="B20" s="94" t="s">
        <v>581</v>
      </c>
      <c r="C20" s="95" t="s">
        <v>582</v>
      </c>
    </row>
    <row r="21" spans="1:3" ht="24" customHeight="1" x14ac:dyDescent="0.2">
      <c r="A21" s="61"/>
      <c r="B21" s="9" t="s">
        <v>583</v>
      </c>
      <c r="C21" s="89" t="s">
        <v>584</v>
      </c>
    </row>
    <row r="22" spans="1:3" ht="24" customHeight="1" x14ac:dyDescent="0.2">
      <c r="A22" s="93"/>
      <c r="B22" s="94" t="s">
        <v>585</v>
      </c>
      <c r="C22" s="95" t="s">
        <v>586</v>
      </c>
    </row>
    <row r="23" spans="1:3" ht="18.75" customHeight="1" x14ac:dyDescent="0.2"/>
    <row r="24" spans="1:3" ht="28.5" customHeight="1" x14ac:dyDescent="0.2">
      <c r="A24" s="181" t="s">
        <v>587</v>
      </c>
      <c r="B24" s="149"/>
      <c r="C24" s="149"/>
    </row>
    <row r="25" spans="1:3" ht="24" customHeight="1" x14ac:dyDescent="0.2">
      <c r="A25" s="96"/>
      <c r="B25" s="97" t="s">
        <v>588</v>
      </c>
      <c r="C25" s="98" t="s">
        <v>589</v>
      </c>
    </row>
    <row r="26" spans="1:3" ht="24" customHeight="1" x14ac:dyDescent="0.2">
      <c r="A26" s="61"/>
      <c r="B26" s="9" t="s">
        <v>590</v>
      </c>
      <c r="C26" s="89" t="s">
        <v>591</v>
      </c>
    </row>
    <row r="27" spans="1:3" ht="24" customHeight="1" x14ac:dyDescent="0.2">
      <c r="A27" s="96"/>
      <c r="B27" s="97" t="s">
        <v>592</v>
      </c>
      <c r="C27" s="98" t="s">
        <v>593</v>
      </c>
    </row>
    <row r="28" spans="1:3" ht="24" customHeight="1" x14ac:dyDescent="0.2">
      <c r="A28" s="61"/>
      <c r="B28" s="9" t="s">
        <v>594</v>
      </c>
      <c r="C28" s="89" t="s">
        <v>595</v>
      </c>
    </row>
    <row r="29" spans="1:3" ht="24" customHeight="1" x14ac:dyDescent="0.2">
      <c r="A29" s="96"/>
      <c r="B29" s="97" t="s">
        <v>596</v>
      </c>
      <c r="C29" s="98" t="s">
        <v>597</v>
      </c>
    </row>
    <row r="30" spans="1:3" ht="24" customHeight="1" x14ac:dyDescent="0.2">
      <c r="A30" s="61"/>
      <c r="B30" s="9" t="s">
        <v>598</v>
      </c>
      <c r="C30" s="89" t="s">
        <v>599</v>
      </c>
    </row>
    <row r="31" spans="1:3" ht="24" customHeight="1" x14ac:dyDescent="0.2">
      <c r="A31" s="96"/>
      <c r="B31" s="97" t="s">
        <v>600</v>
      </c>
      <c r="C31" s="98" t="s">
        <v>601</v>
      </c>
    </row>
    <row r="32" spans="1:3" ht="24" customHeight="1" x14ac:dyDescent="0.2">
      <c r="A32" s="61"/>
      <c r="B32" s="9" t="s">
        <v>602</v>
      </c>
      <c r="C32" s="89" t="s">
        <v>603</v>
      </c>
    </row>
    <row r="33" spans="1:3" ht="24" customHeight="1" x14ac:dyDescent="0.2">
      <c r="A33" s="96"/>
      <c r="B33" s="97" t="s">
        <v>604</v>
      </c>
      <c r="C33" s="98" t="s">
        <v>605</v>
      </c>
    </row>
    <row r="34" spans="1:3" ht="24" customHeight="1" x14ac:dyDescent="0.2">
      <c r="A34" s="61"/>
      <c r="B34" s="9" t="s">
        <v>606</v>
      </c>
      <c r="C34" s="89" t="s">
        <v>607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7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4" t="s">
        <v>608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2.75" customHeight="1" x14ac:dyDescent="0.2">
      <c r="A2" s="183" t="s">
        <v>609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99" t="s">
        <v>610</v>
      </c>
      <c r="B3" s="99" t="s">
        <v>611</v>
      </c>
      <c r="C3" s="99" t="s">
        <v>612</v>
      </c>
      <c r="D3" s="99" t="s">
        <v>613</v>
      </c>
      <c r="E3" s="99" t="s">
        <v>614</v>
      </c>
      <c r="F3" s="99" t="s">
        <v>615</v>
      </c>
      <c r="G3" s="99" t="s">
        <v>616</v>
      </c>
      <c r="H3" s="99" t="s">
        <v>617</v>
      </c>
      <c r="I3" s="99" t="s">
        <v>618</v>
      </c>
      <c r="J3" s="99" t="s">
        <v>619</v>
      </c>
      <c r="K3" s="99" t="s">
        <v>620</v>
      </c>
      <c r="L3" s="99" t="s">
        <v>621</v>
      </c>
      <c r="M3" s="99" t="s">
        <v>622</v>
      </c>
      <c r="N3" s="99" t="s">
        <v>623</v>
      </c>
    </row>
    <row r="4" spans="1:14" ht="19.5" customHeight="1" x14ac:dyDescent="0.2">
      <c r="A4" s="182" t="s">
        <v>624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1:14" ht="15.75" customHeight="1" x14ac:dyDescent="0.2">
      <c r="A5" s="100" t="s">
        <v>625</v>
      </c>
      <c r="B5" s="101" t="s">
        <v>626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625</v>
      </c>
      <c r="B6" s="106" t="s">
        <v>627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625</v>
      </c>
      <c r="B7" s="107" t="s">
        <v>628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629</v>
      </c>
      <c r="B9" s="101" t="s">
        <v>626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629</v>
      </c>
      <c r="B10" s="106" t="s">
        <v>627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629</v>
      </c>
      <c r="B11" s="107" t="s">
        <v>628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630</v>
      </c>
      <c r="B13" s="101" t="s">
        <v>626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630</v>
      </c>
      <c r="B14" s="106" t="s">
        <v>627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630</v>
      </c>
      <c r="B15" s="107" t="s">
        <v>628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631</v>
      </c>
      <c r="B17" s="101" t="s">
        <v>626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631</v>
      </c>
      <c r="B18" s="106" t="s">
        <v>627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631</v>
      </c>
      <c r="B19" s="107" t="s">
        <v>628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632</v>
      </c>
      <c r="B21" s="101" t="s">
        <v>626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632</v>
      </c>
      <c r="B22" s="106" t="s">
        <v>627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632</v>
      </c>
      <c r="B23" s="107" t="s">
        <v>628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633</v>
      </c>
      <c r="B25" s="101" t="s">
        <v>626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633</v>
      </c>
      <c r="B26" s="106" t="s">
        <v>627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633</v>
      </c>
      <c r="B27" s="107" t="s">
        <v>628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634</v>
      </c>
      <c r="B29" s="101" t="s">
        <v>626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634</v>
      </c>
      <c r="B30" s="106" t="s">
        <v>627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634</v>
      </c>
      <c r="B31" s="107" t="s">
        <v>628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635</v>
      </c>
      <c r="B33" s="101" t="s">
        <v>626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635</v>
      </c>
      <c r="B34" s="106" t="s">
        <v>627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635</v>
      </c>
      <c r="B35" s="107" t="s">
        <v>628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636</v>
      </c>
      <c r="B37" s="101" t="s">
        <v>626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636</v>
      </c>
      <c r="B38" s="106" t="s">
        <v>627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636</v>
      </c>
      <c r="B39" s="107" t="s">
        <v>628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637</v>
      </c>
      <c r="B41" s="101" t="s">
        <v>626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637</v>
      </c>
      <c r="B42" s="106" t="s">
        <v>627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637</v>
      </c>
      <c r="B43" s="107" t="s">
        <v>628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638</v>
      </c>
      <c r="B45" s="101" t="s">
        <v>626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638</v>
      </c>
      <c r="B46" s="106" t="s">
        <v>627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638</v>
      </c>
      <c r="B47" s="107" t="s">
        <v>628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639</v>
      </c>
      <c r="B49" s="101" t="s">
        <v>626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639</v>
      </c>
      <c r="B50" s="106" t="s">
        <v>627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639</v>
      </c>
      <c r="B51" s="107" t="s">
        <v>628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640</v>
      </c>
      <c r="B53" s="101" t="s">
        <v>626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640</v>
      </c>
      <c r="B54" s="106" t="s">
        <v>627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640</v>
      </c>
      <c r="B55" s="107" t="s">
        <v>628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641</v>
      </c>
      <c r="B57" s="101" t="s">
        <v>626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641</v>
      </c>
      <c r="B58" s="106" t="s">
        <v>627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641</v>
      </c>
      <c r="B59" s="107" t="s">
        <v>628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642</v>
      </c>
      <c r="B61" s="101" t="s">
        <v>626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642</v>
      </c>
      <c r="B62" s="106" t="s">
        <v>627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642</v>
      </c>
      <c r="B63" s="107" t="s">
        <v>628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643</v>
      </c>
      <c r="B65" s="101" t="s">
        <v>626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643</v>
      </c>
      <c r="B66" s="106" t="s">
        <v>627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643</v>
      </c>
      <c r="B67" s="107" t="s">
        <v>628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644</v>
      </c>
      <c r="B69" s="101" t="s">
        <v>626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644</v>
      </c>
      <c r="B70" s="106" t="s">
        <v>627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644</v>
      </c>
      <c r="B71" s="107" t="s">
        <v>628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570</v>
      </c>
      <c r="B73" s="101" t="s">
        <v>626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570</v>
      </c>
      <c r="B74" s="106" t="s">
        <v>627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570</v>
      </c>
      <c r="B75" s="107" t="s">
        <v>628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645</v>
      </c>
      <c r="B77" s="101" t="s">
        <v>626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645</v>
      </c>
      <c r="B78" s="106" t="s">
        <v>627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645</v>
      </c>
      <c r="B79" s="107" t="s">
        <v>628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646</v>
      </c>
      <c r="B80" s="108" t="s">
        <v>626</v>
      </c>
      <c r="C80" s="108">
        <v>809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0</v>
      </c>
      <c r="L80" s="108">
        <v>146</v>
      </c>
      <c r="M80" s="108">
        <v>0</v>
      </c>
      <c r="N80" s="108">
        <v>391</v>
      </c>
    </row>
    <row r="81" spans="1:14" ht="15.75" customHeight="1" x14ac:dyDescent="0.2">
      <c r="A81" s="112" t="s">
        <v>646</v>
      </c>
      <c r="B81" t="s">
        <v>627</v>
      </c>
      <c r="C81">
        <v>1118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0</v>
      </c>
      <c r="L81">
        <v>317</v>
      </c>
      <c r="M81">
        <v>0</v>
      </c>
      <c r="N81">
        <v>171</v>
      </c>
    </row>
    <row r="82" spans="1:14" ht="4.5" customHeight="1" x14ac:dyDescent="0.2">
      <c r="A82" s="100" t="s">
        <v>646</v>
      </c>
      <c r="B82" s="101" t="s">
        <v>628</v>
      </c>
      <c r="C82" s="102">
        <v>586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0</v>
      </c>
      <c r="L82" s="105">
        <v>130</v>
      </c>
      <c r="M82" s="105">
        <v>0</v>
      </c>
      <c r="N82" s="105">
        <v>115</v>
      </c>
    </row>
    <row r="83" spans="1:14" ht="15.75" customHeight="1" x14ac:dyDescent="0.2">
      <c r="A83" t="s">
        <v>647</v>
      </c>
      <c r="B83" t="s">
        <v>626</v>
      </c>
      <c r="C83">
        <v>301</v>
      </c>
      <c r="D83">
        <v>126</v>
      </c>
      <c r="E83">
        <v>37</v>
      </c>
      <c r="F83">
        <v>71</v>
      </c>
      <c r="G83">
        <v>6</v>
      </c>
      <c r="H83">
        <v>33</v>
      </c>
      <c r="I83">
        <v>14</v>
      </c>
      <c r="J83">
        <v>14</v>
      </c>
      <c r="K83">
        <v>0</v>
      </c>
      <c r="L83">
        <v>51</v>
      </c>
      <c r="M83">
        <v>0</v>
      </c>
      <c r="N83">
        <v>124</v>
      </c>
    </row>
    <row r="84" spans="1:14" ht="15.75" customHeight="1" x14ac:dyDescent="0.2">
      <c r="A84" t="s">
        <v>647</v>
      </c>
      <c r="B84" t="s">
        <v>627</v>
      </c>
      <c r="C84">
        <v>431</v>
      </c>
      <c r="D84">
        <v>309</v>
      </c>
      <c r="E84">
        <v>78</v>
      </c>
      <c r="F84">
        <v>27</v>
      </c>
      <c r="G84">
        <v>7</v>
      </c>
      <c r="H84">
        <v>7</v>
      </c>
      <c r="I84">
        <v>3</v>
      </c>
      <c r="J84">
        <v>0</v>
      </c>
      <c r="K84">
        <v>0</v>
      </c>
      <c r="L84">
        <v>120</v>
      </c>
      <c r="M84">
        <v>0</v>
      </c>
      <c r="N84">
        <v>68</v>
      </c>
    </row>
    <row r="85" spans="1:14" ht="15.75" customHeight="1" x14ac:dyDescent="0.2">
      <c r="A85" t="s">
        <v>647</v>
      </c>
      <c r="B85" t="s">
        <v>628</v>
      </c>
      <c r="C85">
        <v>215</v>
      </c>
      <c r="D85">
        <v>177</v>
      </c>
      <c r="E85">
        <v>33</v>
      </c>
      <c r="F85">
        <v>1</v>
      </c>
      <c r="G85">
        <v>4</v>
      </c>
      <c r="H85">
        <v>0</v>
      </c>
      <c r="I85">
        <v>0</v>
      </c>
      <c r="J85">
        <v>0</v>
      </c>
      <c r="K85">
        <v>0</v>
      </c>
      <c r="L85">
        <v>55</v>
      </c>
      <c r="M85">
        <v>0</v>
      </c>
      <c r="N85">
        <v>36</v>
      </c>
    </row>
    <row r="86" spans="1:14" ht="4.5" customHeight="1" x14ac:dyDescent="0.2">
      <c r="A86" s="100" t="s">
        <v>625</v>
      </c>
      <c r="B86" s="106" t="s">
        <v>627</v>
      </c>
      <c r="C86" s="102">
        <v>898</v>
      </c>
      <c r="D86" s="103">
        <v>751</v>
      </c>
      <c r="E86" s="103">
        <v>109</v>
      </c>
      <c r="F86" s="103">
        <v>28</v>
      </c>
      <c r="G86" s="103">
        <v>2</v>
      </c>
      <c r="H86" s="103">
        <v>7</v>
      </c>
      <c r="I86" s="103">
        <v>1</v>
      </c>
      <c r="J86" s="104">
        <v>0</v>
      </c>
      <c r="K86" s="105">
        <v>506</v>
      </c>
      <c r="L86" s="105">
        <v>6</v>
      </c>
      <c r="M86" s="105">
        <v>9</v>
      </c>
      <c r="N86" s="105">
        <v>153</v>
      </c>
    </row>
    <row r="87" spans="1:14" ht="15.75" customHeight="1" x14ac:dyDescent="0.2">
      <c r="A87" s="100" t="s">
        <v>625</v>
      </c>
      <c r="B87" s="107" t="s">
        <v>628</v>
      </c>
      <c r="C87" s="102">
        <v>920</v>
      </c>
      <c r="D87" s="103">
        <v>871</v>
      </c>
      <c r="E87" s="103">
        <v>44</v>
      </c>
      <c r="F87" s="103">
        <v>3</v>
      </c>
      <c r="G87" s="103">
        <v>2</v>
      </c>
      <c r="H87" s="104">
        <v>0</v>
      </c>
      <c r="I87" s="104">
        <v>0</v>
      </c>
      <c r="J87" s="104">
        <v>0</v>
      </c>
      <c r="K87" s="105">
        <v>469</v>
      </c>
      <c r="L87" s="105">
        <v>4</v>
      </c>
      <c r="M87" s="105">
        <v>3</v>
      </c>
      <c r="N87" s="105">
        <v>79</v>
      </c>
    </row>
    <row r="88" spans="1:14" ht="15.75" customHeight="1" x14ac:dyDescent="0.2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</row>
    <row r="89" spans="1:14" ht="15.75" customHeight="1" x14ac:dyDescent="0.2">
      <c r="A89" s="100" t="s">
        <v>629</v>
      </c>
      <c r="B89" s="101" t="s">
        <v>626</v>
      </c>
      <c r="C89" s="102">
        <v>563</v>
      </c>
      <c r="D89" s="103">
        <v>273</v>
      </c>
      <c r="E89" s="103">
        <v>123</v>
      </c>
      <c r="F89" s="103">
        <v>67</v>
      </c>
      <c r="G89" s="103">
        <v>10</v>
      </c>
      <c r="H89" s="103">
        <v>69</v>
      </c>
      <c r="I89" s="103">
        <v>16</v>
      </c>
      <c r="J89" s="103">
        <v>5</v>
      </c>
      <c r="K89" s="105">
        <v>26</v>
      </c>
      <c r="L89" s="105">
        <v>180</v>
      </c>
      <c r="M89" s="105">
        <v>3</v>
      </c>
      <c r="N89" s="105">
        <v>218</v>
      </c>
    </row>
    <row r="90" spans="1:14" ht="4.5" customHeight="1" x14ac:dyDescent="0.2">
      <c r="A90" s="100" t="s">
        <v>629</v>
      </c>
      <c r="B90" s="106" t="s">
        <v>627</v>
      </c>
      <c r="C90" s="102">
        <v>324</v>
      </c>
      <c r="D90" s="103">
        <v>271</v>
      </c>
      <c r="E90" s="103">
        <v>42</v>
      </c>
      <c r="F90" s="103">
        <v>10</v>
      </c>
      <c r="G90" s="103">
        <v>1</v>
      </c>
      <c r="H90" s="104">
        <v>0</v>
      </c>
      <c r="I90" s="104">
        <v>0</v>
      </c>
      <c r="J90" s="104">
        <v>0</v>
      </c>
      <c r="K90" s="105">
        <v>172</v>
      </c>
      <c r="L90" s="105">
        <v>5</v>
      </c>
      <c r="M90" s="105">
        <v>2</v>
      </c>
      <c r="N90" s="105">
        <v>43</v>
      </c>
    </row>
    <row r="91" spans="1:14" ht="15.75" customHeight="1" x14ac:dyDescent="0.2">
      <c r="A91" s="100" t="s">
        <v>629</v>
      </c>
      <c r="B91" s="107" t="s">
        <v>628</v>
      </c>
      <c r="C91" s="102">
        <v>394</v>
      </c>
      <c r="D91" s="103">
        <v>359</v>
      </c>
      <c r="E91" s="103">
        <v>25</v>
      </c>
      <c r="F91" s="103">
        <v>3</v>
      </c>
      <c r="G91" s="103">
        <v>4</v>
      </c>
      <c r="H91" s="103">
        <v>3</v>
      </c>
      <c r="I91" s="104">
        <v>0</v>
      </c>
      <c r="J91" s="104">
        <v>0</v>
      </c>
      <c r="K91" s="105">
        <v>182</v>
      </c>
      <c r="L91" s="104">
        <v>0</v>
      </c>
      <c r="M91" s="105">
        <v>1</v>
      </c>
      <c r="N91" s="105">
        <v>44</v>
      </c>
    </row>
    <row r="92" spans="1:14" ht="15.75" customHeight="1" x14ac:dyDescent="0.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ht="15.75" customHeight="1" x14ac:dyDescent="0.2">
      <c r="A93" s="100" t="s">
        <v>630</v>
      </c>
      <c r="B93" s="101" t="s">
        <v>626</v>
      </c>
      <c r="C93" s="102">
        <v>803</v>
      </c>
      <c r="D93" s="103">
        <v>408</v>
      </c>
      <c r="E93" s="103">
        <v>202</v>
      </c>
      <c r="F93" s="103">
        <v>92</v>
      </c>
      <c r="G93" s="103">
        <v>13</v>
      </c>
      <c r="H93" s="103">
        <v>68</v>
      </c>
      <c r="I93" s="103">
        <v>17</v>
      </c>
      <c r="J93" s="103">
        <v>3</v>
      </c>
      <c r="K93" s="105">
        <v>37</v>
      </c>
      <c r="L93" s="105">
        <v>280</v>
      </c>
      <c r="M93" s="105">
        <v>2</v>
      </c>
      <c r="N93" s="105">
        <v>305</v>
      </c>
    </row>
    <row r="94" spans="1:14" ht="4.5" customHeight="1" x14ac:dyDescent="0.2">
      <c r="A94" s="100" t="s">
        <v>630</v>
      </c>
      <c r="B94" s="106" t="s">
        <v>627</v>
      </c>
      <c r="C94" s="102">
        <v>351</v>
      </c>
      <c r="D94" s="103">
        <v>307</v>
      </c>
      <c r="E94" s="103">
        <v>31</v>
      </c>
      <c r="F94" s="103">
        <v>10</v>
      </c>
      <c r="G94" s="103">
        <v>1</v>
      </c>
      <c r="H94" s="103">
        <v>2</v>
      </c>
      <c r="I94" s="104">
        <v>0</v>
      </c>
      <c r="J94" s="104">
        <v>0</v>
      </c>
      <c r="K94" s="105">
        <v>202</v>
      </c>
      <c r="L94" s="105">
        <v>2</v>
      </c>
      <c r="M94" s="105">
        <v>2</v>
      </c>
      <c r="N94" s="105">
        <v>46</v>
      </c>
    </row>
    <row r="95" spans="1:14" ht="15.75" customHeight="1" x14ac:dyDescent="0.2">
      <c r="A95" s="100" t="s">
        <v>630</v>
      </c>
      <c r="B95" s="107" t="s">
        <v>628</v>
      </c>
      <c r="C95" s="102">
        <v>439</v>
      </c>
      <c r="D95" s="103">
        <v>396</v>
      </c>
      <c r="E95" s="103">
        <v>38</v>
      </c>
      <c r="F95" s="103">
        <v>2</v>
      </c>
      <c r="G95" s="103">
        <v>2</v>
      </c>
      <c r="H95" s="103">
        <v>1</v>
      </c>
      <c r="I95" s="104">
        <v>0</v>
      </c>
      <c r="J95" s="104">
        <v>0</v>
      </c>
      <c r="K95" s="105">
        <v>210</v>
      </c>
      <c r="L95" s="105">
        <v>1</v>
      </c>
      <c r="M95" s="105">
        <v>5</v>
      </c>
      <c r="N95" s="105">
        <v>58</v>
      </c>
    </row>
    <row r="96" spans="1:14" ht="15.75" customHeight="1" x14ac:dyDescent="0.2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ht="15.75" customHeight="1" x14ac:dyDescent="0.2">
      <c r="A97" s="100" t="s">
        <v>631</v>
      </c>
      <c r="B97" s="101" t="s">
        <v>626</v>
      </c>
      <c r="C97" s="102">
        <v>847</v>
      </c>
      <c r="D97" s="103">
        <v>413</v>
      </c>
      <c r="E97" s="103">
        <v>228</v>
      </c>
      <c r="F97" s="103">
        <v>96</v>
      </c>
      <c r="G97" s="103">
        <v>20</v>
      </c>
      <c r="H97" s="103">
        <v>78</v>
      </c>
      <c r="I97" s="103">
        <v>9</v>
      </c>
      <c r="J97" s="103">
        <v>3</v>
      </c>
      <c r="K97" s="105">
        <v>33</v>
      </c>
      <c r="L97" s="105">
        <v>267</v>
      </c>
      <c r="M97" s="105">
        <v>4</v>
      </c>
      <c r="N97" s="105">
        <v>355</v>
      </c>
    </row>
    <row r="98" spans="1:14" ht="4.5" customHeight="1" x14ac:dyDescent="0.2">
      <c r="A98" s="100" t="s">
        <v>631</v>
      </c>
      <c r="B98" s="106" t="s">
        <v>627</v>
      </c>
      <c r="C98" s="102">
        <v>299</v>
      </c>
      <c r="D98" s="103">
        <v>253</v>
      </c>
      <c r="E98" s="103">
        <v>32</v>
      </c>
      <c r="F98" s="103">
        <v>11</v>
      </c>
      <c r="G98" s="103">
        <v>2</v>
      </c>
      <c r="H98" s="104">
        <v>0</v>
      </c>
      <c r="I98" s="103">
        <v>1</v>
      </c>
      <c r="J98" s="104">
        <v>0</v>
      </c>
      <c r="K98" s="105">
        <v>141</v>
      </c>
      <c r="L98" s="105">
        <v>7</v>
      </c>
      <c r="M98" s="105">
        <v>2</v>
      </c>
      <c r="N98" s="105">
        <v>54</v>
      </c>
    </row>
    <row r="99" spans="1:14" ht="15.75" customHeight="1" x14ac:dyDescent="0.2">
      <c r="A99" s="100" t="s">
        <v>631</v>
      </c>
      <c r="B99" s="107" t="s">
        <v>628</v>
      </c>
      <c r="C99" s="102">
        <v>460</v>
      </c>
      <c r="D99" s="103">
        <v>429</v>
      </c>
      <c r="E99" s="103">
        <v>29</v>
      </c>
      <c r="F99" s="103">
        <v>2</v>
      </c>
      <c r="G99" s="104">
        <v>0</v>
      </c>
      <c r="H99" s="104">
        <v>0</v>
      </c>
      <c r="I99" s="104">
        <v>0</v>
      </c>
      <c r="J99" s="104">
        <v>0</v>
      </c>
      <c r="K99" s="105">
        <v>223</v>
      </c>
      <c r="L99" s="105">
        <v>6</v>
      </c>
      <c r="M99" s="105">
        <v>3</v>
      </c>
      <c r="N99" s="105">
        <v>48</v>
      </c>
    </row>
    <row r="100" spans="1:14" ht="15.75" customHeight="1" x14ac:dyDescent="0.2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spans="1:14" ht="15.75" customHeight="1" x14ac:dyDescent="0.2">
      <c r="A101" s="100" t="s">
        <v>632</v>
      </c>
      <c r="B101" s="101" t="s">
        <v>626</v>
      </c>
      <c r="C101" s="102">
        <v>920</v>
      </c>
      <c r="D101" s="103">
        <v>508</v>
      </c>
      <c r="E101" s="103">
        <v>232</v>
      </c>
      <c r="F101" s="103">
        <v>95</v>
      </c>
      <c r="G101" s="103">
        <v>8</v>
      </c>
      <c r="H101" s="103">
        <v>66</v>
      </c>
      <c r="I101" s="103">
        <v>9</v>
      </c>
      <c r="J101" s="103">
        <v>2</v>
      </c>
      <c r="K101" s="105">
        <v>34</v>
      </c>
      <c r="L101" s="105">
        <v>316</v>
      </c>
      <c r="M101" s="105">
        <v>6</v>
      </c>
      <c r="N101" s="105">
        <v>306</v>
      </c>
    </row>
    <row r="102" spans="1:14" ht="4.5" customHeight="1" x14ac:dyDescent="0.2">
      <c r="A102" s="100" t="s">
        <v>632</v>
      </c>
      <c r="B102" s="106" t="s">
        <v>627</v>
      </c>
      <c r="C102" s="102">
        <v>368</v>
      </c>
      <c r="D102" s="103">
        <v>309</v>
      </c>
      <c r="E102" s="103">
        <v>37</v>
      </c>
      <c r="F102" s="103">
        <v>14</v>
      </c>
      <c r="G102" s="103">
        <v>6</v>
      </c>
      <c r="H102" s="103">
        <v>2</v>
      </c>
      <c r="I102" s="104">
        <v>0</v>
      </c>
      <c r="J102" s="104">
        <v>0</v>
      </c>
      <c r="K102" s="105">
        <v>194</v>
      </c>
      <c r="L102" s="105">
        <v>4</v>
      </c>
      <c r="M102" s="105">
        <v>3</v>
      </c>
      <c r="N102" s="105">
        <v>63</v>
      </c>
    </row>
    <row r="103" spans="1:14" ht="15.75" customHeight="1" x14ac:dyDescent="0.2">
      <c r="A103" s="100" t="s">
        <v>632</v>
      </c>
      <c r="B103" s="107" t="s">
        <v>628</v>
      </c>
      <c r="C103" s="102">
        <v>380</v>
      </c>
      <c r="D103" s="103">
        <v>358</v>
      </c>
      <c r="E103" s="103">
        <v>14</v>
      </c>
      <c r="F103" s="103">
        <v>5</v>
      </c>
      <c r="G103" s="103">
        <v>2</v>
      </c>
      <c r="H103" s="103">
        <v>1</v>
      </c>
      <c r="I103" s="104">
        <v>0</v>
      </c>
      <c r="J103" s="104">
        <v>0</v>
      </c>
      <c r="K103" s="105">
        <v>186</v>
      </c>
      <c r="L103" s="105">
        <v>1</v>
      </c>
      <c r="M103" s="105">
        <v>3</v>
      </c>
      <c r="N103" s="105">
        <v>30</v>
      </c>
    </row>
    <row r="104" spans="1:14" ht="15.75" customHeight="1" x14ac:dyDescent="0.2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spans="1:14" ht="15.75" customHeight="1" x14ac:dyDescent="0.2">
      <c r="A105" s="100" t="s">
        <v>633</v>
      </c>
      <c r="B105" s="101" t="s">
        <v>626</v>
      </c>
      <c r="C105" s="102">
        <v>854</v>
      </c>
      <c r="D105" s="103">
        <v>425</v>
      </c>
      <c r="E105" s="103">
        <v>217</v>
      </c>
      <c r="F105" s="103">
        <v>113</v>
      </c>
      <c r="G105" s="103">
        <v>10</v>
      </c>
      <c r="H105" s="103">
        <v>71</v>
      </c>
      <c r="I105" s="103">
        <v>15</v>
      </c>
      <c r="J105" s="103">
        <v>3</v>
      </c>
      <c r="K105" s="105">
        <v>27</v>
      </c>
      <c r="L105" s="105">
        <v>298</v>
      </c>
      <c r="M105" s="105">
        <v>4</v>
      </c>
      <c r="N105" s="105">
        <v>325</v>
      </c>
    </row>
    <row r="106" spans="1:14" ht="4.5" customHeight="1" x14ac:dyDescent="0.2">
      <c r="A106" s="100" t="s">
        <v>633</v>
      </c>
      <c r="B106" s="106" t="s">
        <v>627</v>
      </c>
      <c r="C106" s="102">
        <v>426</v>
      </c>
      <c r="D106" s="103">
        <v>364</v>
      </c>
      <c r="E106" s="103">
        <v>43</v>
      </c>
      <c r="F106" s="103">
        <v>13</v>
      </c>
      <c r="G106" s="103">
        <v>2</v>
      </c>
      <c r="H106" s="103">
        <v>3</v>
      </c>
      <c r="I106" s="103">
        <v>1</v>
      </c>
      <c r="J106" s="104">
        <v>0</v>
      </c>
      <c r="K106" s="105">
        <v>217</v>
      </c>
      <c r="L106" s="105">
        <v>7</v>
      </c>
      <c r="M106" s="105">
        <v>15</v>
      </c>
      <c r="N106" s="105">
        <v>68</v>
      </c>
    </row>
    <row r="107" spans="1:14" ht="15.75" customHeight="1" x14ac:dyDescent="0.2">
      <c r="A107" s="100" t="s">
        <v>633</v>
      </c>
      <c r="B107" s="107" t="s">
        <v>628</v>
      </c>
      <c r="C107" s="102">
        <v>372</v>
      </c>
      <c r="D107" s="103">
        <v>339</v>
      </c>
      <c r="E107" s="103">
        <v>27</v>
      </c>
      <c r="F107" s="103">
        <v>4</v>
      </c>
      <c r="G107" s="103">
        <v>1</v>
      </c>
      <c r="H107" s="103">
        <v>1</v>
      </c>
      <c r="I107" s="104">
        <v>0</v>
      </c>
      <c r="J107" s="104">
        <v>0</v>
      </c>
      <c r="K107" s="105">
        <v>169</v>
      </c>
      <c r="L107" s="105">
        <v>6</v>
      </c>
      <c r="M107" s="105">
        <v>7</v>
      </c>
      <c r="N107" s="105">
        <v>46</v>
      </c>
    </row>
    <row r="108" spans="1:14" ht="15.75" customHeight="1" x14ac:dyDescent="0.2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spans="1:14" ht="15.75" customHeight="1" x14ac:dyDescent="0.2">
      <c r="A109" s="100" t="s">
        <v>634</v>
      </c>
      <c r="B109" s="101" t="s">
        <v>626</v>
      </c>
      <c r="C109" s="102">
        <v>915</v>
      </c>
      <c r="D109" s="103">
        <v>457</v>
      </c>
      <c r="E109" s="103">
        <v>256</v>
      </c>
      <c r="F109" s="103">
        <v>99</v>
      </c>
      <c r="G109" s="103">
        <v>13</v>
      </c>
      <c r="H109" s="103">
        <v>78</v>
      </c>
      <c r="I109" s="103">
        <v>9</v>
      </c>
      <c r="J109" s="103">
        <v>3</v>
      </c>
      <c r="K109" s="105">
        <v>26</v>
      </c>
      <c r="L109" s="105">
        <v>286</v>
      </c>
      <c r="M109" s="105">
        <v>3</v>
      </c>
      <c r="N109" s="105">
        <v>369</v>
      </c>
    </row>
    <row r="110" spans="1:14" ht="4.5" customHeight="1" x14ac:dyDescent="0.2">
      <c r="A110" s="100" t="s">
        <v>634</v>
      </c>
      <c r="B110" s="106" t="s">
        <v>627</v>
      </c>
      <c r="C110" s="102">
        <v>544</v>
      </c>
      <c r="D110" s="103">
        <v>454</v>
      </c>
      <c r="E110" s="103">
        <v>65</v>
      </c>
      <c r="F110" s="103">
        <v>16</v>
      </c>
      <c r="G110" s="103">
        <v>5</v>
      </c>
      <c r="H110" s="103">
        <v>3</v>
      </c>
      <c r="I110" s="104">
        <v>0</v>
      </c>
      <c r="J110" s="103">
        <v>1</v>
      </c>
      <c r="K110" s="105">
        <v>268</v>
      </c>
      <c r="L110" s="105">
        <v>7</v>
      </c>
      <c r="M110" s="105">
        <v>15</v>
      </c>
      <c r="N110" s="105">
        <v>109</v>
      </c>
    </row>
    <row r="111" spans="1:14" ht="15.75" customHeight="1" x14ac:dyDescent="0.2">
      <c r="A111" s="100" t="s">
        <v>634</v>
      </c>
      <c r="B111" s="107" t="s">
        <v>628</v>
      </c>
      <c r="C111" s="102">
        <v>404</v>
      </c>
      <c r="D111" s="103">
        <v>363</v>
      </c>
      <c r="E111" s="103">
        <v>35</v>
      </c>
      <c r="F111" s="103">
        <v>3</v>
      </c>
      <c r="G111" s="103">
        <v>1</v>
      </c>
      <c r="H111" s="103">
        <v>2</v>
      </c>
      <c r="I111" s="104">
        <v>0</v>
      </c>
      <c r="J111" s="104">
        <v>0</v>
      </c>
      <c r="K111" s="105">
        <v>207</v>
      </c>
      <c r="L111" s="105">
        <v>2</v>
      </c>
      <c r="M111" s="105">
        <v>6</v>
      </c>
      <c r="N111" s="105">
        <v>60</v>
      </c>
    </row>
    <row r="112" spans="1:14" ht="15.75" customHeight="1" x14ac:dyDescent="0.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 ht="15.75" customHeight="1" x14ac:dyDescent="0.2">
      <c r="A113" s="100" t="s">
        <v>635</v>
      </c>
      <c r="B113" s="101" t="s">
        <v>626</v>
      </c>
      <c r="C113" s="102">
        <v>865</v>
      </c>
      <c r="D113" s="103">
        <v>448</v>
      </c>
      <c r="E113" s="103">
        <v>239</v>
      </c>
      <c r="F113" s="103">
        <v>98</v>
      </c>
      <c r="G113" s="103">
        <v>12</v>
      </c>
      <c r="H113" s="103">
        <v>54</v>
      </c>
      <c r="I113" s="103">
        <v>12</v>
      </c>
      <c r="J113" s="103">
        <v>2</v>
      </c>
      <c r="K113" s="105">
        <v>36</v>
      </c>
      <c r="L113" s="105">
        <v>277</v>
      </c>
      <c r="M113" s="105">
        <v>5</v>
      </c>
      <c r="N113" s="105">
        <v>331</v>
      </c>
    </row>
    <row r="114" spans="1:14" ht="4.5" customHeight="1" x14ac:dyDescent="0.2">
      <c r="A114" s="100" t="s">
        <v>635</v>
      </c>
      <c r="B114" s="106" t="s">
        <v>627</v>
      </c>
      <c r="C114" s="102">
        <v>586</v>
      </c>
      <c r="D114" s="103">
        <v>510</v>
      </c>
      <c r="E114" s="103">
        <v>49</v>
      </c>
      <c r="F114" s="103">
        <v>19</v>
      </c>
      <c r="G114" s="103">
        <v>5</v>
      </c>
      <c r="H114" s="103">
        <v>2</v>
      </c>
      <c r="I114" s="103">
        <v>1</v>
      </c>
      <c r="J114" s="104">
        <v>0</v>
      </c>
      <c r="K114" s="105">
        <v>270</v>
      </c>
      <c r="L114" s="105">
        <v>7</v>
      </c>
      <c r="M114" s="105">
        <v>14</v>
      </c>
      <c r="N114" s="105">
        <v>113</v>
      </c>
    </row>
    <row r="115" spans="1:14" ht="15.75" customHeight="1" x14ac:dyDescent="0.2">
      <c r="A115" s="100" t="s">
        <v>635</v>
      </c>
      <c r="B115" s="107" t="s">
        <v>628</v>
      </c>
      <c r="C115" s="102">
        <v>351</v>
      </c>
      <c r="D115" s="103">
        <v>307</v>
      </c>
      <c r="E115" s="103">
        <v>33</v>
      </c>
      <c r="F115" s="103">
        <v>3</v>
      </c>
      <c r="G115" s="103">
        <v>5</v>
      </c>
      <c r="H115" s="103">
        <v>2</v>
      </c>
      <c r="I115" s="103">
        <v>1</v>
      </c>
      <c r="J115" s="104">
        <v>0</v>
      </c>
      <c r="K115" s="105">
        <v>167</v>
      </c>
      <c r="L115" s="105">
        <v>5</v>
      </c>
      <c r="M115" s="105">
        <v>11</v>
      </c>
      <c r="N115" s="105">
        <v>50</v>
      </c>
    </row>
    <row r="116" spans="1:14" ht="15.75" customHeight="1" x14ac:dyDescent="0.2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spans="1:14" ht="15.75" customHeight="1" x14ac:dyDescent="0.2">
      <c r="A117" s="100" t="s">
        <v>636</v>
      </c>
      <c r="B117" s="101" t="s">
        <v>626</v>
      </c>
      <c r="C117" s="102">
        <v>882</v>
      </c>
      <c r="D117" s="103">
        <v>441</v>
      </c>
      <c r="E117" s="103">
        <v>215</v>
      </c>
      <c r="F117" s="103">
        <v>119</v>
      </c>
      <c r="G117" s="103">
        <v>25</v>
      </c>
      <c r="H117" s="103">
        <v>67</v>
      </c>
      <c r="I117" s="103">
        <v>13</v>
      </c>
      <c r="J117" s="103">
        <v>2</v>
      </c>
      <c r="K117" s="105">
        <v>39</v>
      </c>
      <c r="L117" s="105">
        <v>170</v>
      </c>
      <c r="M117" s="105">
        <v>3</v>
      </c>
      <c r="N117" s="105">
        <v>318</v>
      </c>
    </row>
    <row r="118" spans="1:14" ht="4.5" customHeight="1" x14ac:dyDescent="0.2">
      <c r="A118" s="100" t="s">
        <v>636</v>
      </c>
      <c r="B118" s="106" t="s">
        <v>627</v>
      </c>
      <c r="C118" s="102">
        <v>504</v>
      </c>
      <c r="D118" s="103">
        <v>426</v>
      </c>
      <c r="E118" s="103">
        <v>57</v>
      </c>
      <c r="F118" s="103">
        <v>15</v>
      </c>
      <c r="G118" s="104">
        <v>0</v>
      </c>
      <c r="H118" s="103">
        <v>6</v>
      </c>
      <c r="I118" s="104">
        <v>0</v>
      </c>
      <c r="J118" s="104">
        <v>0</v>
      </c>
      <c r="K118" s="105">
        <v>256</v>
      </c>
      <c r="L118" s="105">
        <v>3</v>
      </c>
      <c r="M118" s="105">
        <v>8</v>
      </c>
      <c r="N118" s="105">
        <v>97</v>
      </c>
    </row>
    <row r="119" spans="1:14" ht="15.75" customHeight="1" x14ac:dyDescent="0.2">
      <c r="A119" s="100" t="s">
        <v>636</v>
      </c>
      <c r="B119" s="107" t="s">
        <v>628</v>
      </c>
      <c r="C119" s="102">
        <v>292</v>
      </c>
      <c r="D119" s="103">
        <v>269</v>
      </c>
      <c r="E119" s="103">
        <v>15</v>
      </c>
      <c r="F119" s="103">
        <v>4</v>
      </c>
      <c r="G119" s="103">
        <v>2</v>
      </c>
      <c r="H119" s="103">
        <v>2</v>
      </c>
      <c r="I119" s="104">
        <v>0</v>
      </c>
      <c r="J119" s="104">
        <v>0</v>
      </c>
      <c r="K119" s="105">
        <v>139</v>
      </c>
      <c r="L119" s="105">
        <v>1</v>
      </c>
      <c r="M119" s="105">
        <v>1</v>
      </c>
      <c r="N119" s="105">
        <v>39</v>
      </c>
    </row>
    <row r="120" spans="1:14" ht="15.75" customHeight="1" x14ac:dyDescent="0.2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spans="1:14" ht="15.75" customHeight="1" x14ac:dyDescent="0.2">
      <c r="A121" s="100" t="s">
        <v>637</v>
      </c>
      <c r="B121" s="101" t="s">
        <v>626</v>
      </c>
      <c r="C121" s="102">
        <v>1360</v>
      </c>
      <c r="D121" s="103">
        <v>710</v>
      </c>
      <c r="E121" s="103">
        <v>319</v>
      </c>
      <c r="F121" s="103">
        <v>174</v>
      </c>
      <c r="G121" s="103">
        <v>41</v>
      </c>
      <c r="H121" s="103">
        <v>109</v>
      </c>
      <c r="I121" s="103">
        <v>7</v>
      </c>
      <c r="J121" s="104">
        <v>0</v>
      </c>
      <c r="K121" s="105">
        <v>124</v>
      </c>
      <c r="L121" s="105">
        <v>104</v>
      </c>
      <c r="M121" s="105">
        <v>3</v>
      </c>
      <c r="N121" s="105">
        <v>576</v>
      </c>
    </row>
    <row r="122" spans="1:14" ht="4.5" customHeight="1" x14ac:dyDescent="0.2">
      <c r="A122" s="100" t="s">
        <v>637</v>
      </c>
      <c r="B122" s="106" t="s">
        <v>627</v>
      </c>
      <c r="C122" s="102">
        <v>764</v>
      </c>
      <c r="D122" s="103">
        <v>621</v>
      </c>
      <c r="E122" s="103">
        <v>106</v>
      </c>
      <c r="F122" s="103">
        <v>28</v>
      </c>
      <c r="G122" s="103">
        <v>5</v>
      </c>
      <c r="H122" s="103">
        <v>2</v>
      </c>
      <c r="I122" s="103">
        <v>1</v>
      </c>
      <c r="J122" s="103">
        <v>1</v>
      </c>
      <c r="K122" s="105">
        <v>407</v>
      </c>
      <c r="L122" s="105">
        <v>5</v>
      </c>
      <c r="M122" s="105">
        <v>7</v>
      </c>
      <c r="N122" s="105">
        <v>217</v>
      </c>
    </row>
    <row r="123" spans="1:14" ht="15.75" customHeight="1" x14ac:dyDescent="0.2">
      <c r="A123" s="100" t="s">
        <v>637</v>
      </c>
      <c r="B123" s="107" t="s">
        <v>628</v>
      </c>
      <c r="C123" s="102">
        <v>294</v>
      </c>
      <c r="D123" s="103">
        <v>271</v>
      </c>
      <c r="E123" s="103">
        <v>18</v>
      </c>
      <c r="F123" s="103">
        <v>4</v>
      </c>
      <c r="G123" s="103">
        <v>1</v>
      </c>
      <c r="H123" s="104">
        <v>0</v>
      </c>
      <c r="I123" s="104">
        <v>0</v>
      </c>
      <c r="J123" s="104">
        <v>0</v>
      </c>
      <c r="K123" s="105">
        <v>148</v>
      </c>
      <c r="L123" s="104">
        <v>0</v>
      </c>
      <c r="M123" s="105">
        <v>1</v>
      </c>
      <c r="N123" s="105">
        <v>87</v>
      </c>
    </row>
    <row r="124" spans="1:14" ht="15.75" customHeight="1" x14ac:dyDescent="0.2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spans="1:14" ht="15.75" customHeight="1" x14ac:dyDescent="0.2">
      <c r="A125" s="100" t="s">
        <v>638</v>
      </c>
      <c r="B125" s="101" t="s">
        <v>626</v>
      </c>
      <c r="C125" s="102">
        <v>1379</v>
      </c>
      <c r="D125" s="103">
        <v>681</v>
      </c>
      <c r="E125" s="103">
        <v>368</v>
      </c>
      <c r="F125" s="103">
        <v>166</v>
      </c>
      <c r="G125" s="103">
        <v>54</v>
      </c>
      <c r="H125" s="103">
        <v>91</v>
      </c>
      <c r="I125" s="103">
        <v>17</v>
      </c>
      <c r="J125" s="103">
        <v>2</v>
      </c>
      <c r="K125" s="105">
        <v>67</v>
      </c>
      <c r="L125" s="105">
        <v>370</v>
      </c>
      <c r="M125" s="105">
        <v>12</v>
      </c>
      <c r="N125" s="105">
        <v>539</v>
      </c>
    </row>
    <row r="126" spans="1:14" ht="4.5" customHeight="1" x14ac:dyDescent="0.2">
      <c r="A126" s="100" t="s">
        <v>638</v>
      </c>
      <c r="B126" s="106" t="s">
        <v>627</v>
      </c>
      <c r="C126" s="102">
        <v>689</v>
      </c>
      <c r="D126" s="103">
        <v>575</v>
      </c>
      <c r="E126" s="103">
        <v>83</v>
      </c>
      <c r="F126" s="103">
        <v>25</v>
      </c>
      <c r="G126" s="103">
        <v>2</v>
      </c>
      <c r="H126" s="103">
        <v>1</v>
      </c>
      <c r="I126" s="103">
        <v>2</v>
      </c>
      <c r="J126" s="103">
        <v>1</v>
      </c>
      <c r="K126" s="105">
        <v>332</v>
      </c>
      <c r="L126" s="105">
        <v>8</v>
      </c>
      <c r="M126" s="105">
        <v>20</v>
      </c>
      <c r="N126" s="105">
        <v>165</v>
      </c>
    </row>
    <row r="127" spans="1:14" ht="15.75" customHeight="1" x14ac:dyDescent="0.2">
      <c r="A127" s="100" t="s">
        <v>638</v>
      </c>
      <c r="B127" s="107" t="s">
        <v>628</v>
      </c>
      <c r="C127" s="102">
        <v>333</v>
      </c>
      <c r="D127" s="103">
        <v>301</v>
      </c>
      <c r="E127" s="103">
        <v>23</v>
      </c>
      <c r="F127" s="103">
        <v>7</v>
      </c>
      <c r="G127" s="103">
        <v>1</v>
      </c>
      <c r="H127" s="103">
        <v>1</v>
      </c>
      <c r="I127" s="104">
        <v>0</v>
      </c>
      <c r="J127" s="104">
        <v>0</v>
      </c>
      <c r="K127" s="105">
        <v>192</v>
      </c>
      <c r="L127" s="105">
        <v>4</v>
      </c>
      <c r="M127" s="105">
        <v>7</v>
      </c>
      <c r="N127" s="105">
        <v>62</v>
      </c>
    </row>
    <row r="128" spans="1:14" ht="15.75" customHeight="1" x14ac:dyDescent="0.2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spans="1:14" ht="15.75" customHeight="1" x14ac:dyDescent="0.2">
      <c r="A129" s="100" t="s">
        <v>639</v>
      </c>
      <c r="B129" s="101" t="s">
        <v>626</v>
      </c>
      <c r="C129" s="102">
        <v>1320</v>
      </c>
      <c r="D129" s="103">
        <v>682</v>
      </c>
      <c r="E129" s="103">
        <v>288</v>
      </c>
      <c r="F129" s="103">
        <v>207</v>
      </c>
      <c r="G129" s="103">
        <v>38</v>
      </c>
      <c r="H129" s="103">
        <v>86</v>
      </c>
      <c r="I129" s="103">
        <v>16</v>
      </c>
      <c r="J129" s="103">
        <v>3</v>
      </c>
      <c r="K129" s="105">
        <v>46</v>
      </c>
      <c r="L129" s="105">
        <v>400</v>
      </c>
      <c r="M129" s="105">
        <v>11</v>
      </c>
      <c r="N129" s="105">
        <v>467</v>
      </c>
    </row>
    <row r="130" spans="1:14" ht="4.5" customHeight="1" x14ac:dyDescent="0.2">
      <c r="A130" s="100" t="s">
        <v>639</v>
      </c>
      <c r="B130" s="106" t="s">
        <v>627</v>
      </c>
      <c r="C130" s="102">
        <v>737</v>
      </c>
      <c r="D130" s="103">
        <v>636</v>
      </c>
      <c r="E130" s="103">
        <v>78</v>
      </c>
      <c r="F130" s="103">
        <v>18</v>
      </c>
      <c r="G130" s="103">
        <v>3</v>
      </c>
      <c r="H130" s="103">
        <v>2</v>
      </c>
      <c r="I130" s="104">
        <v>0</v>
      </c>
      <c r="J130" s="104">
        <v>0</v>
      </c>
      <c r="K130" s="105">
        <v>376</v>
      </c>
      <c r="L130" s="105">
        <v>14</v>
      </c>
      <c r="M130" s="105">
        <v>27</v>
      </c>
      <c r="N130" s="105">
        <v>157</v>
      </c>
    </row>
    <row r="131" spans="1:14" ht="15.75" customHeight="1" x14ac:dyDescent="0.2">
      <c r="A131" s="100" t="s">
        <v>639</v>
      </c>
      <c r="B131" s="107" t="s">
        <v>628</v>
      </c>
      <c r="C131" s="102">
        <v>557</v>
      </c>
      <c r="D131" s="103">
        <v>508</v>
      </c>
      <c r="E131" s="103">
        <v>38</v>
      </c>
      <c r="F131" s="103">
        <v>5</v>
      </c>
      <c r="G131" s="103">
        <v>2</v>
      </c>
      <c r="H131" s="103">
        <v>4</v>
      </c>
      <c r="I131" s="104">
        <v>0</v>
      </c>
      <c r="J131" s="104">
        <v>0</v>
      </c>
      <c r="K131" s="105">
        <v>287</v>
      </c>
      <c r="L131" s="105">
        <v>9</v>
      </c>
      <c r="M131" s="105">
        <v>22</v>
      </c>
      <c r="N131" s="105">
        <v>73</v>
      </c>
    </row>
    <row r="132" spans="1:14" ht="15.75" customHeight="1" x14ac:dyDescent="0.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spans="1:14" ht="15.75" customHeight="1" x14ac:dyDescent="0.2">
      <c r="A133" s="100" t="s">
        <v>640</v>
      </c>
      <c r="B133" s="101" t="s">
        <v>626</v>
      </c>
      <c r="C133" s="102">
        <v>1587</v>
      </c>
      <c r="D133" s="103">
        <v>879</v>
      </c>
      <c r="E133" s="103">
        <v>254</v>
      </c>
      <c r="F133" s="103">
        <v>315</v>
      </c>
      <c r="G133" s="103">
        <v>23</v>
      </c>
      <c r="H133" s="103">
        <v>90</v>
      </c>
      <c r="I133" s="103">
        <v>18</v>
      </c>
      <c r="J133" s="103">
        <v>8</v>
      </c>
      <c r="K133" s="105">
        <v>85</v>
      </c>
      <c r="L133" s="105">
        <v>487</v>
      </c>
      <c r="M133" s="105">
        <v>14</v>
      </c>
      <c r="N133" s="105">
        <v>605</v>
      </c>
    </row>
    <row r="134" spans="1:14" ht="4.5" customHeight="1" x14ac:dyDescent="0.2">
      <c r="A134" s="100" t="s">
        <v>640</v>
      </c>
      <c r="B134" s="106" t="s">
        <v>627</v>
      </c>
      <c r="C134" s="102">
        <v>819</v>
      </c>
      <c r="D134" s="103">
        <v>685</v>
      </c>
      <c r="E134" s="103">
        <v>95</v>
      </c>
      <c r="F134" s="103">
        <v>29</v>
      </c>
      <c r="G134" s="103">
        <v>6</v>
      </c>
      <c r="H134" s="103">
        <v>3</v>
      </c>
      <c r="I134" s="103">
        <v>1</v>
      </c>
      <c r="J134" s="104">
        <v>0</v>
      </c>
      <c r="K134" s="105">
        <v>427</v>
      </c>
      <c r="L134" s="105">
        <v>3</v>
      </c>
      <c r="M134" s="105">
        <v>32</v>
      </c>
      <c r="N134" s="105">
        <v>195</v>
      </c>
    </row>
    <row r="135" spans="1:14" ht="15.75" customHeight="1" x14ac:dyDescent="0.2">
      <c r="A135" s="100" t="s">
        <v>640</v>
      </c>
      <c r="B135" s="107" t="s">
        <v>628</v>
      </c>
      <c r="C135" s="102">
        <v>600</v>
      </c>
      <c r="D135" s="103">
        <v>534</v>
      </c>
      <c r="E135" s="103">
        <v>53</v>
      </c>
      <c r="F135" s="103">
        <v>9</v>
      </c>
      <c r="G135" s="103">
        <v>3</v>
      </c>
      <c r="H135" s="103">
        <v>1</v>
      </c>
      <c r="I135" s="104">
        <v>0</v>
      </c>
      <c r="J135" s="104">
        <v>0</v>
      </c>
      <c r="K135" s="105">
        <v>301</v>
      </c>
      <c r="L135" s="105">
        <v>8</v>
      </c>
      <c r="M135" s="105">
        <v>18</v>
      </c>
      <c r="N135" s="105">
        <v>133</v>
      </c>
    </row>
    <row r="136" spans="1:14" ht="15.75" customHeight="1" x14ac:dyDescent="0.2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spans="1:14" ht="15.75" customHeight="1" x14ac:dyDescent="0.2">
      <c r="A137" s="100" t="s">
        <v>641</v>
      </c>
      <c r="B137" s="101" t="s">
        <v>626</v>
      </c>
      <c r="C137" s="102">
        <v>1183</v>
      </c>
      <c r="D137" s="103">
        <v>561</v>
      </c>
      <c r="E137" s="103">
        <v>209</v>
      </c>
      <c r="F137" s="103">
        <v>255</v>
      </c>
      <c r="G137" s="103">
        <v>27</v>
      </c>
      <c r="H137" s="103">
        <v>111</v>
      </c>
      <c r="I137" s="103">
        <v>16</v>
      </c>
      <c r="J137" s="103">
        <v>4</v>
      </c>
      <c r="K137" s="105">
        <v>86</v>
      </c>
      <c r="L137" s="105">
        <v>379</v>
      </c>
      <c r="M137" s="105">
        <v>16</v>
      </c>
      <c r="N137" s="105">
        <v>545</v>
      </c>
    </row>
    <row r="138" spans="1:14" ht="4.5" customHeight="1" x14ac:dyDescent="0.2">
      <c r="A138" s="100" t="s">
        <v>641</v>
      </c>
      <c r="B138" s="106" t="s">
        <v>627</v>
      </c>
      <c r="C138" s="102">
        <v>1105</v>
      </c>
      <c r="D138" s="103">
        <v>947</v>
      </c>
      <c r="E138" s="103">
        <v>129</v>
      </c>
      <c r="F138" s="103">
        <v>19</v>
      </c>
      <c r="G138" s="103">
        <v>6</v>
      </c>
      <c r="H138" s="103">
        <v>2</v>
      </c>
      <c r="I138" s="103">
        <v>2</v>
      </c>
      <c r="J138" s="104">
        <v>0</v>
      </c>
      <c r="K138" s="105">
        <v>520</v>
      </c>
      <c r="L138" s="105">
        <v>21</v>
      </c>
      <c r="M138" s="105">
        <v>22</v>
      </c>
      <c r="N138" s="105">
        <v>257</v>
      </c>
    </row>
    <row r="139" spans="1:14" ht="15.75" customHeight="1" x14ac:dyDescent="0.2">
      <c r="A139" s="100" t="s">
        <v>641</v>
      </c>
      <c r="B139" s="107" t="s">
        <v>628</v>
      </c>
      <c r="C139" s="102">
        <v>688</v>
      </c>
      <c r="D139" s="103">
        <v>607</v>
      </c>
      <c r="E139" s="103">
        <v>64</v>
      </c>
      <c r="F139" s="103">
        <v>8</v>
      </c>
      <c r="G139" s="103">
        <v>5</v>
      </c>
      <c r="H139" s="103">
        <v>4</v>
      </c>
      <c r="I139" s="104">
        <v>0</v>
      </c>
      <c r="J139" s="104">
        <v>0</v>
      </c>
      <c r="K139" s="105">
        <v>319</v>
      </c>
      <c r="L139" s="105">
        <v>11</v>
      </c>
      <c r="M139" s="105">
        <v>24</v>
      </c>
      <c r="N139" s="105">
        <v>157</v>
      </c>
    </row>
    <row r="140" spans="1:14" ht="15.75" customHeight="1" x14ac:dyDescent="0.2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spans="1:14" ht="15.75" customHeight="1" x14ac:dyDescent="0.2">
      <c r="A141" s="100" t="s">
        <v>642</v>
      </c>
      <c r="B141" s="101" t="s">
        <v>626</v>
      </c>
      <c r="C141" s="102">
        <v>852</v>
      </c>
      <c r="D141" s="103">
        <v>495</v>
      </c>
      <c r="E141" s="103">
        <v>147</v>
      </c>
      <c r="F141" s="103">
        <v>140</v>
      </c>
      <c r="G141" s="103">
        <v>12</v>
      </c>
      <c r="H141" s="103">
        <v>43</v>
      </c>
      <c r="I141" s="103">
        <v>14</v>
      </c>
      <c r="J141" s="103">
        <v>1</v>
      </c>
      <c r="K141" s="105">
        <v>30</v>
      </c>
      <c r="L141" s="105">
        <v>232</v>
      </c>
      <c r="M141" s="105">
        <v>10</v>
      </c>
      <c r="N141" s="105">
        <v>287</v>
      </c>
    </row>
    <row r="142" spans="1:14" ht="4.5" customHeight="1" x14ac:dyDescent="0.2">
      <c r="A142" s="100" t="s">
        <v>642</v>
      </c>
      <c r="B142" s="106" t="s">
        <v>627</v>
      </c>
      <c r="C142" s="102">
        <v>545</v>
      </c>
      <c r="D142" s="103">
        <v>480</v>
      </c>
      <c r="E142" s="103">
        <v>45</v>
      </c>
      <c r="F142" s="103">
        <v>14</v>
      </c>
      <c r="G142" s="103">
        <v>2</v>
      </c>
      <c r="H142" s="103">
        <v>2</v>
      </c>
      <c r="I142" s="103">
        <v>2</v>
      </c>
      <c r="J142" s="104">
        <v>0</v>
      </c>
      <c r="K142" s="105">
        <v>205</v>
      </c>
      <c r="L142" s="105">
        <v>24</v>
      </c>
      <c r="M142" s="105">
        <v>59</v>
      </c>
      <c r="N142" s="105">
        <v>103</v>
      </c>
    </row>
    <row r="143" spans="1:14" ht="15.75" customHeight="1" x14ac:dyDescent="0.2">
      <c r="A143" s="100" t="s">
        <v>642</v>
      </c>
      <c r="B143" s="107" t="s">
        <v>628</v>
      </c>
      <c r="C143" s="102">
        <v>400</v>
      </c>
      <c r="D143" s="103">
        <v>366</v>
      </c>
      <c r="E143" s="103">
        <v>26</v>
      </c>
      <c r="F143" s="103">
        <v>4</v>
      </c>
      <c r="G143" s="103">
        <v>1</v>
      </c>
      <c r="H143" s="103">
        <v>3</v>
      </c>
      <c r="I143" s="104">
        <v>0</v>
      </c>
      <c r="J143" s="104">
        <v>0</v>
      </c>
      <c r="K143" s="105">
        <v>143</v>
      </c>
      <c r="L143" s="105">
        <v>22</v>
      </c>
      <c r="M143" s="105">
        <v>37</v>
      </c>
      <c r="N143" s="105">
        <v>61</v>
      </c>
    </row>
    <row r="144" spans="1:14" ht="15.75" customHeight="1" x14ac:dyDescent="0.2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spans="1:14" ht="15.75" customHeight="1" x14ac:dyDescent="0.2">
      <c r="A145" s="100" t="s">
        <v>643</v>
      </c>
      <c r="B145" s="101" t="s">
        <v>626</v>
      </c>
      <c r="C145" s="102">
        <v>893</v>
      </c>
      <c r="D145" s="103">
        <v>484</v>
      </c>
      <c r="E145" s="103">
        <v>133</v>
      </c>
      <c r="F145" s="103">
        <v>168</v>
      </c>
      <c r="G145" s="103">
        <v>23</v>
      </c>
      <c r="H145" s="103">
        <v>66</v>
      </c>
      <c r="I145" s="103">
        <v>16</v>
      </c>
      <c r="J145" s="103">
        <v>3</v>
      </c>
      <c r="K145" s="105">
        <v>22</v>
      </c>
      <c r="L145" s="105">
        <v>320</v>
      </c>
      <c r="M145" s="105">
        <v>12</v>
      </c>
      <c r="N145" s="105">
        <v>322</v>
      </c>
    </row>
    <row r="146" spans="1:14" ht="4.5" customHeight="1" x14ac:dyDescent="0.2">
      <c r="A146" s="100" t="s">
        <v>643</v>
      </c>
      <c r="B146" s="106" t="s">
        <v>627</v>
      </c>
      <c r="C146" s="102">
        <v>545</v>
      </c>
      <c r="D146" s="103">
        <v>478</v>
      </c>
      <c r="E146" s="103">
        <v>46</v>
      </c>
      <c r="F146" s="103">
        <v>15</v>
      </c>
      <c r="G146" s="103">
        <v>1</v>
      </c>
      <c r="H146" s="103">
        <v>3</v>
      </c>
      <c r="I146" s="104">
        <v>0</v>
      </c>
      <c r="J146" s="103">
        <v>2</v>
      </c>
      <c r="K146" s="105">
        <v>128</v>
      </c>
      <c r="L146" s="105">
        <v>42</v>
      </c>
      <c r="M146" s="105">
        <v>105</v>
      </c>
      <c r="N146" s="105">
        <v>101</v>
      </c>
    </row>
    <row r="147" spans="1:14" ht="15.75" customHeight="1" x14ac:dyDescent="0.2">
      <c r="A147" s="100" t="s">
        <v>643</v>
      </c>
      <c r="B147" s="107" t="s">
        <v>628</v>
      </c>
      <c r="C147" s="102">
        <v>357</v>
      </c>
      <c r="D147" s="103">
        <v>323</v>
      </c>
      <c r="E147" s="103">
        <v>23</v>
      </c>
      <c r="F147" s="103">
        <v>7</v>
      </c>
      <c r="G147" s="103">
        <v>2</v>
      </c>
      <c r="H147" s="103">
        <v>1</v>
      </c>
      <c r="I147" s="104">
        <v>0</v>
      </c>
      <c r="J147" s="103">
        <v>1</v>
      </c>
      <c r="K147" s="105">
        <v>95</v>
      </c>
      <c r="L147" s="105">
        <v>23</v>
      </c>
      <c r="M147" s="105">
        <v>71</v>
      </c>
      <c r="N147" s="105">
        <v>59</v>
      </c>
    </row>
    <row r="148" spans="1:14" ht="15.75" customHeight="1" x14ac:dyDescent="0.2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spans="1:14" ht="15.75" customHeight="1" x14ac:dyDescent="0.2">
      <c r="A149" s="100" t="s">
        <v>644</v>
      </c>
      <c r="B149" s="101" t="s">
        <v>626</v>
      </c>
      <c r="C149" s="102">
        <v>810</v>
      </c>
      <c r="D149" s="103">
        <v>472</v>
      </c>
      <c r="E149" s="103">
        <v>117</v>
      </c>
      <c r="F149" s="103">
        <v>146</v>
      </c>
      <c r="G149" s="103">
        <v>15</v>
      </c>
      <c r="H149" s="103">
        <v>47</v>
      </c>
      <c r="I149" s="103">
        <v>9</v>
      </c>
      <c r="J149" s="103">
        <v>4</v>
      </c>
      <c r="K149" s="105">
        <v>19</v>
      </c>
      <c r="L149" s="105">
        <v>284</v>
      </c>
      <c r="M149" s="105">
        <v>20</v>
      </c>
      <c r="N149" s="105">
        <v>289</v>
      </c>
    </row>
    <row r="150" spans="1:14" ht="4.5" customHeight="1" x14ac:dyDescent="0.2">
      <c r="A150" s="100" t="s">
        <v>644</v>
      </c>
      <c r="B150" s="106" t="s">
        <v>627</v>
      </c>
      <c r="C150" s="102">
        <v>559</v>
      </c>
      <c r="D150" s="103">
        <v>487</v>
      </c>
      <c r="E150" s="103">
        <v>53</v>
      </c>
      <c r="F150" s="103">
        <v>13</v>
      </c>
      <c r="G150" s="103">
        <v>2</v>
      </c>
      <c r="H150" s="103">
        <v>3</v>
      </c>
      <c r="I150" s="103">
        <v>1</v>
      </c>
      <c r="J150" s="104">
        <v>0</v>
      </c>
      <c r="K150" s="105">
        <v>111</v>
      </c>
      <c r="L150" s="105">
        <v>57</v>
      </c>
      <c r="M150" s="105">
        <v>122</v>
      </c>
      <c r="N150" s="105">
        <v>100</v>
      </c>
    </row>
    <row r="151" spans="1:14" ht="13.5" customHeight="1" x14ac:dyDescent="0.2">
      <c r="A151" s="100" t="s">
        <v>644</v>
      </c>
      <c r="B151" s="107" t="s">
        <v>628</v>
      </c>
      <c r="C151" s="102">
        <v>287</v>
      </c>
      <c r="D151" s="103">
        <v>258</v>
      </c>
      <c r="E151" s="103">
        <v>24</v>
      </c>
      <c r="F151" s="103">
        <v>2</v>
      </c>
      <c r="G151" s="103">
        <v>1</v>
      </c>
      <c r="H151" s="103">
        <v>2</v>
      </c>
      <c r="I151" s="104">
        <v>0</v>
      </c>
      <c r="J151" s="104">
        <v>0</v>
      </c>
      <c r="K151" s="105">
        <v>81</v>
      </c>
      <c r="L151" s="105">
        <v>16</v>
      </c>
      <c r="M151" s="105">
        <v>49</v>
      </c>
      <c r="N151" s="105">
        <v>44</v>
      </c>
    </row>
    <row r="152" spans="1:14" ht="13.5" customHeight="1" x14ac:dyDescent="0.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 ht="13.5" customHeight="1" x14ac:dyDescent="0.2">
      <c r="A153" s="100" t="s">
        <v>570</v>
      </c>
      <c r="B153" s="101" t="s">
        <v>626</v>
      </c>
      <c r="C153" s="102">
        <v>731</v>
      </c>
      <c r="D153" s="103">
        <v>420</v>
      </c>
      <c r="E153" s="103">
        <v>91</v>
      </c>
      <c r="F153" s="103">
        <v>141</v>
      </c>
      <c r="G153" s="103">
        <v>10</v>
      </c>
      <c r="H153" s="103">
        <v>51</v>
      </c>
      <c r="I153" s="103">
        <v>15</v>
      </c>
      <c r="J153" s="103">
        <v>3</v>
      </c>
      <c r="K153" s="105">
        <v>20</v>
      </c>
      <c r="L153" s="105">
        <v>244</v>
      </c>
      <c r="M153" s="105">
        <v>23</v>
      </c>
      <c r="N153" s="105">
        <v>285</v>
      </c>
    </row>
    <row r="154" spans="1:14" ht="13.5" customHeight="1" x14ac:dyDescent="0.2">
      <c r="A154" s="100" t="s">
        <v>570</v>
      </c>
      <c r="B154" s="106" t="s">
        <v>627</v>
      </c>
      <c r="C154" s="102">
        <v>568</v>
      </c>
      <c r="D154" s="103">
        <v>497</v>
      </c>
      <c r="E154" s="103">
        <v>54</v>
      </c>
      <c r="F154" s="103">
        <v>13</v>
      </c>
      <c r="G154" s="103">
        <v>2</v>
      </c>
      <c r="H154" s="103">
        <v>2</v>
      </c>
      <c r="I154" s="104">
        <v>0</v>
      </c>
      <c r="J154" s="104">
        <v>0</v>
      </c>
      <c r="K154" s="105">
        <v>115</v>
      </c>
      <c r="L154" s="105">
        <v>57</v>
      </c>
      <c r="M154" s="105">
        <v>134</v>
      </c>
      <c r="N154" s="105">
        <v>115</v>
      </c>
    </row>
    <row r="155" spans="1:14" ht="13.5" customHeight="1" x14ac:dyDescent="0.2">
      <c r="A155" s="100" t="s">
        <v>570</v>
      </c>
      <c r="B155" s="107" t="s">
        <v>628</v>
      </c>
      <c r="C155" s="102">
        <v>293</v>
      </c>
      <c r="D155" s="103">
        <v>255</v>
      </c>
      <c r="E155" s="103">
        <v>30</v>
      </c>
      <c r="F155" s="103">
        <v>4</v>
      </c>
      <c r="G155" s="104">
        <v>3</v>
      </c>
      <c r="H155" s="103">
        <v>1</v>
      </c>
      <c r="I155" s="104">
        <v>0</v>
      </c>
      <c r="J155" s="104">
        <v>0</v>
      </c>
      <c r="K155" s="105">
        <v>74</v>
      </c>
      <c r="L155" s="105">
        <v>27</v>
      </c>
      <c r="M155" s="105">
        <v>62</v>
      </c>
      <c r="N155" s="105">
        <v>68</v>
      </c>
    </row>
    <row r="156" spans="1:14" ht="13.5" customHeight="1" x14ac:dyDescent="0.2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spans="1:14" x14ac:dyDescent="0.2">
      <c r="A157" s="100" t="s">
        <v>645</v>
      </c>
      <c r="B157" s="101" t="s">
        <v>626</v>
      </c>
      <c r="C157" s="102">
        <v>740</v>
      </c>
      <c r="D157" s="103">
        <v>415</v>
      </c>
      <c r="E157" s="103">
        <v>86</v>
      </c>
      <c r="F157" s="103">
        <v>160</v>
      </c>
      <c r="G157" s="103">
        <v>9</v>
      </c>
      <c r="H157" s="103">
        <v>54</v>
      </c>
      <c r="I157" s="103">
        <v>13</v>
      </c>
      <c r="J157" s="103">
        <v>3</v>
      </c>
      <c r="K157" s="105">
        <v>13</v>
      </c>
      <c r="L157" s="105">
        <v>263</v>
      </c>
      <c r="M157" s="105">
        <v>16</v>
      </c>
      <c r="N157" s="105">
        <v>278</v>
      </c>
    </row>
    <row r="158" spans="1:14" x14ac:dyDescent="0.2">
      <c r="A158" s="100" t="s">
        <v>645</v>
      </c>
      <c r="B158" s="106" t="s">
        <v>627</v>
      </c>
      <c r="C158" s="102">
        <v>581</v>
      </c>
      <c r="D158" s="103">
        <v>505</v>
      </c>
      <c r="E158" s="103">
        <v>54</v>
      </c>
      <c r="F158" s="103">
        <v>16</v>
      </c>
      <c r="G158" s="103">
        <v>3</v>
      </c>
      <c r="H158" s="103">
        <v>3</v>
      </c>
      <c r="I158" s="104">
        <v>0</v>
      </c>
      <c r="J158" s="104">
        <v>0</v>
      </c>
      <c r="K158" s="105">
        <v>120</v>
      </c>
      <c r="L158" s="105">
        <v>69</v>
      </c>
      <c r="M158" s="105">
        <v>125</v>
      </c>
      <c r="N158" s="105">
        <v>109</v>
      </c>
    </row>
    <row r="159" spans="1:14" x14ac:dyDescent="0.2">
      <c r="A159" s="100" t="s">
        <v>645</v>
      </c>
      <c r="B159" s="107" t="s">
        <v>628</v>
      </c>
      <c r="C159" s="102">
        <v>281</v>
      </c>
      <c r="D159" s="103">
        <v>244</v>
      </c>
      <c r="E159" s="103">
        <v>23</v>
      </c>
      <c r="F159" s="103">
        <v>8</v>
      </c>
      <c r="G159" s="104">
        <v>2</v>
      </c>
      <c r="H159" s="103">
        <v>4</v>
      </c>
      <c r="I159" s="104">
        <v>0</v>
      </c>
      <c r="J159" s="104">
        <v>0</v>
      </c>
      <c r="K159" s="105">
        <v>61</v>
      </c>
      <c r="L159" s="105">
        <v>30</v>
      </c>
      <c r="M159" s="105">
        <v>58</v>
      </c>
      <c r="N159" s="105">
        <v>55</v>
      </c>
    </row>
    <row r="160" spans="1:14" x14ac:dyDescent="0.2">
      <c r="A160" t="s">
        <v>646</v>
      </c>
      <c r="B160" t="s">
        <v>626</v>
      </c>
      <c r="C160">
        <v>689</v>
      </c>
      <c r="D160">
        <v>368</v>
      </c>
      <c r="E160">
        <v>91</v>
      </c>
      <c r="F160">
        <v>132</v>
      </c>
      <c r="G160">
        <v>21</v>
      </c>
      <c r="H160">
        <v>61</v>
      </c>
      <c r="I160">
        <v>15</v>
      </c>
      <c r="J160">
        <v>1</v>
      </c>
      <c r="K160">
        <v>23</v>
      </c>
      <c r="L160">
        <v>161</v>
      </c>
      <c r="M160">
        <v>22</v>
      </c>
      <c r="N160">
        <v>283</v>
      </c>
    </row>
    <row r="161" spans="1:14" x14ac:dyDescent="0.2">
      <c r="A161" t="s">
        <v>646</v>
      </c>
      <c r="B161" t="s">
        <v>627</v>
      </c>
      <c r="C161">
        <v>553</v>
      </c>
      <c r="D161">
        <v>480</v>
      </c>
      <c r="E161">
        <v>41</v>
      </c>
      <c r="F161">
        <v>24</v>
      </c>
      <c r="G161">
        <v>5</v>
      </c>
      <c r="H161">
        <v>3</v>
      </c>
      <c r="I161">
        <v>0</v>
      </c>
      <c r="J161">
        <v>0</v>
      </c>
      <c r="K161">
        <v>106</v>
      </c>
      <c r="L161">
        <v>68</v>
      </c>
      <c r="M161">
        <v>114</v>
      </c>
      <c r="N161">
        <v>107</v>
      </c>
    </row>
    <row r="162" spans="1:14" x14ac:dyDescent="0.2">
      <c r="A162" t="s">
        <v>646</v>
      </c>
      <c r="B162" t="s">
        <v>628</v>
      </c>
      <c r="C162">
        <v>272</v>
      </c>
      <c r="D162">
        <v>251</v>
      </c>
      <c r="E162">
        <v>18</v>
      </c>
      <c r="F162">
        <v>3</v>
      </c>
      <c r="G162">
        <v>0</v>
      </c>
      <c r="H162">
        <v>0</v>
      </c>
      <c r="I162">
        <v>0</v>
      </c>
      <c r="J162">
        <v>0</v>
      </c>
      <c r="K162">
        <v>75</v>
      </c>
      <c r="L162">
        <v>21</v>
      </c>
      <c r="M162">
        <v>42</v>
      </c>
      <c r="N162">
        <v>47</v>
      </c>
    </row>
    <row r="163" spans="1:14" x14ac:dyDescent="0.2">
      <c r="A163" t="s">
        <v>647</v>
      </c>
      <c r="B163" t="s">
        <v>626</v>
      </c>
      <c r="C163">
        <v>151</v>
      </c>
      <c r="D163">
        <v>139</v>
      </c>
      <c r="E163">
        <v>8</v>
      </c>
      <c r="F163">
        <v>1</v>
      </c>
      <c r="G163">
        <v>0</v>
      </c>
      <c r="H163">
        <v>2</v>
      </c>
      <c r="I163">
        <v>1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">
      <c r="A164" s="146" t="s">
        <v>647</v>
      </c>
      <c r="B164" t="s">
        <v>627</v>
      </c>
      <c r="C164">
        <v>22</v>
      </c>
      <c r="D164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">
      <c r="A165" s="147" t="s">
        <v>647</v>
      </c>
      <c r="B165" s="147" t="s">
        <v>628</v>
      </c>
      <c r="C165" s="147">
        <v>13</v>
      </c>
      <c r="D165" s="147">
        <v>13</v>
      </c>
      <c r="E165" s="147">
        <v>0</v>
      </c>
      <c r="F165" s="147">
        <v>0</v>
      </c>
      <c r="G165" s="147">
        <v>0</v>
      </c>
      <c r="H165" s="147">
        <v>0</v>
      </c>
      <c r="I165" s="147">
        <v>0</v>
      </c>
      <c r="J165" s="147">
        <v>0</v>
      </c>
      <c r="K165" s="147">
        <v>0</v>
      </c>
      <c r="L165" s="147">
        <v>0</v>
      </c>
      <c r="M165" s="147">
        <v>0</v>
      </c>
      <c r="N165" s="147">
        <v>0</v>
      </c>
    </row>
    <row r="166" spans="1:14" x14ac:dyDescent="0.2">
      <c r="A166" t="s">
        <v>646</v>
      </c>
      <c r="B166" t="s">
        <v>626</v>
      </c>
      <c r="C166">
        <v>689</v>
      </c>
      <c r="D166">
        <v>368</v>
      </c>
      <c r="E166">
        <v>91</v>
      </c>
      <c r="F166">
        <v>132</v>
      </c>
      <c r="G166">
        <v>21</v>
      </c>
      <c r="H166">
        <v>61</v>
      </c>
      <c r="I166">
        <v>15</v>
      </c>
      <c r="J166">
        <v>1</v>
      </c>
      <c r="K166">
        <v>23</v>
      </c>
      <c r="L166">
        <v>161</v>
      </c>
      <c r="M166">
        <v>22</v>
      </c>
      <c r="N166">
        <v>283</v>
      </c>
    </row>
    <row r="167" spans="1:14" x14ac:dyDescent="0.2">
      <c r="A167" t="s">
        <v>646</v>
      </c>
      <c r="B167" t="s">
        <v>627</v>
      </c>
      <c r="C167">
        <v>553</v>
      </c>
      <c r="D167">
        <v>480</v>
      </c>
      <c r="E167">
        <v>41</v>
      </c>
      <c r="F167">
        <v>24</v>
      </c>
      <c r="G167">
        <v>5</v>
      </c>
      <c r="H167">
        <v>3</v>
      </c>
      <c r="I167">
        <v>0</v>
      </c>
      <c r="J167">
        <v>0</v>
      </c>
      <c r="K167">
        <v>106</v>
      </c>
      <c r="L167">
        <v>68</v>
      </c>
      <c r="M167">
        <v>114</v>
      </c>
      <c r="N167">
        <v>107</v>
      </c>
    </row>
    <row r="168" spans="1:14" x14ac:dyDescent="0.2">
      <c r="A168" t="s">
        <v>646</v>
      </c>
      <c r="B168" t="s">
        <v>628</v>
      </c>
      <c r="C168">
        <v>272</v>
      </c>
      <c r="D168">
        <v>251</v>
      </c>
      <c r="E168">
        <v>18</v>
      </c>
      <c r="F168">
        <v>3</v>
      </c>
      <c r="G168">
        <v>0</v>
      </c>
      <c r="H168">
        <v>0</v>
      </c>
      <c r="I168">
        <v>0</v>
      </c>
      <c r="J168">
        <v>0</v>
      </c>
      <c r="K168">
        <v>75</v>
      </c>
      <c r="L168">
        <v>21</v>
      </c>
      <c r="M168">
        <v>42</v>
      </c>
      <c r="N168">
        <v>47</v>
      </c>
    </row>
    <row r="172" spans="1:14" x14ac:dyDescent="0.2">
      <c r="A172" t="s">
        <v>647</v>
      </c>
      <c r="B172" t="s">
        <v>626</v>
      </c>
      <c r="C172">
        <v>151</v>
      </c>
      <c r="D172">
        <v>139</v>
      </c>
      <c r="E172">
        <v>8</v>
      </c>
      <c r="F172">
        <v>1</v>
      </c>
      <c r="G172">
        <v>0</v>
      </c>
      <c r="H172">
        <v>2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">
      <c r="A173" t="s">
        <v>647</v>
      </c>
      <c r="B173" t="s">
        <v>627</v>
      </c>
      <c r="C173">
        <v>22</v>
      </c>
      <c r="D173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</row>
    <row r="174" spans="1:14" x14ac:dyDescent="0.2">
      <c r="A174" t="s">
        <v>647</v>
      </c>
      <c r="B174" t="s">
        <v>628</v>
      </c>
      <c r="C174">
        <v>13</v>
      </c>
      <c r="D174">
        <v>13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2026-09-13T17:05:02Z</dcterms:modified>
  <dc:language>en-US</dc:language>
</cp:coreProperties>
</file>