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5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6" sheetId="3" state="visible" r:id="rId3"/>
    <sheet xmlns:r="http://schemas.openxmlformats.org/officeDocument/2006/relationships" name="📊 TUẦN T6" sheetId="4" state="visible" r:id="rId4"/>
    <sheet xmlns:r="http://schemas.openxmlformats.org/officeDocument/2006/relationships" name="📅 DAILY T7" sheetId="5" state="visible" r:id="rId5"/>
    <sheet xmlns:r="http://schemas.openxmlformats.org/officeDocument/2006/relationships" name="📊 TUẦN T7" sheetId="6" state="visible" r:id="rId6"/>
    <sheet xmlns:r="http://schemas.openxmlformats.org/officeDocument/2006/relationships" name="📅 DAILY T8" sheetId="7" state="visible" r:id="rId7"/>
    <sheet xmlns:r="http://schemas.openxmlformats.org/officeDocument/2006/relationships" name="📊 TUẦN T8" sheetId="8" state="visible" r:id="rId8"/>
    <sheet xmlns:r="http://schemas.openxmlformats.org/officeDocument/2006/relationships" name="📅 DAILY T9" sheetId="9" state="visible" r:id="rId9"/>
    <sheet xmlns:r="http://schemas.openxmlformats.org/officeDocument/2006/relationships" name="📊 TUẦN T9" sheetId="10" state="visible" r:id="rId10"/>
    <sheet xmlns:r="http://schemas.openxmlformats.org/officeDocument/2006/relationships" name="📖 HƯỚNG DẪN" sheetId="11" state="visible" r:id="rId11"/>
    <sheet xmlns:r="http://schemas.openxmlformats.org/officeDocument/2006/relationships" name="HÀNH VI SP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dd/mm"/>
    <numFmt numFmtId="167" formatCode="0.0\x"/>
  </numFmts>
  <fonts count="4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</fonts>
  <fills count="39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3" fillId="17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0" fontId="12" fillId="16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9" fillId="1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8" fillId="11" borderId="2" applyAlignment="1" pivotButton="0" quotePrefix="0" xfId="0">
      <alignment horizontal="center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 wrapText="1"/>
    </xf>
    <xf numFmtId="0" fontId="9" fillId="16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41" fillId="3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22" customWidth="1" style="149" min="1" max="1"/>
    <col width="12" customWidth="1" style="149" min="2" max="2"/>
    <col width="30" customWidth="1" style="149" min="3" max="3"/>
    <col width="42" customWidth="1" style="149" min="4" max="5"/>
    <col width="50" customWidth="1" style="149" min="6" max="6"/>
    <col width="40" customWidth="1" style="149" min="7" max="7"/>
  </cols>
  <sheetData>
    <row r="1" ht="30" customHeight="1" s="149">
      <c r="A1" s="150" t="inlineStr">
        <is>
          <t>📖 ĐỊNH NGHĨA CHỈ SỐ — CARASE FB &amp; STORE MASTER TRACKER</t>
        </is>
      </c>
    </row>
    <row r="2" ht="18" customHeight="1" s="149">
      <c r="A2" s="148" t="inlineStr">
        <is>
          <t>Mỗi chỉ số trong sheet MASTER — định nghĩa chính xác, công thức tính, cách đọc và ngưỡng tham chiếu</t>
        </is>
      </c>
    </row>
    <row r="3" ht="30" customHeight="1" s="149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49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49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49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49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49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49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49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49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49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49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49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49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49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49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49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49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49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49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49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49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49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49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49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49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49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49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49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49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49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49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49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49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49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49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49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49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49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49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49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49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49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49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49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49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49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49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49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49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49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49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49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49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6"/>
  <sheetViews>
    <sheetView topLeftCell="M1" zoomScale="140" zoomScaleNormal="140" workbookViewId="0">
      <selection activeCell="W9" sqref="W9"/>
    </sheetView>
  </sheetViews>
  <sheetFormatPr baseColWidth="10" defaultColWidth="14" defaultRowHeight="14"/>
  <cols>
    <col width="35" customWidth="1" style="149" min="1" max="1"/>
    <col width="43" customWidth="1" style="149" min="2" max="2"/>
    <col width="10" customWidth="1" style="149" min="3" max="3"/>
    <col width="16" customWidth="1" style="149" min="4" max="8"/>
    <col width="14" customWidth="1" style="149" min="9" max="9"/>
    <col width="16" customWidth="1" style="149" min="10" max="24"/>
  </cols>
  <sheetData>
    <row r="1" ht="37.5" customHeight="1" s="149">
      <c r="A1" s="146" t="inlineStr">
        <is>
          <t>CARASE FB &amp; STORE  •  BẢNG CHỈ SỐ TỔNG HỢP  •  T1/2025 → T9/2026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6" t="n"/>
      <c r="X1" s="136" t="n"/>
    </row>
    <row r="2" ht="21.75" customHeight="1" s="149">
      <c r="A2" s="142" t="inlineStr">
        <is>
          <t>⬜ Baseline T1/2025–T5/2026    🟡 Upload Nhanh.vn cuối tháng → Claude tính    🟢 Tự kéo từ DAILY T6–T9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</row>
    <row r="3" ht="28.5" customHeight="1" s="149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49">
      <c r="A4" s="140" t="inlineStr">
        <is>
          <t xml:space="preserve">  1️⃣  FACEBOOK</t>
        </is>
      </c>
      <c r="B4" s="136" t="n"/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6" t="n"/>
      <c r="X4" s="136" t="n"/>
    </row>
    <row r="5" ht="18.75" customHeight="1" s="149">
      <c r="A5" s="145" t="inlineStr">
        <is>
          <t xml:space="preserve">  ── 📦 DOANH THU &amp; ADS ──</t>
        </is>
      </c>
      <c r="B5" s="136" t="n"/>
      <c r="C5" s="136" t="n"/>
      <c r="D5" s="136" t="n"/>
      <c r="E5" s="136" t="n"/>
      <c r="F5" s="136" t="n"/>
      <c r="G5" s="136" t="n"/>
      <c r="H5" s="136" t="n"/>
      <c r="I5" s="136" t="n"/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</row>
    <row r="6" ht="21.75" customHeight="1" s="149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1709354641</v>
      </c>
      <c r="Q6" s="32" t="n">
        <v>1379397616</v>
      </c>
      <c r="R6" s="32" t="n">
        <v>1232733006</v>
      </c>
      <c r="S6" s="32" t="n">
        <v>1142329984</v>
      </c>
      <c r="T6" s="32" t="n">
        <v>1088024420</v>
      </c>
      <c r="U6" s="33" t="n">
        <v>1088741202</v>
      </c>
      <c r="V6" s="33" t="n">
        <v>713359006</v>
      </c>
      <c r="W6" s="33">
        <f>IFERROR(SUM('📅 DAILY T8'!C$6:C$36),0)</f>
        <v/>
      </c>
      <c r="X6" s="33">
        <f>IFERROR(SUM('📅 DAILY T9'!C$6:C$35),0)</f>
        <v/>
      </c>
    </row>
    <row r="7" ht="21.75" customHeight="1" s="149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3755</v>
      </c>
      <c r="Q7" s="32" t="n">
        <v>2953</v>
      </c>
      <c r="R7" s="32" t="n">
        <v>2701</v>
      </c>
      <c r="S7" s="32" t="n">
        <v>2499</v>
      </c>
      <c r="T7" s="32" t="n">
        <v>2401</v>
      </c>
      <c r="U7" s="33" t="n">
        <v>2471</v>
      </c>
      <c r="V7" s="33" t="n">
        <v>1708</v>
      </c>
      <c r="W7" s="33">
        <f>IFERROR(SUM('📅 DAILY T8'!D$6:D$36),0)</f>
        <v/>
      </c>
      <c r="X7" s="33">
        <f>IFERROR(SUM('📅 DAILY T9'!D$6:D$35),0)</f>
        <v/>
      </c>
    </row>
    <row r="8" ht="21.75" customHeight="1" s="149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455221</v>
      </c>
      <c r="Q8" s="32" t="n">
        <v>467117</v>
      </c>
      <c r="R8" s="32" t="n">
        <v>456399</v>
      </c>
      <c r="S8" s="32" t="n">
        <v>457115</v>
      </c>
      <c r="T8" s="32" t="n">
        <v>453155</v>
      </c>
      <c r="U8" s="33" t="n">
        <v>440607</v>
      </c>
      <c r="V8" s="33" t="n">
        <v>417657</v>
      </c>
      <c r="W8" s="33">
        <f>IFERROR(SUM('📅 DAILY T8'!C$6:C$36)/SUM('📅 DAILY T8'!D$6:D$36),"")</f>
        <v/>
      </c>
      <c r="X8" s="33">
        <f>IFERROR(SUM('📅 DAILY T9'!C$6:C$35)/SUM('📅 DAILY T9'!D$6:D$35),"")</f>
        <v/>
      </c>
    </row>
    <row r="9" ht="21.75" customHeight="1" s="149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3034</v>
      </c>
      <c r="W9" s="36" t="n"/>
      <c r="X9" s="36" t="n"/>
    </row>
    <row r="10" ht="21.75" customHeight="1" s="149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49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8" t="n"/>
      <c r="X11" s="38" t="n"/>
    </row>
    <row r="12" ht="21.75" customHeight="1" s="149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49">
      <c r="A13" s="145" t="inlineStr">
        <is>
          <t xml:space="preserve">  ── 👤 KHÁCH HÀNG FB ──</t>
        </is>
      </c>
      <c r="B13" s="136" t="n"/>
      <c r="C13" s="136" t="n"/>
      <c r="D13" s="136" t="n"/>
      <c r="E13" s="136" t="n"/>
      <c r="F13" s="136" t="n"/>
      <c r="G13" s="136" t="n"/>
      <c r="H13" s="136" t="n"/>
      <c r="I13" s="136" t="n"/>
      <c r="J13" s="136" t="n"/>
      <c r="K13" s="136" t="n"/>
      <c r="L13" s="136" t="n"/>
      <c r="M13" s="136" t="n"/>
      <c r="N13" s="136" t="n"/>
      <c r="O13" s="136" t="n"/>
      <c r="P13" s="136" t="n"/>
      <c r="Q13" s="136" t="n"/>
      <c r="R13" s="136" t="n"/>
      <c r="S13" s="136" t="n"/>
      <c r="T13" s="136" t="n"/>
      <c r="U13" s="136" t="n"/>
      <c r="V13" s="136" t="n"/>
      <c r="W13" s="136" t="n"/>
      <c r="X13" s="136" t="n"/>
    </row>
    <row r="14" ht="18.75" customHeight="1" s="149">
      <c r="A14" s="139" t="inlineStr">
        <is>
          <t xml:space="preserve">       Acquisition</t>
        </is>
      </c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  <c r="M14" s="136" t="n"/>
      <c r="N14" s="136" t="n"/>
      <c r="O14" s="136" t="n"/>
      <c r="P14" s="136" t="n"/>
      <c r="Q14" s="136" t="n"/>
      <c r="R14" s="136" t="n"/>
      <c r="S14" s="136" t="n"/>
      <c r="T14" s="136" t="n"/>
      <c r="U14" s="136" t="n"/>
      <c r="V14" s="136" t="n"/>
      <c r="W14" s="136" t="n"/>
      <c r="X14" s="136" t="n"/>
    </row>
    <row r="15" ht="21.75" customHeight="1" s="149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522</v>
      </c>
      <c r="W15" s="36" t="n"/>
      <c r="X15" s="36" t="n"/>
    </row>
    <row r="16" ht="21.75" customHeight="1" s="149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366461</v>
      </c>
      <c r="W16" s="36" t="n"/>
      <c r="X16" s="36" t="n"/>
    </row>
    <row r="17" ht="21.75" customHeight="1" s="149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0.1434</v>
      </c>
      <c r="W17" s="38" t="n"/>
      <c r="X17" s="38" t="n"/>
    </row>
    <row r="18" ht="21.75" customHeight="1" s="149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0.06510000000000001</v>
      </c>
      <c r="W18" s="38" t="n"/>
      <c r="X18" s="38" t="n"/>
    </row>
    <row r="19" ht="18.75" customHeight="1" s="149">
      <c r="A19" s="139" t="inlineStr">
        <is>
          <t xml:space="preserve">       Retention</t>
        </is>
      </c>
      <c r="B19" s="136" t="n"/>
      <c r="C19" s="136" t="n"/>
      <c r="D19" s="136" t="n"/>
      <c r="E19" s="136" t="n"/>
      <c r="F19" s="136" t="n"/>
      <c r="G19" s="136" t="n"/>
      <c r="H19" s="136" t="n"/>
      <c r="I19" s="136" t="n"/>
      <c r="J19" s="136" t="n"/>
      <c r="K19" s="136" t="n"/>
      <c r="L19" s="136" t="n"/>
      <c r="M19" s="136" t="n"/>
      <c r="N19" s="136" t="n"/>
      <c r="O19" s="136" t="n"/>
      <c r="P19" s="136" t="n"/>
      <c r="Q19" s="136" t="n"/>
      <c r="R19" s="136" t="n"/>
      <c r="S19" s="136" t="n"/>
      <c r="T19" s="136" t="n"/>
      <c r="U19" s="136" t="n"/>
      <c r="V19" s="136" t="n"/>
      <c r="W19" s="136" t="n"/>
      <c r="X19" s="136" t="n"/>
    </row>
    <row r="20" ht="21.75" customHeight="1" s="149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1192</v>
      </c>
      <c r="W20" s="36" t="n"/>
      <c r="X20" s="36" t="n"/>
    </row>
    <row r="21" ht="21.75" customHeight="1" s="149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437975</v>
      </c>
      <c r="W21" s="36" t="n"/>
      <c r="X21" s="36" t="n"/>
    </row>
    <row r="22" ht="21.75" customHeight="1" s="149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0.6954</v>
      </c>
      <c r="W22" s="38" t="n"/>
      <c r="X22" s="38" t="n"/>
    </row>
    <row r="23" ht="21.75" customHeight="1" s="149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328</v>
      </c>
      <c r="W23" s="36" t="n"/>
      <c r="X23" s="36" t="n"/>
    </row>
    <row r="24" ht="21.75" customHeight="1" s="149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373504</v>
      </c>
      <c r="W24" s="36" t="n"/>
      <c r="X24" s="36" t="n"/>
    </row>
    <row r="25" ht="21.75" customHeight="1" s="149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347</v>
      </c>
      <c r="W25" s="36" t="n"/>
      <c r="X25" s="36" t="n"/>
    </row>
    <row r="26" ht="21.75" customHeight="1" s="149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456387</v>
      </c>
      <c r="W26" s="36" t="n"/>
      <c r="X26" s="36" t="n"/>
    </row>
    <row r="27" ht="21.75" customHeight="1" s="149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517</v>
      </c>
      <c r="W27" s="36" t="n"/>
      <c r="X27" s="36" t="n"/>
    </row>
    <row r="28" ht="21.75" customHeight="1" s="149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466520</v>
      </c>
      <c r="W28" s="36" t="n"/>
      <c r="X28" s="36" t="n"/>
    </row>
    <row r="29" ht="18.75" customHeight="1" s="149">
      <c r="A29" s="139" t="inlineStr">
        <is>
          <t xml:space="preserve">       Loyalty</t>
        </is>
      </c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  <c r="M29" s="136" t="n"/>
      <c r="N29" s="136" t="n"/>
      <c r="O29" s="136" t="n"/>
      <c r="P29" s="136" t="n"/>
      <c r="Q29" s="136" t="n"/>
      <c r="R29" s="136" t="n"/>
      <c r="S29" s="136" t="n"/>
      <c r="T29" s="136" t="n"/>
      <c r="U29" s="136" t="n"/>
      <c r="V29" s="136" t="n"/>
      <c r="W29" s="136" t="n"/>
      <c r="X29" s="136" t="n"/>
    </row>
    <row r="30" ht="21.75" customHeight="1" s="149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927</v>
      </c>
      <c r="W30" s="36" t="n"/>
      <c r="X30" s="36" t="n"/>
    </row>
    <row r="31" ht="21.75" customHeight="1" s="149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450093</v>
      </c>
      <c r="W31" s="36" t="n"/>
      <c r="X31" s="36" t="n"/>
    </row>
    <row r="32" ht="21.75" customHeight="1" s="149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799867</v>
      </c>
      <c r="W32" s="36" t="n"/>
      <c r="X32" s="36" t="n"/>
    </row>
    <row r="33" ht="25.5" customHeight="1" s="149">
      <c r="A33" s="144" t="inlineStr">
        <is>
          <t xml:space="preserve">  2️⃣  STORE</t>
        </is>
      </c>
      <c r="B33" s="136" t="n"/>
      <c r="C33" s="136" t="n"/>
      <c r="D33" s="136" t="n"/>
      <c r="E33" s="136" t="n"/>
      <c r="F33" s="136" t="n"/>
      <c r="G33" s="136" t="n"/>
      <c r="H33" s="136" t="n"/>
      <c r="I33" s="136" t="n"/>
      <c r="J33" s="136" t="n"/>
      <c r="K33" s="136" t="n"/>
      <c r="L33" s="136" t="n"/>
      <c r="M33" s="136" t="n"/>
      <c r="N33" s="136" t="n"/>
      <c r="O33" s="136" t="n"/>
      <c r="P33" s="136" t="n"/>
      <c r="Q33" s="136" t="n"/>
      <c r="R33" s="136" t="n"/>
      <c r="S33" s="136" t="n"/>
      <c r="T33" s="136" t="n"/>
      <c r="U33" s="136" t="n"/>
      <c r="V33" s="136" t="n"/>
      <c r="W33" s="136" t="n"/>
      <c r="X33" s="136" t="n"/>
    </row>
    <row r="34" ht="18.75" customHeight="1" s="149">
      <c r="A34" s="138" t="inlineStr">
        <is>
          <t xml:space="preserve">  ── 📦 DOANH THU STORE ──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  <c r="S34" s="136" t="n"/>
      <c r="T34" s="136" t="n"/>
      <c r="U34" s="136" t="n"/>
      <c r="V34" s="136" t="n"/>
      <c r="W34" s="136" t="n"/>
      <c r="X34" s="136" t="n"/>
    </row>
    <row r="35" ht="21.75" customHeight="1" s="149">
      <c r="A35" s="143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329558569</v>
      </c>
      <c r="W35" s="33">
        <f>IFERROR(SUM('📅 DAILY T8'!G$6:I$36),0)</f>
        <v/>
      </c>
      <c r="X35" s="33">
        <f>IFERROR(SUM('📅 DAILY T9'!G$6:I$35),0)</f>
        <v/>
      </c>
    </row>
    <row r="36" ht="21.75" customHeight="1" s="149">
      <c r="A36" s="143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160710803</v>
      </c>
      <c r="W36" s="33">
        <f>IFERROR(SUM('📅 DAILY T8'!G$6:G$36),0)</f>
        <v/>
      </c>
      <c r="X36" s="33">
        <f>IFERROR(SUM('📅 DAILY T9'!G$6:G$35),0)</f>
        <v/>
      </c>
    </row>
    <row r="37" ht="21.75" customHeight="1" s="149">
      <c r="A37" s="143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86806275</v>
      </c>
      <c r="W37" s="33">
        <f>IFERROR(SUM('📅 DAILY T8'!H$6:H$36),0)</f>
        <v/>
      </c>
      <c r="X37" s="33">
        <f>IFERROR(SUM('📅 DAILY T9'!H$6:H$35),0)</f>
        <v/>
      </c>
    </row>
    <row r="38" ht="21.75" customHeight="1" s="149">
      <c r="A38" s="143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82041491</v>
      </c>
      <c r="W38" s="33">
        <f>IFERROR(SUM('📅 DAILY T8'!I$6:I$36),0)</f>
        <v/>
      </c>
      <c r="X38" s="33">
        <f>IFERROR(SUM('📅 DAILY T9'!I$6:I$35),0)</f>
        <v/>
      </c>
    </row>
    <row r="39" ht="21.75" customHeight="1" s="149">
      <c r="A39" s="143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1071</v>
      </c>
      <c r="W39" s="33">
        <f>IFERROR(SUM('📅 DAILY T8'!J$6:J$36),0)</f>
        <v/>
      </c>
      <c r="X39" s="33">
        <f>IFERROR(SUM('📅 DAILY T9'!J$6:J$35),0)</f>
        <v/>
      </c>
    </row>
    <row r="40" ht="21.75" customHeight="1" s="149">
      <c r="A40" s="143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307711</v>
      </c>
      <c r="W40" s="33">
        <f>IFERROR(SUM('📅 DAILY T8'!M$6:M$36)/SUM('📅 DAILY T8'!J$6:J$36),"")</f>
        <v/>
      </c>
      <c r="X40" s="33">
        <f>IFERROR(SUM('📅 DAILY T9'!M$6:M$35)/SUM('📅 DAILY T9'!J$6:J$35),"")</f>
        <v/>
      </c>
    </row>
    <row r="41" ht="18.75" customHeight="1" s="149">
      <c r="A41" s="143" t="n"/>
      <c r="B41" s="136" t="n"/>
      <c r="C41" s="136" t="n"/>
      <c r="D41" s="136" t="n"/>
      <c r="E41" s="136" t="n"/>
      <c r="F41" s="136" t="n"/>
      <c r="G41" s="136" t="n"/>
      <c r="H41" s="136" t="n"/>
      <c r="I41" s="136" t="n"/>
      <c r="J41" s="136" t="n"/>
      <c r="K41" s="136" t="n"/>
      <c r="L41" s="136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7" t="n"/>
    </row>
    <row r="42" ht="18.75" customHeight="1" s="149">
      <c r="A42" s="143" t="n"/>
      <c r="B42" s="136" t="n"/>
      <c r="C42" s="136" t="n"/>
      <c r="D42" s="136" t="n"/>
      <c r="E42" s="136" t="n"/>
      <c r="F42" s="136" t="n"/>
      <c r="G42" s="136" t="n"/>
      <c r="H42" s="136" t="n"/>
      <c r="I42" s="136" t="n"/>
      <c r="J42" s="136" t="n"/>
      <c r="K42" s="136" t="n"/>
      <c r="L42" s="136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7" t="n"/>
    </row>
    <row r="43" ht="21.75" customHeight="1" s="149">
      <c r="A43" s="143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489</v>
      </c>
      <c r="W43" s="36" t="n"/>
      <c r="X43" s="36" t="n"/>
    </row>
    <row r="44" ht="21.75" customHeight="1" s="149">
      <c r="A44" s="143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290265</v>
      </c>
      <c r="W44" s="36" t="n"/>
      <c r="X44" s="36" t="n"/>
    </row>
    <row r="45" ht="21.75" customHeight="1" s="149">
      <c r="A45" s="143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0.1474</v>
      </c>
      <c r="W45" s="38" t="n"/>
      <c r="X45" s="38" t="n"/>
    </row>
    <row r="46" ht="21.75" customHeight="1" s="149">
      <c r="A46" s="143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0.0451</v>
      </c>
      <c r="W46" s="38" t="n"/>
      <c r="X46" s="38" t="n"/>
    </row>
    <row r="47" ht="18.75" customHeight="1" s="149">
      <c r="A47" s="139" t="inlineStr">
        <is>
          <t xml:space="preserve">       Retention</t>
        </is>
      </c>
      <c r="B47" s="136" t="n"/>
      <c r="C47" s="136" t="n"/>
      <c r="D47" s="136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6" t="n"/>
    </row>
    <row r="48" ht="21.75" customHeight="1" s="149">
      <c r="A48" s="143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588</v>
      </c>
      <c r="W48" s="36" t="n"/>
      <c r="X48" s="36" t="n"/>
    </row>
    <row r="49" ht="21.75" customHeight="1" s="149">
      <c r="A49" s="143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319080</v>
      </c>
      <c r="W49" s="36" t="n"/>
      <c r="X49" s="36" t="n"/>
    </row>
    <row r="50" ht="21.75" customHeight="1" s="149">
      <c r="A50" s="143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0.546</v>
      </c>
      <c r="W50" s="38" t="n"/>
      <c r="X50" s="38" t="n"/>
    </row>
    <row r="51" ht="21.75" customHeight="1" s="149">
      <c r="A51" s="143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131</v>
      </c>
      <c r="W51" s="36" t="n"/>
      <c r="X51" s="36" t="n"/>
    </row>
    <row r="52" ht="21.75" customHeight="1" s="149">
      <c r="A52" s="143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300144</v>
      </c>
      <c r="W52" s="36" t="n"/>
      <c r="X52" s="36" t="n"/>
    </row>
    <row r="53" ht="21.75" customHeight="1" s="149">
      <c r="A53" s="143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162</v>
      </c>
      <c r="W53" s="36" t="n"/>
      <c r="X53" s="36" t="n"/>
    </row>
    <row r="54" ht="21.75" customHeight="1" s="149">
      <c r="A54" s="143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306888</v>
      </c>
      <c r="W54" s="36" t="n"/>
      <c r="X54" s="36" t="n"/>
    </row>
    <row r="55" ht="21.75" customHeight="1" s="149">
      <c r="A55" s="143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295</v>
      </c>
      <c r="W55" s="36" t="n"/>
      <c r="X55" s="36" t="n"/>
    </row>
    <row r="56" ht="21.75" customHeight="1" s="149">
      <c r="A56" s="143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334185</v>
      </c>
      <c r="W56" s="36" t="n"/>
      <c r="X56" s="36" t="n"/>
    </row>
    <row r="57" ht="18.75" customHeight="1" s="149">
      <c r="A57" s="139" t="inlineStr">
        <is>
          <t xml:space="preserve">       Loyalty</t>
        </is>
      </c>
      <c r="B57" s="136" t="n"/>
      <c r="C57" s="136" t="n"/>
      <c r="D57" s="136" t="n"/>
      <c r="E57" s="136" t="n"/>
      <c r="F57" s="136" t="n"/>
      <c r="G57" s="136" t="n"/>
      <c r="H57" s="136" t="n"/>
      <c r="I57" s="136" t="n"/>
      <c r="J57" s="136" t="n"/>
      <c r="K57" s="136" t="n"/>
      <c r="L57" s="136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6" t="n"/>
    </row>
    <row r="58" ht="21.75" customHeight="1" s="149">
      <c r="A58" s="143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404</v>
      </c>
      <c r="W58" s="36" t="n"/>
      <c r="X58" s="36" t="n"/>
    </row>
    <row r="59" ht="21.75" customHeight="1" s="149">
      <c r="A59" s="143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321708</v>
      </c>
      <c r="W59" s="36" t="n"/>
      <c r="X59" s="36" t="n"/>
    </row>
    <row r="60" ht="21.75" customHeight="1" s="149">
      <c r="A60" s="143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492225</v>
      </c>
      <c r="W60" s="36" t="n"/>
      <c r="X60" s="36" t="n"/>
    </row>
    <row r="61" ht="49.5" customHeight="1" s="149">
      <c r="A61" s="144" t="inlineStr">
        <is>
          <t xml:space="preserve">  3️⃣  O3 (KÍNH GỌNG + ẤN MẮT)</t>
        </is>
      </c>
    </row>
    <row r="62" ht="33" customHeight="1" s="149">
      <c r="A62" s="138" t="inlineStr">
        <is>
          <t xml:space="preserve">  ── 👓 DOANH THU O3 ──</t>
        </is>
      </c>
    </row>
    <row r="63" ht="21.75" customHeight="1" s="149">
      <c r="A63" s="143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71258374</v>
      </c>
      <c r="Q63" s="32" t="n">
        <v>57202615</v>
      </c>
      <c r="R63" s="32" t="n">
        <v>65655752</v>
      </c>
      <c r="S63" s="32" t="n">
        <v>29404244</v>
      </c>
      <c r="T63" s="32" t="n">
        <v>22943316</v>
      </c>
      <c r="U63" s="33" t="n">
        <v>27162334</v>
      </c>
      <c r="V63" s="33" t="n">
        <v>23871091</v>
      </c>
      <c r="W63" s="33" t="n"/>
      <c r="X63" s="33" t="n"/>
    </row>
    <row r="64" ht="21.75" customHeight="1" s="149">
      <c r="A64" s="143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0.027</v>
      </c>
      <c r="Q64" s="41" t="n">
        <v>0.0243</v>
      </c>
      <c r="R64" s="41" t="n">
        <v>0.0368</v>
      </c>
      <c r="S64" s="41" t="n">
        <v>0.017</v>
      </c>
      <c r="T64" s="41" t="n">
        <v>0.0144</v>
      </c>
      <c r="U64" s="46" t="n">
        <v>0.017</v>
      </c>
      <c r="V64" s="46" t="n">
        <v>0.0229</v>
      </c>
      <c r="W64" s="33" t="n"/>
      <c r="X64" s="33" t="n"/>
    </row>
    <row r="65" ht="21.75" customHeight="1" s="149"/>
    <row r="66" ht="21.75" customHeight="1" s="149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49">
      <c r="A67" s="147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49">
      <c r="A68" s="135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2634804956</v>
      </c>
      <c r="Q68" s="32" t="n">
        <v>2350507605</v>
      </c>
      <c r="R68" s="32" t="n">
        <v>1782266684</v>
      </c>
      <c r="S68" s="32" t="n">
        <v>1724768091</v>
      </c>
      <c r="T68" s="32" t="n">
        <v>1592209491</v>
      </c>
      <c r="U68" s="33" t="n">
        <v>1593519594</v>
      </c>
      <c r="V68" s="33" t="n">
        <v>1042917575</v>
      </c>
      <c r="W68" s="33">
        <f>IFERROR(SUM('📅 DAILY T8'!C$6:C$36)+SUM('📅 DAILY T8'!G$6:I$36),0)</f>
        <v/>
      </c>
      <c r="X68" s="33">
        <f>IFERROR(SUM('📅 DAILY T9'!C$6:C$35)+SUM('📅 DAILY T9'!G$6:I$35),0)</f>
        <v/>
      </c>
    </row>
    <row r="69" ht="18.75" customHeight="1" s="149">
      <c r="A69" s="135" t="n"/>
      <c r="B69" s="136" t="n"/>
      <c r="C69" s="136" t="n"/>
      <c r="D69" s="136" t="n"/>
      <c r="E69" s="136" t="n"/>
      <c r="F69" s="136" t="n"/>
      <c r="G69" s="136" t="n"/>
      <c r="H69" s="136" t="n"/>
      <c r="I69" s="136" t="n"/>
      <c r="J69" s="136" t="n"/>
      <c r="K69" s="136" t="n"/>
      <c r="L69" s="136" t="n"/>
      <c r="M69" s="136" t="n"/>
      <c r="N69" s="136" t="n"/>
      <c r="O69" s="136" t="n"/>
      <c r="P69" s="136" t="n"/>
      <c r="Q69" s="136" t="n"/>
      <c r="R69" s="136" t="n"/>
      <c r="S69" s="136" t="n"/>
      <c r="T69" s="136" t="n"/>
      <c r="U69" s="136" t="n"/>
      <c r="V69" s="136" t="n"/>
      <c r="W69" s="136" t="n"/>
      <c r="X69" s="137" t="n"/>
    </row>
    <row r="70" ht="21.75" customHeight="1" s="149">
      <c r="A70" s="135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1.11</v>
      </c>
      <c r="W70" s="39" t="n"/>
      <c r="X70" s="39" t="n"/>
    </row>
    <row r="71" ht="21.75" customHeight="1" s="149">
      <c r="A71" s="135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17935</v>
      </c>
      <c r="W71" s="36" t="n"/>
      <c r="X71" s="36" t="n"/>
    </row>
    <row r="72" ht="21.75" customHeight="1" s="149">
      <c r="A72" s="135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946</v>
      </c>
      <c r="W72" s="36" t="n"/>
      <c r="X72" s="36" t="n"/>
    </row>
    <row r="73" ht="21.75" customHeight="1" s="149">
      <c r="A73" s="135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102</v>
      </c>
      <c r="W73" s="53" t="n"/>
      <c r="X73" s="53" t="n"/>
    </row>
    <row r="74" ht="25.5" customHeight="1" s="149">
      <c r="A74" s="147" t="inlineStr">
        <is>
          <t xml:space="preserve">  ── 💎 CLV — Tổng lịch sử &amp; 12 tháng ──</t>
        </is>
      </c>
      <c r="B74" s="136" t="n"/>
      <c r="C74" s="136" t="n"/>
      <c r="D74" s="136" t="n"/>
      <c r="E74" s="136" t="n"/>
      <c r="F74" s="136" t="n"/>
      <c r="G74" s="136" t="n"/>
      <c r="H74" s="136" t="n"/>
      <c r="I74" s="136" t="n"/>
      <c r="J74" s="136" t="n"/>
      <c r="K74" s="136" t="n"/>
      <c r="L74" s="136" t="n"/>
      <c r="M74" s="136" t="n"/>
      <c r="N74" s="136" t="n"/>
      <c r="O74" s="136" t="n"/>
      <c r="P74" s="136" t="n"/>
      <c r="Q74" s="136" t="n"/>
      <c r="R74" s="136" t="n"/>
      <c r="S74" s="136" t="n"/>
      <c r="T74" s="136" t="n"/>
      <c r="U74" s="136" t="n"/>
      <c r="V74" s="136" t="n"/>
      <c r="W74" s="136" t="n"/>
      <c r="X74" s="136" t="n"/>
    </row>
    <row r="75" ht="21.75" customHeight="1" s="149">
      <c r="A75" s="135" t="n"/>
      <c r="B75" s="40" t="inlineStr">
        <is>
          <t xml:space="preserve">  CLV FB (tổng lịch sử / KH FB)</t>
        </is>
      </c>
      <c r="C75" s="31" t="inlineStr">
        <is>
          <t>đồng/KH</t>
        </is>
      </c>
      <c r="D75" s="32" t="n">
        <v>854166</v>
      </c>
      <c r="E75" s="32" t="n">
        <v>867740</v>
      </c>
      <c r="F75" s="32" t="n">
        <v>885205</v>
      </c>
      <c r="G75" s="32" t="n">
        <v>896218</v>
      </c>
      <c r="H75" s="32" t="n">
        <v>906167</v>
      </c>
      <c r="I75" s="32" t="n">
        <v>913413</v>
      </c>
      <c r="J75" s="32" t="n">
        <v>921336</v>
      </c>
      <c r="K75" s="32" t="n">
        <v>930073</v>
      </c>
      <c r="L75" s="32" t="n">
        <v>935217</v>
      </c>
      <c r="M75" s="32" t="n">
        <v>938756</v>
      </c>
      <c r="N75" s="32" t="n">
        <v>944689</v>
      </c>
      <c r="O75" s="32" t="n">
        <v>954722</v>
      </c>
      <c r="P75" s="32" t="n">
        <v>964715</v>
      </c>
      <c r="Q75" s="32" t="n">
        <v>976110</v>
      </c>
      <c r="R75" s="32" t="n">
        <v>985971</v>
      </c>
      <c r="S75" s="32" t="n">
        <v>997893</v>
      </c>
      <c r="T75" s="32" t="n">
        <v>1010217</v>
      </c>
      <c r="U75" s="36" t="n">
        <v>1014219</v>
      </c>
      <c r="V75" s="36" t="n">
        <v>1019759</v>
      </c>
      <c r="W75" s="36" t="n"/>
      <c r="X75" s="36" t="n"/>
    </row>
    <row r="76" ht="21.75" customHeight="1" s="149">
      <c r="A76" s="135" t="n"/>
      <c r="B76" s="42" t="inlineStr">
        <is>
          <t xml:space="preserve">  CLV Store (tổng lịch sử / KH Store)</t>
        </is>
      </c>
      <c r="C76" s="35" t="inlineStr">
        <is>
          <t>đồng/KH</t>
        </is>
      </c>
      <c r="D76" s="32" t="n">
        <v>649776</v>
      </c>
      <c r="E76" s="32" t="n">
        <v>653034</v>
      </c>
      <c r="F76" s="32" t="n">
        <v>656527</v>
      </c>
      <c r="G76" s="32" t="n">
        <v>656372</v>
      </c>
      <c r="H76" s="32" t="n">
        <v>654539</v>
      </c>
      <c r="I76" s="32" t="n">
        <v>655579</v>
      </c>
      <c r="J76" s="32" t="n">
        <v>656930</v>
      </c>
      <c r="K76" s="32" t="n">
        <v>657134</v>
      </c>
      <c r="L76" s="32" t="n">
        <v>654379</v>
      </c>
      <c r="M76" s="32" t="n">
        <v>649380</v>
      </c>
      <c r="N76" s="32" t="n">
        <v>643032</v>
      </c>
      <c r="O76" s="32" t="n">
        <v>643077</v>
      </c>
      <c r="P76" s="32" t="n">
        <v>643489</v>
      </c>
      <c r="Q76" s="32" t="n">
        <v>647444</v>
      </c>
      <c r="R76" s="32" t="n">
        <v>648524</v>
      </c>
      <c r="S76" s="32" t="n">
        <v>652853</v>
      </c>
      <c r="T76" s="32" t="n">
        <v>656021</v>
      </c>
      <c r="U76" s="36" t="n">
        <v>647229</v>
      </c>
      <c r="V76" s="36" t="n">
        <v>650099</v>
      </c>
      <c r="W76" s="36" t="n"/>
      <c r="X76" s="36" t="n"/>
    </row>
    <row r="77" ht="21.75" customHeight="1" s="149">
      <c r="A77" s="135" t="n"/>
      <c r="B77" s="40" t="inlineStr">
        <is>
          <t xml:space="preserve">  CLV FB 12 tháng rolling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880436</v>
      </c>
      <c r="J77" s="32" t="n">
        <v>858858</v>
      </c>
      <c r="K77" s="32" t="n">
        <v>834925</v>
      </c>
      <c r="L77" s="32" t="n">
        <v>815142</v>
      </c>
      <c r="M77" s="32" t="n">
        <v>798971</v>
      </c>
      <c r="N77" s="32" t="n">
        <v>787161</v>
      </c>
      <c r="O77" s="32" t="n">
        <v>781719</v>
      </c>
      <c r="P77" s="32" t="n">
        <v>777311</v>
      </c>
      <c r="Q77" s="32" t="n">
        <v>781068</v>
      </c>
      <c r="R77" s="32" t="n">
        <v>778576</v>
      </c>
      <c r="S77" s="32" t="n">
        <v>785070</v>
      </c>
      <c r="T77" s="32" t="n">
        <v>793187</v>
      </c>
      <c r="U77" s="36" t="n">
        <v>804514</v>
      </c>
      <c r="V77" s="36" t="n">
        <v>799867</v>
      </c>
      <c r="W77" s="36" t="n"/>
      <c r="X77" s="36" t="n"/>
    </row>
    <row r="78" ht="21.75" customHeight="1" s="149">
      <c r="A78" s="135" t="n"/>
      <c r="B78" s="42" t="inlineStr">
        <is>
          <t xml:space="preserve">  CLV Store 12 tháng rolling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634626</v>
      </c>
      <c r="J78" s="32" t="n">
        <v>617933</v>
      </c>
      <c r="K78" s="32" t="n">
        <v>599967</v>
      </c>
      <c r="L78" s="32" t="n">
        <v>584496</v>
      </c>
      <c r="M78" s="32" t="n">
        <v>565801</v>
      </c>
      <c r="N78" s="32" t="n">
        <v>544704</v>
      </c>
      <c r="O78" s="32" t="n">
        <v>531895</v>
      </c>
      <c r="P78" s="32" t="n">
        <v>516683</v>
      </c>
      <c r="Q78" s="32" t="n">
        <v>518311</v>
      </c>
      <c r="R78" s="32" t="n">
        <v>512897</v>
      </c>
      <c r="S78" s="32" t="n">
        <v>514213</v>
      </c>
      <c r="T78" s="32" t="n">
        <v>514850</v>
      </c>
      <c r="U78" s="36" t="n">
        <v>496795</v>
      </c>
      <c r="V78" s="36" t="n">
        <v>492225</v>
      </c>
      <c r="W78" s="36" t="n"/>
      <c r="X78" s="36" t="n"/>
    </row>
    <row r="79" ht="21.75" customHeight="1" s="149">
      <c r="A79" s="54" t="inlineStr">
        <is>
          <t xml:space="preserve">  5️⃣  KR Q3</t>
        </is>
      </c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</row>
    <row r="80" ht="21.75" customHeight="1" s="149">
      <c r="A80" s="141" t="n"/>
      <c r="B80" s="34" t="n"/>
      <c r="C80" s="35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1" t="n"/>
      <c r="P80" s="31" t="n"/>
      <c r="Q80" s="31" t="n"/>
      <c r="R80" s="31" t="n"/>
      <c r="S80" s="31" t="n"/>
      <c r="T80" s="31" t="n"/>
      <c r="U80" s="36" t="n"/>
      <c r="V80" s="36" t="n"/>
      <c r="W80" s="36" t="n"/>
      <c r="X80" s="36" t="n"/>
    </row>
    <row r="81" ht="21.75" customHeight="1" s="149">
      <c r="A81" s="141" t="n"/>
      <c r="B81" s="136" t="n"/>
      <c r="C81" s="136" t="n"/>
      <c r="D81" s="136" t="n"/>
      <c r="E81" s="136" t="n"/>
      <c r="F81" s="136" t="n"/>
      <c r="G81" s="136" t="n"/>
      <c r="H81" s="136" t="n"/>
      <c r="I81" s="136" t="n"/>
      <c r="J81" s="136" t="n"/>
      <c r="K81" s="136" t="n"/>
      <c r="L81" s="136" t="n"/>
      <c r="M81" s="136" t="n"/>
      <c r="N81" s="136" t="n"/>
      <c r="O81" s="136" t="n"/>
      <c r="P81" s="136" t="n"/>
      <c r="Q81" s="136" t="n"/>
      <c r="R81" s="136" t="n"/>
      <c r="S81" s="136" t="n"/>
      <c r="T81" s="136" t="n"/>
      <c r="U81" s="136" t="n"/>
      <c r="V81" s="136" t="n"/>
      <c r="W81" s="136" t="n"/>
      <c r="X81" s="137" t="n"/>
    </row>
    <row r="82" ht="18.75" customHeight="1" s="149">
      <c r="A82" s="141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8" t="n"/>
      <c r="V82" s="38" t="n"/>
      <c r="W82" s="38" t="n"/>
      <c r="X82" s="38" t="n"/>
    </row>
    <row r="83" ht="18.75" customHeight="1" s="149">
      <c r="A83" s="141" t="n"/>
      <c r="B83" s="30" t="n"/>
      <c r="C83" s="31" t="n"/>
      <c r="D83" s="31" t="n"/>
      <c r="E83" s="31" t="n"/>
      <c r="F83" s="31" t="n"/>
      <c r="G83" s="31" t="n"/>
      <c r="H83" s="31" t="n"/>
      <c r="I83" s="31" t="n"/>
      <c r="J83" s="31" t="n"/>
      <c r="K83" s="31" t="n"/>
      <c r="L83" s="31" t="n"/>
      <c r="M83" s="31" t="n"/>
      <c r="N83" s="31" t="n"/>
      <c r="O83" s="31" t="n"/>
      <c r="P83" s="31" t="n"/>
      <c r="Q83" s="31" t="n"/>
      <c r="R83" s="31" t="n"/>
      <c r="S83" s="31" t="n"/>
      <c r="T83" s="31" t="n"/>
      <c r="U83" s="36" t="n"/>
      <c r="V83" s="36" t="n"/>
      <c r="W83" s="36" t="n"/>
      <c r="X83" s="36" t="n"/>
    </row>
    <row r="84" ht="18.75" customHeight="1" s="149">
      <c r="A84" s="141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6" t="n"/>
      <c r="V84" s="36" t="n"/>
      <c r="W84" s="36" t="n"/>
      <c r="X84" s="36" t="n"/>
    </row>
    <row r="85" ht="18.75" customHeight="1" s="149">
      <c r="A85" s="141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49">
      <c r="A86" s="56" t="inlineStr">
        <is>
          <t xml:space="preserve">  📌 Ô vàng: Upload Nhanh.vn cuối tháng → Claude tính  |  🟢 Ô xanh: Tự kéo từ DAILY sheet  |  CLV Realized đo theo Quý (3 tháng/lần)</t>
        </is>
      </c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</row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17">
    <mergeCell ref="A34:X34"/>
    <mergeCell ref="A69:X69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1:X1"/>
    <mergeCell ref="A5:X5"/>
    <mergeCell ref="A13:X13"/>
    <mergeCell ref="A14:X14"/>
    <mergeCell ref="A74:X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1149763530</v>
      </c>
      <c r="D5" s="68" t="n"/>
      <c r="E5" s="68" t="n"/>
      <c r="F5" s="68" t="n"/>
      <c r="G5" s="69" t="n">
        <v>296326827</v>
      </c>
      <c r="H5" s="69" t="n">
        <v>202633626</v>
      </c>
      <c r="I5" s="69" t="n">
        <v>115735977</v>
      </c>
      <c r="J5" s="68" t="n"/>
      <c r="K5" s="68" t="n"/>
      <c r="L5" s="68" t="n"/>
      <c r="M5" s="70" t="n">
        <v>614696430</v>
      </c>
      <c r="N5" s="70" t="n">
        <v>1764459960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46174</v>
      </c>
      <c r="B6" s="74" t="inlineStr">
        <is>
          <t>T2</t>
        </is>
      </c>
      <c r="C6" s="75" t="n">
        <v>44886805</v>
      </c>
      <c r="D6" s="75" t="n">
        <v>97</v>
      </c>
      <c r="E6" s="75" t="n"/>
      <c r="F6" s="75" t="n"/>
      <c r="G6" s="75" t="n">
        <v>6767007</v>
      </c>
      <c r="H6" s="75" t="n">
        <v>3596508</v>
      </c>
      <c r="I6" s="75" t="n">
        <v>2887199</v>
      </c>
      <c r="J6" s="75" t="n">
        <v>44</v>
      </c>
      <c r="K6" s="75" t="n">
        <v>701737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46175</v>
      </c>
      <c r="B7" s="74" t="inlineStr">
        <is>
          <t>T3</t>
        </is>
      </c>
      <c r="C7" s="75" t="n">
        <v>32214802</v>
      </c>
      <c r="D7" s="75" t="n">
        <v>65</v>
      </c>
      <c r="E7" s="75" t="n"/>
      <c r="F7" s="75" t="n"/>
      <c r="G7" s="75" t="n">
        <v>4259006</v>
      </c>
      <c r="H7" s="75" t="n">
        <v>3072003</v>
      </c>
      <c r="I7" s="75" t="n">
        <v>6150503</v>
      </c>
      <c r="J7" s="75" t="n">
        <v>43</v>
      </c>
      <c r="K7" s="75" t="n">
        <v>524074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46176</v>
      </c>
      <c r="B8" s="74" t="inlineStr">
        <is>
          <t>T4</t>
        </is>
      </c>
      <c r="C8" s="75" t="n">
        <v>36473477</v>
      </c>
      <c r="D8" s="75" t="n">
        <v>87</v>
      </c>
      <c r="E8" s="75" t="n"/>
      <c r="F8" s="75" t="n"/>
      <c r="G8" s="75" t="n">
        <v>8799511</v>
      </c>
      <c r="H8" s="75" t="n">
        <v>1862000</v>
      </c>
      <c r="I8" s="75" t="n">
        <v>3738504</v>
      </c>
      <c r="J8" s="75" t="n">
        <v>48</v>
      </c>
      <c r="K8" s="75" t="n">
        <v>259259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46177</v>
      </c>
      <c r="B9" s="74" t="inlineStr">
        <is>
          <t>T5</t>
        </is>
      </c>
      <c r="C9" s="75" t="n">
        <v>35472516</v>
      </c>
      <c r="D9" s="75" t="n">
        <v>81</v>
      </c>
      <c r="E9" s="75" t="n"/>
      <c r="F9" s="75" t="n"/>
      <c r="G9" s="75" t="n">
        <v>9745005</v>
      </c>
      <c r="H9" s="75" t="n">
        <v>5478499</v>
      </c>
      <c r="I9" s="75" t="n">
        <v>4638009</v>
      </c>
      <c r="J9" s="75" t="n">
        <v>60</v>
      </c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46178</v>
      </c>
      <c r="B10" s="74" t="inlineStr">
        <is>
          <t>T6</t>
        </is>
      </c>
      <c r="C10" s="75" t="n">
        <v>31950186</v>
      </c>
      <c r="D10" s="75" t="n">
        <v>76</v>
      </c>
      <c r="E10" s="75" t="n"/>
      <c r="F10" s="75" t="n"/>
      <c r="G10" s="75" t="n">
        <v>12953499</v>
      </c>
      <c r="H10" s="75" t="n">
        <v>3054750</v>
      </c>
      <c r="I10" s="75" t="n">
        <v>5426001</v>
      </c>
      <c r="J10" s="75" t="n">
        <v>69</v>
      </c>
      <c r="K10" s="75" t="n">
        <v>1644800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46179</v>
      </c>
      <c r="B11" s="78" t="inlineStr">
        <is>
          <t>T7</t>
        </is>
      </c>
      <c r="C11" s="75" t="n">
        <v>35754690</v>
      </c>
      <c r="D11" s="75" t="n">
        <v>81</v>
      </c>
      <c r="E11" s="75" t="n"/>
      <c r="F11" s="75" t="n"/>
      <c r="G11" s="75" t="n">
        <v>9757501</v>
      </c>
      <c r="H11" s="75" t="n">
        <v>5894250</v>
      </c>
      <c r="I11" s="75" t="n">
        <v>4723999</v>
      </c>
      <c r="J11" s="75" t="n">
        <v>74</v>
      </c>
      <c r="K11" s="75" t="n">
        <v>450000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7" t="n">
        <v>46180</v>
      </c>
      <c r="B12" s="78" t="inlineStr">
        <is>
          <t>CN</t>
        </is>
      </c>
      <c r="C12" s="75" t="n">
        <v>26345035</v>
      </c>
      <c r="D12" s="75" t="n">
        <v>64</v>
      </c>
      <c r="E12" s="75" t="n"/>
      <c r="F12" s="75" t="n"/>
      <c r="G12" s="75" t="n">
        <v>10669504</v>
      </c>
      <c r="H12" s="75" t="n">
        <v>3797504</v>
      </c>
      <c r="I12" s="75" t="n">
        <v>7983209</v>
      </c>
      <c r="J12" s="75" t="n">
        <v>69</v>
      </c>
      <c r="K12" s="75" t="n">
        <v>464700</v>
      </c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46181</v>
      </c>
      <c r="B13" s="74" t="inlineStr">
        <is>
          <t>T2</t>
        </is>
      </c>
      <c r="C13" s="75" t="n">
        <v>36505043</v>
      </c>
      <c r="D13" s="75" t="n">
        <v>74</v>
      </c>
      <c r="E13" s="75" t="n"/>
      <c r="F13" s="75" t="n"/>
      <c r="G13" s="75" t="n">
        <v>6963251</v>
      </c>
      <c r="H13" s="75" t="n">
        <v>4895998</v>
      </c>
      <c r="I13" s="75" t="n">
        <v>4444501</v>
      </c>
      <c r="J13" s="75" t="n">
        <v>40</v>
      </c>
      <c r="K13" s="75" t="n">
        <v>500001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46182</v>
      </c>
      <c r="B14" s="74" t="inlineStr">
        <is>
          <t>T3</t>
        </is>
      </c>
      <c r="C14" s="75" t="n">
        <v>31831101</v>
      </c>
      <c r="D14" s="75" t="n">
        <v>76</v>
      </c>
      <c r="E14" s="75" t="n"/>
      <c r="F14" s="75" t="n"/>
      <c r="G14" s="75" t="n">
        <v>5794398</v>
      </c>
      <c r="H14" s="75" t="n">
        <v>3027007</v>
      </c>
      <c r="I14" s="75" t="n">
        <v>2752999</v>
      </c>
      <c r="J14" s="75" t="n">
        <v>41</v>
      </c>
      <c r="K14" s="75" t="n">
        <v>3360458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46183</v>
      </c>
      <c r="B15" s="74" t="inlineStr">
        <is>
          <t>T4</t>
        </is>
      </c>
      <c r="C15" s="75" t="n">
        <v>32966537</v>
      </c>
      <c r="D15" s="75" t="n">
        <v>76</v>
      </c>
      <c r="E15" s="75" t="n"/>
      <c r="F15" s="75" t="n"/>
      <c r="G15" s="75" t="n">
        <v>5953000</v>
      </c>
      <c r="H15" s="75" t="n">
        <v>6386501</v>
      </c>
      <c r="I15" s="75" t="n">
        <v>3655000</v>
      </c>
      <c r="J15" s="75" t="n">
        <v>54</v>
      </c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46184</v>
      </c>
      <c r="B16" s="74" t="inlineStr">
        <is>
          <t>T5</t>
        </is>
      </c>
      <c r="C16" s="75" t="n">
        <v>38207669</v>
      </c>
      <c r="D16" s="75" t="n">
        <v>90</v>
      </c>
      <c r="E16" s="75" t="n"/>
      <c r="F16" s="75" t="n"/>
      <c r="G16" s="75" t="n">
        <v>4152001</v>
      </c>
      <c r="H16" s="75" t="n">
        <v>6902001</v>
      </c>
      <c r="I16" s="75" t="n">
        <v>4139000</v>
      </c>
      <c r="J16" s="75" t="n">
        <v>41</v>
      </c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46185</v>
      </c>
      <c r="B17" s="74" t="inlineStr">
        <is>
          <t>T6</t>
        </is>
      </c>
      <c r="C17" s="75" t="n">
        <v>37803177</v>
      </c>
      <c r="D17" s="75" t="n">
        <v>88</v>
      </c>
      <c r="E17" s="75" t="n"/>
      <c r="F17" s="75" t="n"/>
      <c r="G17" s="75" t="n">
        <v>12255008</v>
      </c>
      <c r="H17" s="75" t="n">
        <v>2257002</v>
      </c>
      <c r="I17" s="75" t="n">
        <v>4691505</v>
      </c>
      <c r="J17" s="75" t="n">
        <v>67</v>
      </c>
      <c r="K17" s="75" t="n">
        <v>1028800</v>
      </c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46186</v>
      </c>
      <c r="B18" s="78" t="inlineStr">
        <is>
          <t>T7</t>
        </is>
      </c>
      <c r="C18" s="75" t="n">
        <v>31450293</v>
      </c>
      <c r="D18" s="75" t="n">
        <v>82</v>
      </c>
      <c r="E18" s="75" t="n"/>
      <c r="F18" s="75" t="n"/>
      <c r="G18" s="75" t="n">
        <v>11464504</v>
      </c>
      <c r="H18" s="75" t="n">
        <v>7201257</v>
      </c>
      <c r="I18" s="75" t="n">
        <v>6032008</v>
      </c>
      <c r="J18" s="75" t="n">
        <v>92</v>
      </c>
      <c r="K18" s="75" t="n">
        <v>447224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7" t="n">
        <v>46187</v>
      </c>
      <c r="B19" s="78" t="inlineStr">
        <is>
          <t>CN</t>
        </is>
      </c>
      <c r="C19" s="75" t="n">
        <v>27933793</v>
      </c>
      <c r="D19" s="75" t="n">
        <v>63</v>
      </c>
      <c r="E19" s="75" t="n"/>
      <c r="F19" s="75" t="n"/>
      <c r="G19" s="75" t="n">
        <v>13214251</v>
      </c>
      <c r="H19" s="75" t="n">
        <v>5159002</v>
      </c>
      <c r="I19" s="75" t="n">
        <v>3576999</v>
      </c>
      <c r="J19" s="75" t="n">
        <v>62</v>
      </c>
      <c r="K19" s="75" t="n">
        <v>1825095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46188</v>
      </c>
      <c r="B20" s="74" t="inlineStr">
        <is>
          <t>T2</t>
        </is>
      </c>
      <c r="C20" s="75" t="n">
        <v>42226288</v>
      </c>
      <c r="D20" s="75" t="n">
        <v>104</v>
      </c>
      <c r="E20" s="75" t="n"/>
      <c r="F20" s="75" t="n"/>
      <c r="G20" s="75" t="n">
        <v>5703750</v>
      </c>
      <c r="H20" s="75" t="n">
        <v>5266005</v>
      </c>
      <c r="I20" s="75" t="n">
        <v>2257998</v>
      </c>
      <c r="J20" s="75" t="n">
        <v>36</v>
      </c>
      <c r="K20" s="75" t="n">
        <v>1428800</v>
      </c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46189</v>
      </c>
      <c r="B21" s="74" t="inlineStr">
        <is>
          <t>T3</t>
        </is>
      </c>
      <c r="C21" s="75" t="n">
        <v>44253287</v>
      </c>
      <c r="D21" s="75" t="n">
        <v>108</v>
      </c>
      <c r="E21" s="75" t="n"/>
      <c r="F21" s="75" t="n"/>
      <c r="G21" s="75" t="n">
        <v>8659502</v>
      </c>
      <c r="H21" s="75" t="n">
        <v>2660002</v>
      </c>
      <c r="I21" s="75" t="n">
        <v>5711999</v>
      </c>
      <c r="J21" s="75" t="n">
        <v>55</v>
      </c>
      <c r="K21" s="75" t="n">
        <v>1936000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46190</v>
      </c>
      <c r="B22" s="74" t="inlineStr">
        <is>
          <t>T4</t>
        </is>
      </c>
      <c r="C22" s="75" t="n">
        <v>43337858</v>
      </c>
      <c r="D22" s="75" t="n">
        <v>99</v>
      </c>
      <c r="E22" s="75" t="n"/>
      <c r="F22" s="75" t="n"/>
      <c r="G22" s="75" t="n">
        <v>7292002</v>
      </c>
      <c r="H22" s="75" t="n">
        <v>3709999</v>
      </c>
      <c r="I22" s="75" t="n">
        <v>2986701</v>
      </c>
      <c r="J22" s="75" t="n">
        <v>51</v>
      </c>
      <c r="K22" s="75" t="n">
        <v>981100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46191</v>
      </c>
      <c r="B23" s="74" t="inlineStr">
        <is>
          <t>T5</t>
        </is>
      </c>
      <c r="C23" s="75" t="n">
        <v>49976088</v>
      </c>
      <c r="D23" s="75" t="n">
        <v>114</v>
      </c>
      <c r="E23" s="75" t="n"/>
      <c r="F23" s="75" t="n"/>
      <c r="G23" s="75" t="n">
        <v>6905755</v>
      </c>
      <c r="H23" s="75" t="n">
        <v>7952503</v>
      </c>
      <c r="I23" s="75" t="n">
        <v>3556500</v>
      </c>
      <c r="J23" s="75" t="n">
        <v>51</v>
      </c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46192</v>
      </c>
      <c r="B24" s="74" t="inlineStr">
        <is>
          <t>T6</t>
        </is>
      </c>
      <c r="C24" s="75" t="n">
        <v>45923314</v>
      </c>
      <c r="D24" s="75" t="n">
        <v>102</v>
      </c>
      <c r="E24" s="75" t="n"/>
      <c r="F24" s="75" t="n"/>
      <c r="G24" s="75" t="n">
        <v>10739751</v>
      </c>
      <c r="H24" s="75" t="n">
        <v>4609999</v>
      </c>
      <c r="I24" s="75" t="n">
        <v>5580499</v>
      </c>
      <c r="J24" s="75" t="n">
        <v>66</v>
      </c>
      <c r="K24" s="75" t="n">
        <v>3504865</v>
      </c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46193</v>
      </c>
      <c r="B25" s="78" t="inlineStr">
        <is>
          <t>T7</t>
        </is>
      </c>
      <c r="C25" s="75" t="n">
        <v>34642065</v>
      </c>
      <c r="D25" s="75" t="n">
        <v>78</v>
      </c>
      <c r="E25" s="75" t="n"/>
      <c r="F25" s="75" t="n"/>
      <c r="G25" s="75" t="n">
        <v>9487759</v>
      </c>
      <c r="H25" s="75" t="n">
        <v>2568998</v>
      </c>
      <c r="I25" s="75" t="n">
        <v>4029501</v>
      </c>
      <c r="J25" s="75" t="n">
        <v>60</v>
      </c>
      <c r="K25" s="75" t="n">
        <v>502400</v>
      </c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7" t="n">
        <v>46194</v>
      </c>
      <c r="B26" s="78" t="inlineStr">
        <is>
          <t>CN</t>
        </is>
      </c>
      <c r="C26" s="75" t="n">
        <v>34371552</v>
      </c>
      <c r="D26" s="75" t="n">
        <v>63</v>
      </c>
      <c r="E26" s="75" t="n"/>
      <c r="F26" s="75" t="n"/>
      <c r="G26" s="75" t="n">
        <v>7185011</v>
      </c>
      <c r="H26" s="75" t="n">
        <v>3444004</v>
      </c>
      <c r="I26" s="75" t="n">
        <v>4879516</v>
      </c>
      <c r="J26" s="75" t="n">
        <v>59</v>
      </c>
      <c r="K26" s="75" t="n">
        <v>3793370</v>
      </c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46195</v>
      </c>
      <c r="B27" s="74" t="inlineStr">
        <is>
          <t>T2</t>
        </is>
      </c>
      <c r="C27" s="75" t="n">
        <v>45116287</v>
      </c>
      <c r="D27" s="75" t="n">
        <v>82</v>
      </c>
      <c r="E27" s="75" t="n"/>
      <c r="F27" s="75" t="n"/>
      <c r="G27" s="75" t="n">
        <v>5823399</v>
      </c>
      <c r="H27" s="75" t="n">
        <v>2786003</v>
      </c>
      <c r="I27" s="75" t="n">
        <v>4425502</v>
      </c>
      <c r="J27" s="75" t="n">
        <v>43</v>
      </c>
      <c r="K27" s="75" t="n">
        <v>659259</v>
      </c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46196</v>
      </c>
      <c r="B28" s="74" t="inlineStr">
        <is>
          <t>T3</t>
        </is>
      </c>
      <c r="C28" s="75" t="n">
        <v>32312408</v>
      </c>
      <c r="D28" s="75" t="n">
        <v>69</v>
      </c>
      <c r="E28" s="75" t="n"/>
      <c r="F28" s="75" t="n"/>
      <c r="G28" s="75" t="n">
        <v>6753005</v>
      </c>
      <c r="H28" s="75" t="n">
        <v>2019004</v>
      </c>
      <c r="I28" s="75" t="n">
        <v>2999505</v>
      </c>
      <c r="J28" s="75" t="n">
        <v>33</v>
      </c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46197</v>
      </c>
      <c r="B29" s="74" t="inlineStr">
        <is>
          <t>T4</t>
        </is>
      </c>
      <c r="C29" s="75" t="n">
        <v>32701796</v>
      </c>
      <c r="D29" s="75" t="n">
        <v>82</v>
      </c>
      <c r="E29" s="75" t="n"/>
      <c r="F29" s="75" t="n"/>
      <c r="G29" s="75" t="n">
        <v>8755015</v>
      </c>
      <c r="H29" s="75" t="n">
        <v>3973002</v>
      </c>
      <c r="I29" s="75" t="n">
        <v>2503001</v>
      </c>
      <c r="J29" s="75" t="n">
        <v>42</v>
      </c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46198</v>
      </c>
      <c r="B30" s="74" t="inlineStr">
        <is>
          <t>T5</t>
        </is>
      </c>
      <c r="C30" s="75" t="n">
        <v>39556390</v>
      </c>
      <c r="D30" s="75" t="n">
        <v>99</v>
      </c>
      <c r="E30" s="75" t="n"/>
      <c r="F30" s="75" t="n"/>
      <c r="G30" s="75" t="n">
        <v>7045999</v>
      </c>
      <c r="H30" s="75" t="n">
        <v>3766497</v>
      </c>
      <c r="I30" s="75" t="n">
        <v>2877502</v>
      </c>
      <c r="J30" s="75" t="n">
        <v>52</v>
      </c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46199</v>
      </c>
      <c r="B31" s="74" t="inlineStr">
        <is>
          <t>T6</t>
        </is>
      </c>
      <c r="C31" s="75" t="n">
        <v>34245263</v>
      </c>
      <c r="D31" s="75" t="n">
        <v>80</v>
      </c>
      <c r="E31" s="75" t="n"/>
      <c r="F31" s="75" t="n"/>
      <c r="G31" s="75" t="n">
        <v>10419503</v>
      </c>
      <c r="H31" s="75" t="n">
        <v>5531499</v>
      </c>
      <c r="I31" s="75" t="n">
        <v>4600001</v>
      </c>
      <c r="J31" s="75" t="n">
        <v>72</v>
      </c>
      <c r="K31" s="75" t="n">
        <v>14000</v>
      </c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46200</v>
      </c>
      <c r="B32" s="78" t="inlineStr">
        <is>
          <t>T7</t>
        </is>
      </c>
      <c r="C32" s="75" t="n">
        <v>31660032</v>
      </c>
      <c r="D32" s="75" t="n">
        <v>75</v>
      </c>
      <c r="E32" s="75" t="n"/>
      <c r="F32" s="75" t="n"/>
      <c r="G32" s="75" t="n">
        <v>10394010</v>
      </c>
      <c r="H32" s="75" t="n">
        <v>4001503</v>
      </c>
      <c r="I32" s="75" t="n">
        <v>5706997</v>
      </c>
      <c r="J32" s="75" t="n">
        <v>69</v>
      </c>
      <c r="K32" s="75" t="n">
        <v>620370</v>
      </c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7" t="n">
        <v>46201</v>
      </c>
      <c r="B33" s="78" t="inlineStr">
        <is>
          <t>CN</t>
        </is>
      </c>
      <c r="C33" s="75" t="n">
        <v>28009525</v>
      </c>
      <c r="D33" s="75" t="n">
        <v>60</v>
      </c>
      <c r="E33" s="75" t="n"/>
      <c r="F33" s="75" t="n"/>
      <c r="G33" s="75" t="n">
        <v>9633250</v>
      </c>
      <c r="H33" s="75" t="n">
        <v>4499504</v>
      </c>
      <c r="I33" s="75" t="n">
        <v>2545502</v>
      </c>
      <c r="J33" s="75" t="n">
        <v>60</v>
      </c>
      <c r="K33" s="75" t="n">
        <v>2516022</v>
      </c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46202</v>
      </c>
      <c r="B34" s="74" t="inlineStr">
        <is>
          <t>T2</t>
        </is>
      </c>
      <c r="C34" s="75" t="n">
        <v>35600022</v>
      </c>
      <c r="D34" s="75" t="n">
        <v>73</v>
      </c>
      <c r="E34" s="75" t="n"/>
      <c r="F34" s="75" t="n"/>
      <c r="G34" s="75" t="n">
        <v>7841005</v>
      </c>
      <c r="H34" s="75" t="n">
        <v>2889754</v>
      </c>
      <c r="I34" s="75" t="n">
        <v>1261999</v>
      </c>
      <c r="J34" s="75" t="n">
        <v>35</v>
      </c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46203</v>
      </c>
      <c r="B35" s="74" t="inlineStr">
        <is>
          <t>T3</t>
        </is>
      </c>
      <c r="C35" s="75" t="n">
        <v>35013903</v>
      </c>
      <c r="D35" s="75" t="n">
        <v>83</v>
      </c>
      <c r="E35" s="75" t="n"/>
      <c r="F35" s="75" t="n"/>
      <c r="G35" s="75" t="n">
        <v>9861013</v>
      </c>
      <c r="H35" s="75" t="n">
        <v>3477498</v>
      </c>
      <c r="I35" s="75" t="n">
        <v>3029002</v>
      </c>
      <c r="J35" s="75" t="n">
        <v>54</v>
      </c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"/>
    </sheetView>
  </sheetViews>
  <sheetFormatPr baseColWidth="10" defaultColWidth="14" defaultRowHeight="14"/>
  <cols>
    <col width="10" customWidth="1" style="149" min="1" max="1"/>
    <col width="34.59765625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6/2026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1/6–7/6</t>
        </is>
      </c>
      <c r="C4" s="81" t="n">
        <v>243097511</v>
      </c>
      <c r="D4" s="81" t="n">
        <v>551</v>
      </c>
      <c r="E4" s="81" t="n">
        <v>441193</v>
      </c>
      <c r="F4" s="82" t="n"/>
      <c r="G4" s="83" t="n"/>
      <c r="H4" s="84" t="n">
        <v>125253971</v>
      </c>
      <c r="I4" s="85" t="n">
        <v>368351482</v>
      </c>
      <c r="J4" s="86" t="n">
        <v>0.1991</v>
      </c>
      <c r="K4" s="86" t="n">
        <v>0.1911</v>
      </c>
      <c r="L4" s="87" t="n"/>
    </row>
    <row r="5" ht="24" customHeight="1" s="149">
      <c r="A5" s="88" t="inlineStr">
        <is>
          <t>Tuần 2</t>
        </is>
      </c>
      <c r="B5" s="89" t="inlineStr">
        <is>
          <t>8/6–14/6</t>
        </is>
      </c>
      <c r="C5" s="81" t="n">
        <v>236697613</v>
      </c>
      <c r="D5" s="81" t="n">
        <v>549</v>
      </c>
      <c r="E5" s="81" t="n">
        <v>431143</v>
      </c>
      <c r="F5" s="82" t="n"/>
      <c r="G5" s="83" t="n"/>
      <c r="H5" s="84" t="n">
        <v>124917193</v>
      </c>
      <c r="I5" s="85" t="n">
        <v>361614806</v>
      </c>
      <c r="J5" s="86" t="n">
        <v>0.3929</v>
      </c>
      <c r="K5" s="86" t="n">
        <v>0.3816</v>
      </c>
      <c r="L5" s="87" t="n"/>
    </row>
    <row r="6" ht="24" customHeight="1" s="149">
      <c r="A6" s="90" t="inlineStr">
        <is>
          <t>Tuần 3</t>
        </is>
      </c>
      <c r="B6" s="91" t="inlineStr">
        <is>
          <t>15/6–21/6</t>
        </is>
      </c>
      <c r="C6" s="81" t="n">
        <v>294730452</v>
      </c>
      <c r="D6" s="81" t="n">
        <v>668</v>
      </c>
      <c r="E6" s="81" t="n">
        <v>441213</v>
      </c>
      <c r="F6" s="82" t="n"/>
      <c r="G6" s="83" t="n"/>
      <c r="H6" s="84" t="n">
        <v>115187754</v>
      </c>
      <c r="I6" s="85" t="n">
        <v>409918206</v>
      </c>
      <c r="J6" s="86" t="n">
        <v>0.6343</v>
      </c>
      <c r="K6" s="86" t="n">
        <v>0.5574</v>
      </c>
      <c r="L6" s="87" t="n"/>
    </row>
    <row r="7" ht="24" customHeight="1" s="149">
      <c r="A7" s="92" t="inlineStr">
        <is>
          <t>Tuần 4</t>
        </is>
      </c>
      <c r="B7" s="93" t="inlineStr">
        <is>
          <t>22/6–28/6</t>
        </is>
      </c>
      <c r="C7" s="81" t="n">
        <v>243601701</v>
      </c>
      <c r="D7" s="81" t="n">
        <v>547</v>
      </c>
      <c r="E7" s="81" t="n">
        <v>445341</v>
      </c>
      <c r="F7" s="82" t="n"/>
      <c r="G7" s="83" t="n"/>
      <c r="H7" s="84" t="n">
        <v>111059203</v>
      </c>
      <c r="I7" s="85" t="n">
        <v>354660904</v>
      </c>
      <c r="J7" s="86" t="n">
        <v>0.8338</v>
      </c>
      <c r="K7" s="86" t="n">
        <v>0.7268</v>
      </c>
      <c r="L7" s="87" t="n"/>
    </row>
    <row r="8" ht="24" customHeight="1" s="149">
      <c r="A8" s="94" t="inlineStr">
        <is>
          <t>Tuần 5</t>
        </is>
      </c>
      <c r="B8" s="95" t="inlineStr">
        <is>
          <t>29/6–30/6</t>
        </is>
      </c>
      <c r="C8" s="81" t="n">
        <v>70613925</v>
      </c>
      <c r="D8" s="81" t="n">
        <v>156</v>
      </c>
      <c r="E8" s="81" t="n">
        <v>452653</v>
      </c>
      <c r="F8" s="82" t="n"/>
      <c r="G8" s="83" t="n"/>
      <c r="H8" s="84" t="n">
        <v>28360271</v>
      </c>
      <c r="I8" s="85" t="n">
        <v>98974196</v>
      </c>
      <c r="J8" s="86" t="n">
        <v>0.8915999999999999</v>
      </c>
      <c r="K8" s="86" t="n">
        <v>0.77</v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1/6–30/6</t>
        </is>
      </c>
      <c r="C21" s="99" t="n">
        <v>1088741202</v>
      </c>
      <c r="D21" s="99" t="n">
        <v>2471</v>
      </c>
      <c r="E21" s="99" t="n">
        <v>440608</v>
      </c>
      <c r="F21" s="99" t="n"/>
      <c r="G21" s="100" t="n"/>
      <c r="H21" s="99" t="n">
        <v>504778392</v>
      </c>
      <c r="I21" s="99" t="n">
        <v>1593519594</v>
      </c>
      <c r="J21" s="101" t="n">
        <v>0.8915999999999999</v>
      </c>
      <c r="K21" s="101" t="n">
        <v>0.77</v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1221140305</v>
      </c>
      <c r="D23" s="68" t="n"/>
      <c r="E23" s="68" t="n"/>
      <c r="F23" s="68" t="n"/>
      <c r="G23" s="68" t="n"/>
      <c r="H23" s="103" t="n">
        <v>655527931</v>
      </c>
      <c r="I23" s="104" t="n">
        <v>1876668236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42" customHeight="1" s="149">
      <c r="A27" s="160" t="inlineStr">
        <is>
          <t>TỔNG HỢP ACTION • THÁNG 6/2026 • CARASE FB &amp; STORE</t>
        </is>
      </c>
      <c r="B27" s="136" t="n"/>
      <c r="C27" s="136" t="n"/>
      <c r="D27" s="136" t="n"/>
      <c r="E27" s="136" t="n"/>
      <c r="F27" s="136" t="n"/>
      <c r="G27" s="136" t="n"/>
      <c r="H27" s="136" t="n"/>
      <c r="I27" s="136" t="n"/>
      <c r="J27" s="136" t="n"/>
      <c r="K27" s="136" t="n"/>
      <c r="L27" s="161" t="n"/>
      <c r="M27" s="105" t="n"/>
      <c r="N27" s="105" t="n"/>
      <c r="O27" s="105" t="n"/>
      <c r="P27" s="105" t="n"/>
      <c r="Q27" s="105" t="n"/>
      <c r="R27" s="105" t="n"/>
      <c r="S27" s="105" t="n"/>
      <c r="T27" s="105" t="n"/>
    </row>
    <row r="28" ht="13.5" customHeight="1" s="149">
      <c r="A28" s="106" t="inlineStr">
        <is>
          <t>STT</t>
        </is>
      </c>
      <c r="B28" s="106" t="inlineStr">
        <is>
          <t>TASK</t>
        </is>
      </c>
      <c r="C28" s="106" t="inlineStr">
        <is>
          <t>MÔ TẢ</t>
        </is>
      </c>
      <c r="D28" s="106" t="inlineStr">
        <is>
          <t>TRẠNG THÁI</t>
        </is>
      </c>
      <c r="E28" s="106" t="inlineStr">
        <is>
          <t>KẾT QUẢ</t>
        </is>
      </c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</row>
    <row r="29" ht="300" customHeight="1" s="149">
      <c r="A29" s="107" t="n">
        <v>1</v>
      </c>
      <c r="B29" s="108" t="inlineStr">
        <is>
          <t>Liên hệ CSKH Data "Win Back Pool'</t>
        </is>
      </c>
      <c r="C29" s="108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8" t="inlineStr">
        <is>
          <t>Đang thực hiện</t>
        </is>
      </c>
      <c r="E29" s="109" t="inlineStr">
        <is>
          <t xml:space="preserve">Theo chỉ số win back hiện tại 954 khách =&gt; so với baseline trung bình thì đang không thay đổi nhiều </t>
        </is>
      </c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</row>
    <row r="30" ht="90" customHeight="1" s="149">
      <c r="A30" s="107" t="n">
        <v>2</v>
      </c>
      <c r="B30" s="108" t="inlineStr">
        <is>
          <t>Build Plan LOYATY triển khai Quý 3/2026</t>
        </is>
      </c>
      <c r="C30" s="108" t="inlineStr">
        <is>
          <t>- Xây dựng cơ cấu chương trình Loyaty
- Setup testing trên Nhanh,vn 
- Xây dựng cơ cấu bộ quà tặng</t>
        </is>
      </c>
      <c r="D30" s="108" t="inlineStr">
        <is>
          <t>Đang thực hiện</t>
        </is>
      </c>
      <c r="E30" s="109" t="n">
        <v>0.8</v>
      </c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</row>
    <row r="31" ht="135" customHeight="1" s="149">
      <c r="A31" s="107" t="n">
        <v>3</v>
      </c>
      <c r="B31" s="108" t="inlineStr">
        <is>
          <t>Điều chỉnh lại chính sách khuyến mãi</t>
        </is>
      </c>
      <c r="C31" s="108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8" t="inlineStr">
        <is>
          <t xml:space="preserve">Đã thực hiện </t>
        </is>
      </c>
      <c r="E31" s="109" t="n">
        <v>1</v>
      </c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</row>
    <row r="32" ht="150" customHeight="1" s="149">
      <c r="A32" s="107" t="n">
        <v>4</v>
      </c>
      <c r="B32" s="108" t="inlineStr">
        <is>
          <t>[QUAN TRỌNG] Testing học bộ tài liệu sản phẩm để triển khai đồng loạt đội ngũ</t>
        </is>
      </c>
      <c r="C32" s="108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8" t="inlineStr">
        <is>
          <t>Đang thực hiện</t>
        </is>
      </c>
      <c r="E32" s="109" t="n">
        <v>0.85</v>
      </c>
      <c r="F32" s="110" t="inlineStr">
        <is>
          <t xml:space="preserve">Đây là công việc ưu tiên tuần vừa rồi. </t>
        </is>
      </c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</row>
    <row r="33" ht="45" customHeight="1" s="149">
      <c r="A33" s="107" t="n">
        <v>5</v>
      </c>
      <c r="B33" s="108" t="inlineStr">
        <is>
          <t>Team lead báo cáo doanh thu các chỉ số 5 way mỗi tối. Có vấn đề team interview ngay vào sáng hôm sau để cải thiện</t>
        </is>
      </c>
      <c r="C33" s="108" t="n"/>
      <c r="D33" s="108" t="inlineStr">
        <is>
          <t>Đang thực hiện mỗi ngày</t>
        </is>
      </c>
      <c r="E33" s="108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</row>
    <row r="34" ht="90" customHeight="1" s="149">
      <c r="A34" s="107" t="n">
        <v>6</v>
      </c>
      <c r="B34" s="108" t="inlineStr">
        <is>
          <t>Thông báo các bên bán hàng, mkt về thông tin chuyển đổi hướng tư vấn.</t>
        </is>
      </c>
      <c r="C34" s="108" t="inlineStr">
        <is>
          <t>Lens 3T14H và 3T10H sẽ thay đổi hướng tư vấn. Dòng lens 3T14H sẽ không nhập hàng về nữa.</t>
        </is>
      </c>
      <c r="D34" s="108" t="inlineStr">
        <is>
          <t>Đang soạn thảo nội dung chuẩn bị triển khai cho nhóm manager</t>
        </is>
      </c>
      <c r="E34" s="108" t="inlineStr">
        <is>
          <t xml:space="preserve">Dự kiến 4/7  public trong tư vấn </t>
        </is>
      </c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</row>
    <row r="35" ht="16.5" customHeight="1" s="149">
      <c r="A35" s="160" t="inlineStr">
        <is>
          <t>1 SỐ VẤN ĐỀ ẢNH HƯỜNG HIỆU SUẤT • THÁNG 6/2026 • CARASE FB &amp; STORE</t>
        </is>
      </c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61" t="n"/>
      <c r="M35" s="110" t="n"/>
      <c r="N35" s="110" t="n"/>
      <c r="O35" s="110" t="n"/>
      <c r="P35" s="110" t="n"/>
      <c r="Q35" s="110" t="n"/>
      <c r="R35" s="110" t="n"/>
      <c r="S35" s="110" t="n"/>
      <c r="T35" s="110" t="n"/>
    </row>
    <row r="36" ht="30" customHeight="1" s="149">
      <c r="A36" s="107" t="inlineStr">
        <is>
          <t>STT</t>
        </is>
      </c>
      <c r="B36" s="108" t="inlineStr">
        <is>
          <t>LOẠI VẤN ĐỀ</t>
        </is>
      </c>
      <c r="C36" s="108" t="inlineStr">
        <is>
          <t>CHI TIẾT VẤN ĐỀ</t>
        </is>
      </c>
      <c r="D36" s="108" t="inlineStr">
        <is>
          <t>HƯỚNG GIẢI QUYẾT</t>
        </is>
      </c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</row>
    <row r="37" ht="195" customHeight="1" s="149">
      <c r="A37" s="107" t="n">
        <v>1</v>
      </c>
      <c r="B37" s="108" t="n"/>
      <c r="C37" s="108" t="n"/>
      <c r="D37" s="108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</row>
    <row r="38" ht="105" customHeight="1" s="149">
      <c r="A38" s="107" t="n">
        <v>2</v>
      </c>
      <c r="B38" s="108" t="n"/>
      <c r="C38" s="108" t="n"/>
      <c r="D38" s="108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</row>
    <row r="39" ht="18.75" customHeight="1" s="149">
      <c r="A39" s="111" t="n">
        <v>3</v>
      </c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</row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1214990084</v>
      </c>
      <c r="D5" s="68" t="n"/>
      <c r="E5" s="68" t="n"/>
      <c r="F5" s="68" t="n"/>
      <c r="G5" s="69" t="n">
        <v>343229305</v>
      </c>
      <c r="H5" s="69" t="n">
        <v>169214438</v>
      </c>
      <c r="I5" s="69" t="n">
        <v>139782649</v>
      </c>
      <c r="J5" s="68" t="n"/>
      <c r="K5" s="68" t="n"/>
      <c r="L5" s="68" t="n"/>
      <c r="M5" s="70" t="n">
        <v>652226392</v>
      </c>
      <c r="N5" s="70" t="n">
        <v>1867216476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46204</v>
      </c>
      <c r="B6" s="74" t="inlineStr">
        <is>
          <t>T4</t>
        </is>
      </c>
      <c r="C6" s="75" t="n">
        <v>41816554</v>
      </c>
      <c r="D6" s="75" t="n">
        <v>98</v>
      </c>
      <c r="E6" s="75" t="n"/>
      <c r="F6" s="75" t="n"/>
      <c r="G6" s="75" t="n">
        <v>5255003</v>
      </c>
      <c r="H6" s="75" t="n">
        <v>4262751</v>
      </c>
      <c r="I6" s="75" t="n">
        <v>5003500</v>
      </c>
      <c r="J6" s="75" t="n">
        <v>42</v>
      </c>
      <c r="K6" s="75" t="n">
        <v>1382857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46205</v>
      </c>
      <c r="B7" s="74" t="inlineStr">
        <is>
          <t>T5</t>
        </is>
      </c>
      <c r="C7" s="75" t="n">
        <v>38248053</v>
      </c>
      <c r="D7" s="75" t="n">
        <v>88</v>
      </c>
      <c r="E7" s="75" t="n"/>
      <c r="F7" s="75" t="n"/>
      <c r="G7" s="75" t="n">
        <v>9476011</v>
      </c>
      <c r="H7" s="75" t="n">
        <v>5529501</v>
      </c>
      <c r="I7" s="75" t="n">
        <v>4494505</v>
      </c>
      <c r="J7" s="75" t="n">
        <v>57</v>
      </c>
      <c r="K7" s="75" t="n">
        <v>200000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46206</v>
      </c>
      <c r="B8" s="74" t="inlineStr">
        <is>
          <t>T6</t>
        </is>
      </c>
      <c r="C8" s="75" t="n">
        <v>49557375</v>
      </c>
      <c r="D8" s="75" t="n">
        <v>117</v>
      </c>
      <c r="E8" s="75" t="n"/>
      <c r="F8" s="75" t="n"/>
      <c r="G8" s="75" t="n">
        <v>9565500</v>
      </c>
      <c r="H8" s="75" t="n">
        <v>4396003</v>
      </c>
      <c r="I8" s="75" t="n">
        <v>4959521</v>
      </c>
      <c r="J8" s="75" t="n">
        <v>62</v>
      </c>
      <c r="K8" s="75" t="n">
        <v>1076000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7" t="n">
        <v>46207</v>
      </c>
      <c r="B9" s="78" t="inlineStr">
        <is>
          <t>T7</t>
        </is>
      </c>
      <c r="C9" s="75" t="n">
        <v>39025533</v>
      </c>
      <c r="D9" s="75" t="n">
        <v>96</v>
      </c>
      <c r="E9" s="75" t="n"/>
      <c r="F9" s="75" t="n"/>
      <c r="G9" s="75" t="n">
        <v>6833004</v>
      </c>
      <c r="H9" s="75" t="n">
        <v>6019997</v>
      </c>
      <c r="I9" s="75" t="n">
        <v>3574999</v>
      </c>
      <c r="J9" s="75" t="n">
        <v>61</v>
      </c>
      <c r="K9" s="75" t="n">
        <v>1188800</v>
      </c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46208</v>
      </c>
      <c r="B10" s="78" t="inlineStr">
        <is>
          <t>CN</t>
        </is>
      </c>
      <c r="C10" s="75" t="n">
        <v>27398083</v>
      </c>
      <c r="D10" s="75" t="n">
        <v>66</v>
      </c>
      <c r="E10" s="75" t="n"/>
      <c r="F10" s="75" t="n"/>
      <c r="G10" s="75" t="n">
        <v>6461003</v>
      </c>
      <c r="H10" s="75" t="n">
        <v>9026495</v>
      </c>
      <c r="I10" s="75" t="n">
        <v>4521251</v>
      </c>
      <c r="J10" s="75" t="n">
        <v>57</v>
      </c>
      <c r="K10" s="75" t="n">
        <v>1487482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46209</v>
      </c>
      <c r="B11" s="74" t="inlineStr">
        <is>
          <t>T2</t>
        </is>
      </c>
      <c r="C11" s="75" t="n">
        <v>41043885</v>
      </c>
      <c r="D11" s="75" t="n">
        <v>83</v>
      </c>
      <c r="E11" s="75" t="n"/>
      <c r="F11" s="75" t="n"/>
      <c r="G11" s="75" t="n">
        <v>7666010</v>
      </c>
      <c r="H11" s="75" t="n">
        <v>2705002</v>
      </c>
      <c r="I11" s="75" t="n">
        <v>2308504</v>
      </c>
      <c r="J11" s="75" t="n">
        <v>42</v>
      </c>
      <c r="K11" s="75" t="n">
        <v>5240999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46210</v>
      </c>
      <c r="B12" s="74" t="inlineStr">
        <is>
          <t>T3</t>
        </is>
      </c>
      <c r="C12" s="75" t="n">
        <v>25061535</v>
      </c>
      <c r="D12" s="75" t="n">
        <v>69</v>
      </c>
      <c r="E12" s="75" t="n"/>
      <c r="F12" s="75" t="n"/>
      <c r="G12" s="75" t="n">
        <v>7050508</v>
      </c>
      <c r="H12" s="75" t="n">
        <v>1835500</v>
      </c>
      <c r="I12" s="75" t="n">
        <v>4549001</v>
      </c>
      <c r="J12" s="75" t="n">
        <v>48</v>
      </c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46211</v>
      </c>
      <c r="B13" s="74" t="inlineStr">
        <is>
          <t>T4</t>
        </is>
      </c>
      <c r="C13" s="75" t="n">
        <v>43729563</v>
      </c>
      <c r="D13" s="75" t="n">
        <v>107</v>
      </c>
      <c r="E13" s="75" t="n"/>
      <c r="F13" s="75" t="n"/>
      <c r="G13" s="75" t="n">
        <v>9457256</v>
      </c>
      <c r="H13" s="75" t="n">
        <v>5298505</v>
      </c>
      <c r="I13" s="75" t="n">
        <v>3436998</v>
      </c>
      <c r="J13" s="75" t="n">
        <v>62</v>
      </c>
      <c r="K13" s="75" t="n">
        <v>1828572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46212</v>
      </c>
      <c r="B14" s="74" t="inlineStr">
        <is>
          <t>T5</t>
        </is>
      </c>
      <c r="C14" s="75" t="n">
        <v>35047269</v>
      </c>
      <c r="D14" s="75" t="n">
        <v>77</v>
      </c>
      <c r="E14" s="75" t="n"/>
      <c r="F14" s="75" t="n"/>
      <c r="G14" s="75" t="n">
        <v>9945007</v>
      </c>
      <c r="H14" s="75" t="n">
        <v>2135001</v>
      </c>
      <c r="I14" s="75" t="n">
        <v>2569001</v>
      </c>
      <c r="J14" s="75" t="n">
        <v>50</v>
      </c>
      <c r="K14" s="75" t="n">
        <v>868800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46213</v>
      </c>
      <c r="B15" s="74" t="inlineStr">
        <is>
          <t>T6</t>
        </is>
      </c>
      <c r="C15" s="75" t="n">
        <v>44784589</v>
      </c>
      <c r="D15" s="75" t="n">
        <v>97</v>
      </c>
      <c r="E15" s="75" t="n"/>
      <c r="F15" s="75" t="n"/>
      <c r="G15" s="75" t="n">
        <v>8523678</v>
      </c>
      <c r="H15" s="75" t="n">
        <v>6983754</v>
      </c>
      <c r="I15" s="75" t="n">
        <v>7198000</v>
      </c>
      <c r="J15" s="75" t="n">
        <v>73</v>
      </c>
      <c r="K15" s="75" t="n">
        <v>4473081</v>
      </c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7" t="n">
        <v>46214</v>
      </c>
      <c r="B16" s="78" t="inlineStr">
        <is>
          <t>T7</t>
        </is>
      </c>
      <c r="C16" s="75" t="n">
        <v>37429785</v>
      </c>
      <c r="D16" s="75" t="n">
        <v>102</v>
      </c>
      <c r="E16" s="75" t="n"/>
      <c r="F16" s="75" t="n"/>
      <c r="G16" s="75" t="n">
        <v>10539998</v>
      </c>
      <c r="H16" s="75" t="n">
        <v>7112501</v>
      </c>
      <c r="I16" s="75" t="n">
        <v>6608504</v>
      </c>
      <c r="J16" s="75" t="n">
        <v>79</v>
      </c>
      <c r="K16" s="75" t="n">
        <v>1162000</v>
      </c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46215</v>
      </c>
      <c r="B17" s="78" t="inlineStr">
        <is>
          <t>CN</t>
        </is>
      </c>
      <c r="C17" s="75" t="n">
        <v>24101032</v>
      </c>
      <c r="D17" s="75" t="n">
        <v>78</v>
      </c>
      <c r="E17" s="75" t="n"/>
      <c r="F17" s="75" t="n"/>
      <c r="G17" s="75" t="n">
        <v>8568008</v>
      </c>
      <c r="H17" s="75" t="n">
        <v>5877003</v>
      </c>
      <c r="I17" s="75" t="n">
        <v>3866003</v>
      </c>
      <c r="J17" s="75" t="n">
        <v>59</v>
      </c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46216</v>
      </c>
      <c r="B18" s="74" t="inlineStr">
        <is>
          <t>T2</t>
        </is>
      </c>
      <c r="C18" s="75" t="n">
        <v>43339246</v>
      </c>
      <c r="D18" s="75" t="n">
        <v>100</v>
      </c>
      <c r="E18" s="75" t="n"/>
      <c r="F18" s="75" t="n"/>
      <c r="G18" s="75" t="n">
        <v>6566006</v>
      </c>
      <c r="H18" s="75" t="n">
        <v>3976003</v>
      </c>
      <c r="I18" s="75" t="n">
        <v>1930002</v>
      </c>
      <c r="J18" s="75" t="n">
        <v>39</v>
      </c>
      <c r="K18" s="75" t="n">
        <v>1547800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46217</v>
      </c>
      <c r="B19" s="74" t="inlineStr">
        <is>
          <t>T3</t>
        </is>
      </c>
      <c r="C19" s="75" t="n">
        <v>33734818</v>
      </c>
      <c r="D19" s="75" t="n">
        <v>89</v>
      </c>
      <c r="E19" s="75" t="n"/>
      <c r="F19" s="75" t="n"/>
      <c r="G19" s="75" t="n">
        <v>12829507</v>
      </c>
      <c r="H19" s="75" t="n">
        <v>3528750</v>
      </c>
      <c r="I19" s="75" t="n">
        <v>3605000</v>
      </c>
      <c r="J19" s="75" t="n">
        <v>59</v>
      </c>
      <c r="K19" s="75" t="n">
        <v>200000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46218</v>
      </c>
      <c r="B20" s="74" t="inlineStr">
        <is>
          <t>T4</t>
        </is>
      </c>
      <c r="C20" s="75" t="n">
        <v>38150799</v>
      </c>
      <c r="D20" s="75" t="n">
        <v>80</v>
      </c>
      <c r="E20" s="75" t="n"/>
      <c r="F20" s="75" t="n"/>
      <c r="G20" s="75" t="n">
        <v>5518496</v>
      </c>
      <c r="H20" s="75" t="n">
        <v>4747506</v>
      </c>
      <c r="I20" s="75" t="n">
        <v>3236498</v>
      </c>
      <c r="J20" s="75" t="n">
        <v>42</v>
      </c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46219</v>
      </c>
      <c r="B21" s="74" t="inlineStr">
        <is>
          <t>T5</t>
        </is>
      </c>
      <c r="C21" s="75" t="n">
        <v>39385519</v>
      </c>
      <c r="D21" s="75" t="n">
        <v>88</v>
      </c>
      <c r="E21" s="75" t="n"/>
      <c r="F21" s="75" t="n"/>
      <c r="G21" s="75" t="n">
        <v>10004741</v>
      </c>
      <c r="H21" s="75" t="n">
        <v>2615001</v>
      </c>
      <c r="I21" s="75" t="n">
        <v>4320000</v>
      </c>
      <c r="J21" s="75" t="n">
        <v>58</v>
      </c>
      <c r="K21" s="75" t="n">
        <v>1028800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46220</v>
      </c>
      <c r="B22" s="74" t="inlineStr">
        <is>
          <t>T6</t>
        </is>
      </c>
      <c r="C22" s="75" t="n">
        <v>46753158</v>
      </c>
      <c r="D22" s="75" t="n">
        <v>103</v>
      </c>
      <c r="E22" s="75" t="n"/>
      <c r="F22" s="75" t="n"/>
      <c r="G22" s="75" t="n">
        <v>8923000</v>
      </c>
      <c r="H22" s="75" t="n">
        <v>2255001</v>
      </c>
      <c r="I22" s="75" t="n">
        <v>5365199</v>
      </c>
      <c r="J22" s="75" t="n">
        <v>63</v>
      </c>
      <c r="K22" s="75" t="n">
        <v>1043500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7" t="n">
        <v>46221</v>
      </c>
      <c r="B23" s="78" t="inlineStr">
        <is>
          <t>T7</t>
        </is>
      </c>
      <c r="C23" s="75" t="n">
        <v>40097175</v>
      </c>
      <c r="D23" s="75" t="n">
        <v>102</v>
      </c>
      <c r="E23" s="75" t="n"/>
      <c r="F23" s="75" t="n"/>
      <c r="G23" s="75" t="n">
        <v>5977296</v>
      </c>
      <c r="H23" s="75" t="n">
        <v>5832004</v>
      </c>
      <c r="I23" s="75" t="n">
        <v>7530007</v>
      </c>
      <c r="J23" s="75" t="n">
        <v>66</v>
      </c>
      <c r="K23" s="75" t="n">
        <v>1142400</v>
      </c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46222</v>
      </c>
      <c r="B24" s="78" t="inlineStr">
        <is>
          <t>CN</t>
        </is>
      </c>
      <c r="C24" s="75" t="n">
        <v>24655035</v>
      </c>
      <c r="D24" s="75" t="n">
        <v>68</v>
      </c>
      <c r="E24" s="75" t="n"/>
      <c r="F24" s="75" t="n"/>
      <c r="G24" s="75" t="n">
        <v>11550771</v>
      </c>
      <c r="H24" s="75" t="n">
        <v>2669997</v>
      </c>
      <c r="I24" s="75" t="n">
        <v>2964998</v>
      </c>
      <c r="J24" s="75" t="n">
        <v>52</v>
      </c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46223</v>
      </c>
      <c r="B25" s="74" t="inlineStr">
        <is>
          <t>T2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46224</v>
      </c>
      <c r="B26" s="74" t="inlineStr">
        <is>
          <t>T3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46225</v>
      </c>
      <c r="B27" s="74" t="inlineStr">
        <is>
          <t>T4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46226</v>
      </c>
      <c r="B28" s="74" t="inlineStr">
        <is>
          <t>T5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46227</v>
      </c>
      <c r="B29" s="74" t="inlineStr">
        <is>
          <t>T6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7" t="n">
        <v>46228</v>
      </c>
      <c r="B30" s="78" t="inlineStr">
        <is>
          <t>T7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46229</v>
      </c>
      <c r="B31" s="78" t="inlineStr">
        <is>
          <t>CN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46230</v>
      </c>
      <c r="B32" s="74" t="inlineStr">
        <is>
          <t>T2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46231</v>
      </c>
      <c r="B33" s="74" t="inlineStr">
        <is>
          <t>T3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46232</v>
      </c>
      <c r="B34" s="74" t="inlineStr">
        <is>
          <t>T4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46233</v>
      </c>
      <c r="B35" s="74" t="inlineStr">
        <is>
          <t>T5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46234</v>
      </c>
      <c r="B36" s="74" t="inlineStr">
        <is>
          <t>T6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L25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7/2026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1/7–7/7</t>
        </is>
      </c>
      <c r="C4" s="81">
        <f>IFERROR(SUM('📅 DAILY T7'!C6:C12),0)</f>
        <v/>
      </c>
      <c r="D4" s="81">
        <f>IFERROR(SUM('📅 DAILY T7'!D6:D12),0)</f>
        <v/>
      </c>
      <c r="E4" s="81">
        <f>IFERROR(SUM('📅 DAILY T7'!C6:C12)/SUM('📅 DAILY T7'!D6:D12),"")</f>
        <v/>
      </c>
      <c r="F4" s="82">
        <f>IFERROR(SUM('📅 DAILY T7'!F6:F12),0)</f>
        <v/>
      </c>
      <c r="G4" s="83">
        <f>IFERROR(SUM('📅 DAILY T7'!C6:C12)/SUM('📅 DAILY T7'!F6:F12),"")</f>
        <v/>
      </c>
      <c r="H4" s="84">
        <f>IFERROR(SUM('📅 DAILY T7'!M6:M12),0)</f>
        <v/>
      </c>
      <c r="I4" s="85">
        <f>IFERROR(SUM('📅 DAILY T7'!N6:N12),0)</f>
        <v/>
      </c>
      <c r="J4" s="86">
        <f>IFERROR(SUM('📅 DAILY T7'!C6:C12)/1277560078,"")</f>
        <v/>
      </c>
      <c r="K4" s="86">
        <f>IFERROR(SUM('📅 DAILY T7'!M6:M12)/721910506,"")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8/7–14/7</t>
        </is>
      </c>
      <c r="C5" s="81">
        <f>IFERROR(SUM('📅 DAILY T7'!C13:C19),0)</f>
        <v/>
      </c>
      <c r="D5" s="81">
        <f>IFERROR(SUM('📅 DAILY T7'!D13:D19),0)</f>
        <v/>
      </c>
      <c r="E5" s="81">
        <f>IFERROR(SUM('📅 DAILY T7'!C13:C19)/SUM('📅 DAILY T7'!D13:D19),"")</f>
        <v/>
      </c>
      <c r="F5" s="82">
        <f>IFERROR(SUM('📅 DAILY T7'!F13:F19),0)</f>
        <v/>
      </c>
      <c r="G5" s="83">
        <f>IFERROR(SUM('📅 DAILY T7'!C13:C19)/SUM('📅 DAILY T7'!F13:F19),"")</f>
        <v/>
      </c>
      <c r="H5" s="84">
        <f>IFERROR(SUM('📅 DAILY T7'!M13:M19),0)</f>
        <v/>
      </c>
      <c r="I5" s="85">
        <f>IFERROR(SUM('📅 DAILY T7'!N13:N19),0)</f>
        <v/>
      </c>
      <c r="J5" s="86">
        <f>IFERROR(SUM('📅 DAILY T7'!C6:C19)/1277560078,"")</f>
        <v/>
      </c>
      <c r="K5" s="86">
        <f>IFERROR(SUM('📅 DAILY T7'!M6:M19)/721910506,"")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15/7–21/7</t>
        </is>
      </c>
      <c r="C6" s="81">
        <f>IFERROR(SUM('📅 DAILY T7'!C20:C26),0)</f>
        <v/>
      </c>
      <c r="D6" s="81">
        <f>IFERROR(SUM('📅 DAILY T7'!D20:D26),0)</f>
        <v/>
      </c>
      <c r="E6" s="81">
        <f>IFERROR(SUM('📅 DAILY T7'!C20:C26)/SUM('📅 DAILY T7'!D20:D26),"")</f>
        <v/>
      </c>
      <c r="F6" s="82">
        <f>IFERROR(SUM('📅 DAILY T7'!F20:F26),0)</f>
        <v/>
      </c>
      <c r="G6" s="83">
        <f>IFERROR(SUM('📅 DAILY T7'!C20:C26)/SUM('📅 DAILY T7'!F20:F26),"")</f>
        <v/>
      </c>
      <c r="H6" s="84">
        <f>IFERROR(SUM('📅 DAILY T7'!M20:M26),0)</f>
        <v/>
      </c>
      <c r="I6" s="85">
        <f>IFERROR(SUM('📅 DAILY T7'!N20:N26),0)</f>
        <v/>
      </c>
      <c r="J6" s="86">
        <f>IFERROR(SUM('📅 DAILY T7'!C6:C26)/1277560078,"")</f>
        <v/>
      </c>
      <c r="K6" s="86">
        <f>IFERROR(SUM('📅 DAILY T7'!M6:M26)/721910506,"")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22/7–28/7</t>
        </is>
      </c>
      <c r="C7" s="81">
        <f>IFERROR(SUM('📅 DAILY T7'!C27:C33),0)</f>
        <v/>
      </c>
      <c r="D7" s="81">
        <f>IFERROR(SUM('📅 DAILY T7'!D27:D33),0)</f>
        <v/>
      </c>
      <c r="E7" s="81">
        <f>IFERROR(SUM('📅 DAILY T7'!C27:C33)/SUM('📅 DAILY T7'!D27:D33),"")</f>
        <v/>
      </c>
      <c r="F7" s="82">
        <f>IFERROR(SUM('📅 DAILY T7'!F27:F33),0)</f>
        <v/>
      </c>
      <c r="G7" s="83">
        <f>IFERROR(SUM('📅 DAILY T7'!C27:C33)/SUM('📅 DAILY T7'!F27:F33),"")</f>
        <v/>
      </c>
      <c r="H7" s="84">
        <f>IFERROR(SUM('📅 DAILY T7'!M27:M33),0)</f>
        <v/>
      </c>
      <c r="I7" s="85">
        <f>IFERROR(SUM('📅 DAILY T7'!N27:N33),0)</f>
        <v/>
      </c>
      <c r="J7" s="86">
        <f>IFERROR(SUM('📅 DAILY T7'!C6:C33)/1277560078,"")</f>
        <v/>
      </c>
      <c r="K7" s="86">
        <f>IFERROR(SUM('📅 DAILY T7'!M6:M33)/721910506,"")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29/7–31/7</t>
        </is>
      </c>
      <c r="C8" s="81">
        <f>IFERROR(SUM('📅 DAILY T7'!C34:C36),0)</f>
        <v/>
      </c>
      <c r="D8" s="81">
        <f>IFERROR(SUM('📅 DAILY T7'!D34:D36),0)</f>
        <v/>
      </c>
      <c r="E8" s="81">
        <f>IFERROR(SUM('📅 DAILY T7'!C34:C36)/SUM('📅 DAILY T7'!D34:D36),"")</f>
        <v/>
      </c>
      <c r="F8" s="82">
        <f>IFERROR(SUM('📅 DAILY T7'!F34:F36),0)</f>
        <v/>
      </c>
      <c r="G8" s="83">
        <f>IFERROR(SUM('📅 DAILY T7'!C34:C36)/SUM('📅 DAILY T7'!F34:F36),"")</f>
        <v/>
      </c>
      <c r="H8" s="84">
        <f>IFERROR(SUM('📅 DAILY T7'!M34:M36),0)</f>
        <v/>
      </c>
      <c r="I8" s="85">
        <f>IFERROR(SUM('📅 DAILY T7'!N34:N36),0)</f>
        <v/>
      </c>
      <c r="J8" s="86">
        <f>IFERROR(SUM('📅 DAILY T7'!C6:C36)/1277560078,"")</f>
        <v/>
      </c>
      <c r="K8" s="86">
        <f>IFERROR(SUM('📅 DAILY T7'!M6:M36)/721910506,"")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1/7–31/7</t>
        </is>
      </c>
      <c r="C21" s="99">
        <f>IFERROR(SUM('📅 DAILY T7'!C6:C36),0)</f>
        <v/>
      </c>
      <c r="D21" s="99">
        <f>IFERROR(SUM('📅 DAILY T7'!D6:D36),0)</f>
        <v/>
      </c>
      <c r="E21" s="99">
        <f>IFERROR(SUM('📅 DAILY T7'!C6:C36)/SUM('📅 DAILY T7'!D6:D36),"")</f>
        <v/>
      </c>
      <c r="F21" s="99">
        <f>IFERROR(SUM('📅 DAILY T7'!F6:F36),0)</f>
        <v/>
      </c>
      <c r="G21" s="100">
        <f>IFERROR(SUM('📅 DAILY T7'!C6:C36)/SUM('📅 DAILY T7'!F6:F36),"")</f>
        <v/>
      </c>
      <c r="H21" s="99">
        <f>IFERROR(SUM('📅 DAILY T7'!M6:M36),0)</f>
        <v/>
      </c>
      <c r="I21" s="99">
        <f>IFERROR(SUM('📅 DAILY T7'!N6:N36),0)</f>
        <v/>
      </c>
      <c r="J21" s="101">
        <f>IFERROR(SUM('📅 DAILY T7'!C6:C36)/1277560078,"")</f>
        <v/>
      </c>
      <c r="K21" s="101">
        <f>IFERROR(SUM('📅 DAILY T7'!M6:M36)/721910506,"")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1214990084</v>
      </c>
      <c r="D23" s="68" t="n"/>
      <c r="E23" s="68" t="n"/>
      <c r="F23" s="68" t="n"/>
      <c r="G23" s="68" t="n"/>
      <c r="H23" s="103" t="n">
        <v>652226392</v>
      </c>
      <c r="I23" s="104" t="n">
        <v>1867216476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1221751028</v>
      </c>
      <c r="D5" s="68" t="n"/>
      <c r="E5" s="68" t="n"/>
      <c r="F5" s="68" t="n"/>
      <c r="G5" s="69" t="n">
        <v>345139241</v>
      </c>
      <c r="H5" s="69" t="n">
        <v>170156050</v>
      </c>
      <c r="I5" s="69" t="n">
        <v>140560485</v>
      </c>
      <c r="J5" s="68" t="n"/>
      <c r="K5" s="68" t="n"/>
      <c r="L5" s="68" t="n"/>
      <c r="M5" s="70" t="n">
        <v>655855776</v>
      </c>
      <c r="N5" s="70" t="n">
        <v>1877606804</v>
      </c>
      <c r="O5" s="71" t="n">
        <v>450000</v>
      </c>
      <c r="P5" s="71" t="n">
        <v>330000</v>
      </c>
      <c r="Q5" s="72" t="n"/>
    </row>
    <row r="6" ht="21.75" customHeight="1" s="149">
      <c r="A6" s="77" t="n">
        <v>46235</v>
      </c>
      <c r="B6" s="78" t="inlineStr">
        <is>
          <t>T7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7" t="n">
        <v>46236</v>
      </c>
      <c r="B7" s="78" t="inlineStr">
        <is>
          <t>CN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46237</v>
      </c>
      <c r="B8" s="74" t="inlineStr">
        <is>
          <t>T2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46238</v>
      </c>
      <c r="B9" s="74" t="inlineStr">
        <is>
          <t>T3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3" t="n">
        <v>46239</v>
      </c>
      <c r="B10" s="74" t="inlineStr">
        <is>
          <t>T4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3" t="n">
        <v>46240</v>
      </c>
      <c r="B11" s="74" t="inlineStr">
        <is>
          <t>T5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46241</v>
      </c>
      <c r="B12" s="74" t="inlineStr">
        <is>
          <t>T6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7" t="n">
        <v>46242</v>
      </c>
      <c r="B13" s="78" t="inlineStr">
        <is>
          <t>T7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7" t="n">
        <v>46243</v>
      </c>
      <c r="B14" s="78" t="inlineStr">
        <is>
          <t>CN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46244</v>
      </c>
      <c r="B15" s="74" t="inlineStr">
        <is>
          <t>T2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46245</v>
      </c>
      <c r="B16" s="74" t="inlineStr">
        <is>
          <t>T3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3" t="n">
        <v>46246</v>
      </c>
      <c r="B17" s="74" t="inlineStr">
        <is>
          <t>T4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3" t="n">
        <v>46247</v>
      </c>
      <c r="B18" s="74" t="inlineStr">
        <is>
          <t>T5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46248</v>
      </c>
      <c r="B19" s="74" t="inlineStr">
        <is>
          <t>T6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7" t="n">
        <v>46249</v>
      </c>
      <c r="B20" s="78" t="inlineStr">
        <is>
          <t>T7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7" t="n">
        <v>46250</v>
      </c>
      <c r="B21" s="78" t="inlineStr">
        <is>
          <t>CN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46251</v>
      </c>
      <c r="B22" s="74" t="inlineStr">
        <is>
          <t>T2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46252</v>
      </c>
      <c r="B23" s="74" t="inlineStr">
        <is>
          <t>T3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3" t="n">
        <v>46253</v>
      </c>
      <c r="B24" s="74" t="inlineStr">
        <is>
          <t>T4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3" t="n">
        <v>46254</v>
      </c>
      <c r="B25" s="74" t="inlineStr">
        <is>
          <t>T5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46255</v>
      </c>
      <c r="B26" s="74" t="inlineStr">
        <is>
          <t>T6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7" t="n">
        <v>46256</v>
      </c>
      <c r="B27" s="78" t="inlineStr">
        <is>
          <t>T7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7" t="n">
        <v>46257</v>
      </c>
      <c r="B28" s="78" t="inlineStr">
        <is>
          <t>CN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46258</v>
      </c>
      <c r="B29" s="74" t="inlineStr">
        <is>
          <t>T2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46259</v>
      </c>
      <c r="B30" s="74" t="inlineStr">
        <is>
          <t>T3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3" t="n">
        <v>46260</v>
      </c>
      <c r="B31" s="74" t="inlineStr">
        <is>
          <t>T4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3" t="n">
        <v>46261</v>
      </c>
      <c r="B32" s="74" t="inlineStr">
        <is>
          <t>T5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46262</v>
      </c>
      <c r="B33" s="74" t="inlineStr">
        <is>
          <t>T6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7" t="n">
        <v>46263</v>
      </c>
      <c r="B34" s="78" t="inlineStr">
        <is>
          <t>T7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7" t="n">
        <v>46264</v>
      </c>
      <c r="B35" s="78" t="inlineStr">
        <is>
          <t>CN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49">
      <c r="A36" s="73" t="n">
        <v>46265</v>
      </c>
      <c r="B36" s="74" t="inlineStr">
        <is>
          <t>T2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8/2026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1/8–7/8</t>
        </is>
      </c>
      <c r="C4" s="81">
        <f>IFERROR(SUM('📅 DAILY T8'!C6:C12),0)</f>
        <v/>
      </c>
      <c r="D4" s="81">
        <f>IFERROR(SUM('📅 DAILY T8'!D6:D12),0)</f>
        <v/>
      </c>
      <c r="E4" s="81">
        <f>IFERROR(SUM('📅 DAILY T8'!C6:C12)/SUM('📅 DAILY T8'!D6:D12),"")</f>
        <v/>
      </c>
      <c r="F4" s="82">
        <f>IFERROR(SUM('📅 DAILY T8'!F6:F12),0)</f>
        <v/>
      </c>
      <c r="G4" s="83">
        <f>IFERROR(SUM('📅 DAILY T8'!C6:C12)/SUM('📅 DAILY T8'!F6:F12),"")</f>
        <v/>
      </c>
      <c r="H4" s="84">
        <f>IFERROR(SUM('📅 DAILY T8'!M6:M12),0)</f>
        <v/>
      </c>
      <c r="I4" s="85">
        <f>IFERROR(SUM('📅 DAILY T8'!N6:N12),0)</f>
        <v/>
      </c>
      <c r="J4" s="86">
        <f>IFERROR(SUM('📅 DAILY T8'!C6:C12)/1292244677,"")</f>
        <v/>
      </c>
      <c r="K4" s="86">
        <f>IFERROR(SUM('📅 DAILY T8'!M6:M12)/730208327,"")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8/8–14/8</t>
        </is>
      </c>
      <c r="C5" s="81">
        <f>IFERROR(SUM('📅 DAILY T8'!C13:C19),0)</f>
        <v/>
      </c>
      <c r="D5" s="81">
        <f>IFERROR(SUM('📅 DAILY T8'!D13:D19),0)</f>
        <v/>
      </c>
      <c r="E5" s="81">
        <f>IFERROR(SUM('📅 DAILY T8'!C13:C19)/SUM('📅 DAILY T8'!D13:D19),"")</f>
        <v/>
      </c>
      <c r="F5" s="82">
        <f>IFERROR(SUM('📅 DAILY T8'!F13:F19),0)</f>
        <v/>
      </c>
      <c r="G5" s="83">
        <f>IFERROR(SUM('📅 DAILY T8'!C13:C19)/SUM('📅 DAILY T8'!F13:F19),"")</f>
        <v/>
      </c>
      <c r="H5" s="84">
        <f>IFERROR(SUM('📅 DAILY T8'!M13:M19),0)</f>
        <v/>
      </c>
      <c r="I5" s="85">
        <f>IFERROR(SUM('📅 DAILY T8'!N13:N19),0)</f>
        <v/>
      </c>
      <c r="J5" s="86">
        <f>IFERROR(SUM('📅 DAILY T8'!C6:C19)/1292244677,"")</f>
        <v/>
      </c>
      <c r="K5" s="86">
        <f>IFERROR(SUM('📅 DAILY T8'!M6:M19)/730208327,"")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15/8–21/8</t>
        </is>
      </c>
      <c r="C6" s="81">
        <f>IFERROR(SUM('📅 DAILY T8'!C20:C26),0)</f>
        <v/>
      </c>
      <c r="D6" s="81">
        <f>IFERROR(SUM('📅 DAILY T8'!D20:D26),0)</f>
        <v/>
      </c>
      <c r="E6" s="81">
        <f>IFERROR(SUM('📅 DAILY T8'!C20:C26)/SUM('📅 DAILY T8'!D20:D26),"")</f>
        <v/>
      </c>
      <c r="F6" s="82">
        <f>IFERROR(SUM('📅 DAILY T8'!F20:F26),0)</f>
        <v/>
      </c>
      <c r="G6" s="83">
        <f>IFERROR(SUM('📅 DAILY T8'!C20:C26)/SUM('📅 DAILY T8'!F20:F26),"")</f>
        <v/>
      </c>
      <c r="H6" s="84">
        <f>IFERROR(SUM('📅 DAILY T8'!M20:M26),0)</f>
        <v/>
      </c>
      <c r="I6" s="85">
        <f>IFERROR(SUM('📅 DAILY T8'!N20:N26),0)</f>
        <v/>
      </c>
      <c r="J6" s="86">
        <f>IFERROR(SUM('📅 DAILY T8'!C6:C26)/1292244677,"")</f>
        <v/>
      </c>
      <c r="K6" s="86">
        <f>IFERROR(SUM('📅 DAILY T8'!M6:M26)/730208327,"")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22/8–28/8</t>
        </is>
      </c>
      <c r="C7" s="81">
        <f>IFERROR(SUM('📅 DAILY T8'!C27:C33),0)</f>
        <v/>
      </c>
      <c r="D7" s="81">
        <f>IFERROR(SUM('📅 DAILY T8'!D27:D33),0)</f>
        <v/>
      </c>
      <c r="E7" s="81">
        <f>IFERROR(SUM('📅 DAILY T8'!C27:C33)/SUM('📅 DAILY T8'!D27:D33),"")</f>
        <v/>
      </c>
      <c r="F7" s="82">
        <f>IFERROR(SUM('📅 DAILY T8'!F27:F33),0)</f>
        <v/>
      </c>
      <c r="G7" s="83">
        <f>IFERROR(SUM('📅 DAILY T8'!C27:C33)/SUM('📅 DAILY T8'!F27:F33),"")</f>
        <v/>
      </c>
      <c r="H7" s="84">
        <f>IFERROR(SUM('📅 DAILY T8'!M27:M33),0)</f>
        <v/>
      </c>
      <c r="I7" s="85">
        <f>IFERROR(SUM('📅 DAILY T8'!N27:N33),0)</f>
        <v/>
      </c>
      <c r="J7" s="86">
        <f>IFERROR(SUM('📅 DAILY T8'!C6:C33)/1292244677,"")</f>
        <v/>
      </c>
      <c r="K7" s="86">
        <f>IFERROR(SUM('📅 DAILY T8'!M6:M33)/730208327,"")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29/8–31/8</t>
        </is>
      </c>
      <c r="C8" s="81">
        <f>IFERROR(SUM('📅 DAILY T8'!C34:C36),0)</f>
        <v/>
      </c>
      <c r="D8" s="81">
        <f>IFERROR(SUM('📅 DAILY T8'!D34:D36),0)</f>
        <v/>
      </c>
      <c r="E8" s="81">
        <f>IFERROR(SUM('📅 DAILY T8'!C34:C36)/SUM('📅 DAILY T8'!D34:D36),"")</f>
        <v/>
      </c>
      <c r="F8" s="82">
        <f>IFERROR(SUM('📅 DAILY T8'!F34:F36),0)</f>
        <v/>
      </c>
      <c r="G8" s="83">
        <f>IFERROR(SUM('📅 DAILY T8'!C34:C36)/SUM('📅 DAILY T8'!F34:F36),"")</f>
        <v/>
      </c>
      <c r="H8" s="84">
        <f>IFERROR(SUM('📅 DAILY T8'!M34:M36),0)</f>
        <v/>
      </c>
      <c r="I8" s="85">
        <f>IFERROR(SUM('📅 DAILY T8'!N34:N36),0)</f>
        <v/>
      </c>
      <c r="J8" s="86">
        <f>IFERROR(SUM('📅 DAILY T8'!C6:C36)/1292244677,"")</f>
        <v/>
      </c>
      <c r="K8" s="86">
        <f>IFERROR(SUM('📅 DAILY T8'!M6:M36)/730208327,"")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1/8–31/8</t>
        </is>
      </c>
      <c r="C21" s="99">
        <f>IFERROR(SUM('📅 DAILY T8'!C6:C36),0)</f>
        <v/>
      </c>
      <c r="D21" s="99">
        <f>IFERROR(SUM('📅 DAILY T8'!D6:D36),0)</f>
        <v/>
      </c>
      <c r="E21" s="99">
        <f>IFERROR(SUM('📅 DAILY T8'!C6:C36)/SUM('📅 DAILY T8'!D6:D36),"")</f>
        <v/>
      </c>
      <c r="F21" s="99">
        <f>IFERROR(SUM('📅 DAILY T8'!F6:F36),0)</f>
        <v/>
      </c>
      <c r="G21" s="100">
        <f>IFERROR(SUM('📅 DAILY T8'!C6:C36)/SUM('📅 DAILY T8'!F6:F36),"")</f>
        <v/>
      </c>
      <c r="H21" s="99">
        <f>IFERROR(SUM('📅 DAILY T8'!M6:M36),0)</f>
        <v/>
      </c>
      <c r="I21" s="99">
        <f>IFERROR(SUM('📅 DAILY T8'!N6:N36),0)</f>
        <v/>
      </c>
      <c r="J21" s="101">
        <f>IFERROR(SUM('📅 DAILY T8'!C6:C36)/1292244677,"")</f>
        <v/>
      </c>
      <c r="K21" s="101">
        <f>IFERROR(SUM('📅 DAILY T8'!M6:M36)/730208327,"")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1221751028</v>
      </c>
      <c r="D23" s="68" t="n"/>
      <c r="E23" s="68" t="n"/>
      <c r="F23" s="68" t="n"/>
      <c r="G23" s="68" t="n"/>
      <c r="H23" s="103" t="n">
        <v>655855776</v>
      </c>
      <c r="I23" s="104" t="n">
        <v>1877606804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49" min="1" max="1"/>
    <col width="6" customWidth="1" style="149" min="2" max="2"/>
    <col width="19" customWidth="1" style="149" min="3" max="3"/>
    <col width="11" customWidth="1" style="149" min="4" max="4"/>
    <col width="15" customWidth="1" style="149" min="5" max="5"/>
    <col width="17" customWidth="1" style="149" min="6" max="9"/>
    <col width="12" customWidth="1" style="149" min="10" max="10"/>
    <col width="16" customWidth="1" style="149" min="11" max="11"/>
    <col width="27" customWidth="1" style="149" min="12" max="12"/>
    <col width="18" customWidth="1" style="149" min="13" max="14"/>
    <col width="15" customWidth="1" style="149" min="15" max="16"/>
    <col width="12" customWidth="1" style="149" min="17" max="17"/>
    <col width="11" customWidth="1" style="149" min="18" max="20"/>
  </cols>
  <sheetData>
    <row r="1" ht="33" customHeight="1" s="149">
      <c r="A1" s="156" t="inlineStr">
        <is>
          <t>DAILY INPUT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</row>
    <row r="2" ht="21.75" customHeight="1" s="149">
      <c r="A2" s="142" t="inlineStr">
        <is>
          <t>🟡 Ô VÀNG = Team điền mỗi ngày  |  🟢 Ô XANH = Tự tính  |  Deadline 22:00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</row>
    <row r="3" ht="21.75" customHeight="1" s="149">
      <c r="A3" s="155" t="inlineStr">
        <is>
          <t>📅 THỜI GIAN</t>
        </is>
      </c>
      <c r="B3" s="136" t="n"/>
      <c r="C3" s="154" t="inlineStr">
        <is>
          <t>📱 FACEBOOK</t>
        </is>
      </c>
      <c r="D3" s="136" t="n"/>
      <c r="E3" s="157" t="inlineStr">
        <is>
          <t>📢 ADS</t>
        </is>
      </c>
      <c r="F3" s="136" t="n"/>
      <c r="G3" s="152" t="inlineStr">
        <is>
          <t>🏪 STORE</t>
        </is>
      </c>
      <c r="H3" s="136" t="n"/>
      <c r="I3" s="136" t="n"/>
      <c r="J3" s="136" t="n"/>
      <c r="K3" s="57" t="inlineStr">
        <is>
          <t>👓 O3</t>
        </is>
      </c>
      <c r="L3" s="58" t="inlineStr">
        <is>
          <t>📝</t>
        </is>
      </c>
      <c r="M3" s="151" t="inlineStr">
        <is>
          <t>📊 AUTO</t>
        </is>
      </c>
      <c r="N3" s="136" t="n"/>
      <c r="O3" s="151" t="inlineStr">
        <is>
          <t>📊 AUTO</t>
        </is>
      </c>
      <c r="P3" s="136" t="n"/>
      <c r="Q3" s="59" t="inlineStr">
        <is>
          <t>📊</t>
        </is>
      </c>
    </row>
    <row r="4" ht="36" customHeight="1" s="149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49">
      <c r="A5" s="153" t="inlineStr">
        <is>
          <t>TARGET/THÁNG</t>
        </is>
      </c>
      <c r="B5" s="136" t="n"/>
      <c r="C5" s="67" t="n">
        <v>1009097583</v>
      </c>
      <c r="D5" s="68" t="n"/>
      <c r="E5" s="68" t="n"/>
      <c r="F5" s="68" t="n"/>
      <c r="G5" s="69" t="n">
        <v>285065587</v>
      </c>
      <c r="H5" s="69" t="n">
        <v>140539321</v>
      </c>
      <c r="I5" s="69" t="n">
        <v>116095049</v>
      </c>
      <c r="J5" s="68" t="n"/>
      <c r="K5" s="68" t="n"/>
      <c r="L5" s="68" t="n"/>
      <c r="M5" s="70" t="n">
        <v>541699957</v>
      </c>
      <c r="N5" s="70" t="n">
        <v>1550797540</v>
      </c>
      <c r="O5" s="71" t="n">
        <v>450000</v>
      </c>
      <c r="P5" s="71" t="n">
        <v>330000</v>
      </c>
      <c r="Q5" s="72" t="n"/>
    </row>
    <row r="6" ht="21.75" customHeight="1" s="149">
      <c r="A6" s="73" t="n">
        <v>46266</v>
      </c>
      <c r="B6" s="74" t="inlineStr">
        <is>
          <t>T3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49">
      <c r="A7" s="73" t="n">
        <v>46267</v>
      </c>
      <c r="B7" s="74" t="inlineStr">
        <is>
          <t>T4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49">
      <c r="A8" s="73" t="n">
        <v>46268</v>
      </c>
      <c r="B8" s="74" t="inlineStr">
        <is>
          <t>T5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49">
      <c r="A9" s="73" t="n">
        <v>46269</v>
      </c>
      <c r="B9" s="74" t="inlineStr">
        <is>
          <t>T6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49">
      <c r="A10" s="77" t="n">
        <v>46270</v>
      </c>
      <c r="B10" s="78" t="inlineStr">
        <is>
          <t>T7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49">
      <c r="A11" s="77" t="n">
        <v>46271</v>
      </c>
      <c r="B11" s="78" t="inlineStr">
        <is>
          <t>CN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49">
      <c r="A12" s="73" t="n">
        <v>46272</v>
      </c>
      <c r="B12" s="74" t="inlineStr">
        <is>
          <t>T2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49">
      <c r="A13" s="73" t="n">
        <v>46273</v>
      </c>
      <c r="B13" s="74" t="inlineStr">
        <is>
          <t>T3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49">
      <c r="A14" s="73" t="n">
        <v>46274</v>
      </c>
      <c r="B14" s="74" t="inlineStr">
        <is>
          <t>T4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49">
      <c r="A15" s="73" t="n">
        <v>46275</v>
      </c>
      <c r="B15" s="74" t="inlineStr">
        <is>
          <t>T5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49">
      <c r="A16" s="73" t="n">
        <v>46276</v>
      </c>
      <c r="B16" s="74" t="inlineStr">
        <is>
          <t>T6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49">
      <c r="A17" s="77" t="n">
        <v>46277</v>
      </c>
      <c r="B17" s="78" t="inlineStr">
        <is>
          <t>T7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49">
      <c r="A18" s="77" t="n">
        <v>46278</v>
      </c>
      <c r="B18" s="78" t="inlineStr">
        <is>
          <t>CN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49">
      <c r="A19" s="73" t="n">
        <v>46279</v>
      </c>
      <c r="B19" s="74" t="inlineStr">
        <is>
          <t>T2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49">
      <c r="A20" s="73" t="n">
        <v>46280</v>
      </c>
      <c r="B20" s="74" t="inlineStr">
        <is>
          <t>T3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49">
      <c r="A21" s="73" t="n">
        <v>46281</v>
      </c>
      <c r="B21" s="74" t="inlineStr">
        <is>
          <t>T4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49">
      <c r="A22" s="73" t="n">
        <v>46282</v>
      </c>
      <c r="B22" s="74" t="inlineStr">
        <is>
          <t>T5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49">
      <c r="A23" s="73" t="n">
        <v>46283</v>
      </c>
      <c r="B23" s="74" t="inlineStr">
        <is>
          <t>T6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49">
      <c r="A24" s="77" t="n">
        <v>46284</v>
      </c>
      <c r="B24" s="78" t="inlineStr">
        <is>
          <t>T7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49">
      <c r="A25" s="77" t="n">
        <v>46285</v>
      </c>
      <c r="B25" s="78" t="inlineStr">
        <is>
          <t>CN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49">
      <c r="A26" s="73" t="n">
        <v>46286</v>
      </c>
      <c r="B26" s="74" t="inlineStr">
        <is>
          <t>T2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49">
      <c r="A27" s="73" t="n">
        <v>46287</v>
      </c>
      <c r="B27" s="74" t="inlineStr">
        <is>
          <t>T3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49">
      <c r="A28" s="73" t="n">
        <v>46288</v>
      </c>
      <c r="B28" s="74" t="inlineStr">
        <is>
          <t>T4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49">
      <c r="A29" s="73" t="n">
        <v>46289</v>
      </c>
      <c r="B29" s="74" t="inlineStr">
        <is>
          <t>T5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49">
      <c r="A30" s="73" t="n">
        <v>46290</v>
      </c>
      <c r="B30" s="74" t="inlineStr">
        <is>
          <t>T6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49">
      <c r="A31" s="77" t="n">
        <v>46291</v>
      </c>
      <c r="B31" s="78" t="inlineStr">
        <is>
          <t>T7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49">
      <c r="A32" s="77" t="n">
        <v>46292</v>
      </c>
      <c r="B32" s="78" t="inlineStr">
        <is>
          <t>CN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49">
      <c r="A33" s="73" t="n">
        <v>46293</v>
      </c>
      <c r="B33" s="74" t="inlineStr">
        <is>
          <t>T2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49">
      <c r="A34" s="73" t="n">
        <v>46294</v>
      </c>
      <c r="B34" s="74" t="inlineStr">
        <is>
          <t>T3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49">
      <c r="A35" s="73" t="n">
        <v>46295</v>
      </c>
      <c r="B35" s="74" t="inlineStr">
        <is>
          <t>T4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49" min="1" max="1"/>
    <col width="24" customWidth="1" style="149" min="2" max="2"/>
    <col width="19" customWidth="1" style="149" min="3" max="3"/>
    <col width="12" customWidth="1" style="149" min="4" max="4"/>
    <col width="18" customWidth="1" style="149" min="5" max="6"/>
    <col width="12" customWidth="1" style="149" min="7" max="7"/>
    <col width="19" customWidth="1" style="149" min="8" max="9"/>
    <col width="17" customWidth="1" style="149" min="10" max="11"/>
    <col width="24" customWidth="1" style="149" min="12" max="12"/>
    <col width="11" customWidth="1" style="149" min="13" max="20"/>
  </cols>
  <sheetData>
    <row r="1" ht="33" customHeight="1" s="149">
      <c r="A1" s="156" t="inlineStr">
        <is>
          <t>TỔNG HỢP TUẦN  •  THÁNG 9/2026  •  CARASE FB &amp; STORE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</row>
    <row r="2" ht="18.75" customHeight="1" s="149">
      <c r="A2" s="142" t="inlineStr">
        <is>
          <t>📊 Số liệu tự kéo từ DAILY — điền DAILY mỗi ngày, tab này tự cập nhật</t>
        </is>
      </c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</row>
    <row r="3" ht="36" customHeight="1" s="149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49">
      <c r="A4" s="79" t="inlineStr">
        <is>
          <t>Tuần 1</t>
        </is>
      </c>
      <c r="B4" s="80" t="inlineStr">
        <is>
          <t>1/9–7/9</t>
        </is>
      </c>
      <c r="C4" s="81">
        <f>IFERROR(SUM('📅 DAILY T9'!C6:C12),0)</f>
        <v/>
      </c>
      <c r="D4" s="81">
        <f>IFERROR(SUM('📅 DAILY T9'!D6:D12),0)</f>
        <v/>
      </c>
      <c r="E4" s="81">
        <f>IFERROR(SUM('📅 DAILY T9'!C6:C12)/SUM('📅 DAILY T9'!D6:D12),"")</f>
        <v/>
      </c>
      <c r="F4" s="82">
        <f>IFERROR(SUM('📅 DAILY T9'!F6:F12),0)</f>
        <v/>
      </c>
      <c r="G4" s="83">
        <f>IFERROR(SUM('📅 DAILY T9'!C6:C12)/SUM('📅 DAILY T9'!F6:F12),"")</f>
        <v/>
      </c>
      <c r="H4" s="84">
        <f>IFERROR(SUM('📅 DAILY T9'!M6:M12),0)</f>
        <v/>
      </c>
      <c r="I4" s="85">
        <f>IFERROR(SUM('📅 DAILY T9'!N6:N12),0)</f>
        <v/>
      </c>
      <c r="J4" s="86">
        <f>IFERROR(SUM('📅 DAILY T9'!C6:C12)/1145398691,"")</f>
        <v/>
      </c>
      <c r="K4" s="86">
        <f>IFERROR(SUM('📅 DAILY T9'!M6:M12)/647230108,"")</f>
        <v/>
      </c>
      <c r="L4" s="87" t="n"/>
    </row>
    <row r="5" ht="24" customHeight="1" s="149">
      <c r="A5" s="88" t="inlineStr">
        <is>
          <t>Tuần 2</t>
        </is>
      </c>
      <c r="B5" s="89" t="inlineStr">
        <is>
          <t>8/9–14/9</t>
        </is>
      </c>
      <c r="C5" s="81">
        <f>IFERROR(SUM('📅 DAILY T9'!C13:C19),0)</f>
        <v/>
      </c>
      <c r="D5" s="81">
        <f>IFERROR(SUM('📅 DAILY T9'!D13:D19),0)</f>
        <v/>
      </c>
      <c r="E5" s="81">
        <f>IFERROR(SUM('📅 DAILY T9'!C13:C19)/SUM('📅 DAILY T9'!D13:D19),"")</f>
        <v/>
      </c>
      <c r="F5" s="82">
        <f>IFERROR(SUM('📅 DAILY T9'!F13:F19),0)</f>
        <v/>
      </c>
      <c r="G5" s="83">
        <f>IFERROR(SUM('📅 DAILY T9'!C13:C19)/SUM('📅 DAILY T9'!F13:F19),"")</f>
        <v/>
      </c>
      <c r="H5" s="84">
        <f>IFERROR(SUM('📅 DAILY T9'!M13:M19),0)</f>
        <v/>
      </c>
      <c r="I5" s="85">
        <f>IFERROR(SUM('📅 DAILY T9'!N13:N19),0)</f>
        <v/>
      </c>
      <c r="J5" s="86">
        <f>IFERROR(SUM('📅 DAILY T9'!C6:C19)/1145398691,"")</f>
        <v/>
      </c>
      <c r="K5" s="86">
        <f>IFERROR(SUM('📅 DAILY T9'!M6:M19)/647230108,"")</f>
        <v/>
      </c>
      <c r="L5" s="87" t="n"/>
    </row>
    <row r="6" ht="24" customHeight="1" s="149">
      <c r="A6" s="90" t="inlineStr">
        <is>
          <t>Tuần 3</t>
        </is>
      </c>
      <c r="B6" s="91" t="inlineStr">
        <is>
          <t>15/9–21/9</t>
        </is>
      </c>
      <c r="C6" s="81">
        <f>IFERROR(SUM('📅 DAILY T9'!C20:C26),0)</f>
        <v/>
      </c>
      <c r="D6" s="81">
        <f>IFERROR(SUM('📅 DAILY T9'!D20:D26),0)</f>
        <v/>
      </c>
      <c r="E6" s="81">
        <f>IFERROR(SUM('📅 DAILY T9'!C20:C26)/SUM('📅 DAILY T9'!D20:D26),"")</f>
        <v/>
      </c>
      <c r="F6" s="82">
        <f>IFERROR(SUM('📅 DAILY T9'!F20:F26),0)</f>
        <v/>
      </c>
      <c r="G6" s="83">
        <f>IFERROR(SUM('📅 DAILY T9'!C20:C26)/SUM('📅 DAILY T9'!F20:F26),"")</f>
        <v/>
      </c>
      <c r="H6" s="84">
        <f>IFERROR(SUM('📅 DAILY T9'!M20:M26),0)</f>
        <v/>
      </c>
      <c r="I6" s="85">
        <f>IFERROR(SUM('📅 DAILY T9'!N20:N26),0)</f>
        <v/>
      </c>
      <c r="J6" s="86">
        <f>IFERROR(SUM('📅 DAILY T9'!C6:C26)/1145398691,"")</f>
        <v/>
      </c>
      <c r="K6" s="86">
        <f>IFERROR(SUM('📅 DAILY T9'!M6:M26)/647230108,"")</f>
        <v/>
      </c>
      <c r="L6" s="87" t="n"/>
    </row>
    <row r="7" ht="24" customHeight="1" s="149">
      <c r="A7" s="92" t="inlineStr">
        <is>
          <t>Tuần 4</t>
        </is>
      </c>
      <c r="B7" s="93" t="inlineStr">
        <is>
          <t>22/9–28/9</t>
        </is>
      </c>
      <c r="C7" s="81">
        <f>IFERROR(SUM('📅 DAILY T9'!C27:C33),0)</f>
        <v/>
      </c>
      <c r="D7" s="81">
        <f>IFERROR(SUM('📅 DAILY T9'!D27:D33),0)</f>
        <v/>
      </c>
      <c r="E7" s="81">
        <f>IFERROR(SUM('📅 DAILY T9'!C27:C33)/SUM('📅 DAILY T9'!D27:D33),"")</f>
        <v/>
      </c>
      <c r="F7" s="82">
        <f>IFERROR(SUM('📅 DAILY T9'!F27:F33),0)</f>
        <v/>
      </c>
      <c r="G7" s="83">
        <f>IFERROR(SUM('📅 DAILY T9'!C27:C33)/SUM('📅 DAILY T9'!F27:F33),"")</f>
        <v/>
      </c>
      <c r="H7" s="84">
        <f>IFERROR(SUM('📅 DAILY T9'!M27:M33),0)</f>
        <v/>
      </c>
      <c r="I7" s="85">
        <f>IFERROR(SUM('📅 DAILY T9'!N27:N33),0)</f>
        <v/>
      </c>
      <c r="J7" s="86">
        <f>IFERROR(SUM('📅 DAILY T9'!C6:C33)/1145398691,"")</f>
        <v/>
      </c>
      <c r="K7" s="86">
        <f>IFERROR(SUM('📅 DAILY T9'!M6:M33)/647230108,"")</f>
        <v/>
      </c>
      <c r="L7" s="87" t="n"/>
    </row>
    <row r="8" ht="24" customHeight="1" s="149">
      <c r="A8" s="94" t="inlineStr">
        <is>
          <t>Tuần 5</t>
        </is>
      </c>
      <c r="B8" s="95" t="inlineStr">
        <is>
          <t>29/9–30/9</t>
        </is>
      </c>
      <c r="C8" s="81">
        <f>IFERROR(SUM('📅 DAILY T9'!C34:C35),0)</f>
        <v/>
      </c>
      <c r="D8" s="81">
        <f>IFERROR(SUM('📅 DAILY T9'!D34:D35),0)</f>
        <v/>
      </c>
      <c r="E8" s="81">
        <f>IFERROR(SUM('📅 DAILY T9'!C34:C35)/SUM('📅 DAILY T9'!D34:D35),"")</f>
        <v/>
      </c>
      <c r="F8" s="82">
        <f>IFERROR(SUM('📅 DAILY T9'!F34:F35),0)</f>
        <v/>
      </c>
      <c r="G8" s="83">
        <f>IFERROR(SUM('📅 DAILY T9'!C34:C35)/SUM('📅 DAILY T9'!F34:F35),"")</f>
        <v/>
      </c>
      <c r="H8" s="84">
        <f>IFERROR(SUM('📅 DAILY T9'!M34:M35),0)</f>
        <v/>
      </c>
      <c r="I8" s="85">
        <f>IFERROR(SUM('📅 DAILY T9'!N34:N35),0)</f>
        <v/>
      </c>
      <c r="J8" s="86">
        <f>IFERROR(SUM('📅 DAILY T9'!C6:C35)/1145398691,"")</f>
        <v/>
      </c>
      <c r="K8" s="86">
        <f>IFERROR(SUM('📅 DAILY T9'!M6:M35)/647230108,"")</f>
        <v/>
      </c>
      <c r="L8" s="87" t="n"/>
    </row>
    <row r="9" ht="4.5" customHeight="1" s="149">
      <c r="A9" s="96" t="n"/>
    </row>
    <row r="10" ht="18.75" customHeight="1" s="149">
      <c r="B10" s="96" t="n"/>
    </row>
    <row r="11" ht="18.75" customHeight="1" s="149">
      <c r="C11" s="96" t="n"/>
    </row>
    <row r="12" ht="18.75" customHeight="1" s="149">
      <c r="D12" s="96" t="n"/>
    </row>
    <row r="13" ht="18.75" customHeight="1" s="149">
      <c r="E13" s="96" t="n"/>
    </row>
    <row r="14" ht="18.75" customHeight="1" s="149">
      <c r="F14" s="96" t="n"/>
    </row>
    <row r="15" ht="18.75" customHeight="1" s="149">
      <c r="G15" s="96" t="n"/>
    </row>
    <row r="16" ht="18.75" customHeight="1" s="149">
      <c r="H16" s="96" t="n"/>
    </row>
    <row r="17" ht="18.75" customHeight="1" s="149">
      <c r="I17" s="96" t="n"/>
    </row>
    <row r="18" ht="18.75" customHeight="1" s="149">
      <c r="J18" s="96" t="n"/>
    </row>
    <row r="19" ht="18.75" customHeight="1" s="149">
      <c r="K19" s="96" t="n"/>
    </row>
    <row r="20" ht="18.75" customHeight="1" s="149">
      <c r="L20" s="96" t="n"/>
    </row>
    <row r="21" ht="25.5" customHeight="1" s="149">
      <c r="A21" s="97" t="inlineStr">
        <is>
          <t>TỔNG</t>
        </is>
      </c>
      <c r="B21" s="98" t="inlineStr">
        <is>
          <t>1/9–30/9</t>
        </is>
      </c>
      <c r="C21" s="99">
        <f>IFERROR(SUM('📅 DAILY T9'!C6:C35),0)</f>
        <v/>
      </c>
      <c r="D21" s="99">
        <f>IFERROR(SUM('📅 DAILY T9'!D6:D35),0)</f>
        <v/>
      </c>
      <c r="E21" s="99">
        <f>IFERROR(SUM('📅 DAILY T9'!C6:C35)/SUM('📅 DAILY T9'!D6:D35),"")</f>
        <v/>
      </c>
      <c r="F21" s="99">
        <f>IFERROR(SUM('📅 DAILY T9'!F6:F35),0)</f>
        <v/>
      </c>
      <c r="G21" s="100">
        <f>IFERROR(SUM('📅 DAILY T9'!C6:C35)/SUM('📅 DAILY T9'!F6:F35),"")</f>
        <v/>
      </c>
      <c r="H21" s="99">
        <f>IFERROR(SUM('📅 DAILY T9'!M6:M35),0)</f>
        <v/>
      </c>
      <c r="I21" s="99">
        <f>IFERROR(SUM('📅 DAILY T9'!N6:N35),0)</f>
        <v/>
      </c>
      <c r="J21" s="101">
        <f>IFERROR(SUM('📅 DAILY T9'!C6:C35)/1145398691,"")</f>
        <v/>
      </c>
      <c r="K21" s="101">
        <f>IFERROR(SUM('📅 DAILY T9'!M6:M35)/647230108,"")</f>
        <v/>
      </c>
      <c r="L21" s="96" t="n"/>
    </row>
    <row r="22" ht="18.75" customHeight="1" s="149"/>
    <row r="23" ht="21.75" customHeight="1" s="149">
      <c r="A23" s="159" t="inlineStr">
        <is>
          <t>🎯 Target tháng</t>
        </is>
      </c>
      <c r="B23" s="136" t="n"/>
      <c r="C23" s="102" t="n">
        <v>1009097583</v>
      </c>
      <c r="D23" s="68" t="n"/>
      <c r="E23" s="68" t="n"/>
      <c r="F23" s="68" t="n"/>
      <c r="G23" s="68" t="n"/>
      <c r="H23" s="103" t="n">
        <v>541699957</v>
      </c>
      <c r="I23" s="104" t="n">
        <v>1550797540</v>
      </c>
      <c r="J23" s="68" t="n"/>
      <c r="K23" s="68" t="n"/>
      <c r="L23" s="68" t="n"/>
    </row>
    <row r="24" ht="18.75" customHeight="1" s="149"/>
    <row r="25" ht="18.75" customHeight="1" s="149">
      <c r="A25" s="158" t="inlineStr">
        <is>
          <t>💡 % Target = Lũy kế từ đầu tháng đến cuối tuần đó / Target tháng  |  CP Ads có thể điền theo tuần, không cần hàng ngày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.75" customHeight="1" s="149"/>
    <row r="27" ht="18.75" customHeight="1" s="149"/>
    <row r="28" ht="18.75" customHeight="1" s="149"/>
    <row r="29" ht="18.75" customHeight="1" s="149"/>
    <row r="30" ht="18.75" customHeight="1" s="149"/>
    <row r="31" ht="18.75" customHeight="1" s="149"/>
    <row r="32" ht="18.75" customHeight="1" s="149"/>
    <row r="33" ht="18.75" customHeight="1" s="149"/>
    <row r="34" ht="18.75" customHeight="1" s="149"/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49" min="1" max="1"/>
    <col width="34" customWidth="1" style="149" min="2" max="2"/>
    <col width="62" customWidth="1" style="149" min="3" max="3"/>
    <col width="11" customWidth="1" style="149" min="4" max="20"/>
  </cols>
  <sheetData>
    <row r="1" ht="33" customHeight="1" s="149">
      <c r="A1" s="156" t="inlineStr">
        <is>
          <t>HƯỚNG DẪN  •  CARASE FB &amp; STORE TRACKER</t>
        </is>
      </c>
      <c r="B1" s="136" t="n"/>
      <c r="C1" s="136" t="n"/>
    </row>
    <row r="2" ht="18.75" customHeight="1" s="149"/>
    <row r="3" ht="28.5" customHeight="1" s="149">
      <c r="A3" s="164" t="inlineStr">
        <is>
          <t xml:space="preserve">  📅 ĐIỀN SỐ HÀNG NGÀY — Sheets DAILY T7/T8/T9</t>
        </is>
      </c>
      <c r="B3" s="136" t="n"/>
      <c r="C3" s="136" t="n"/>
    </row>
    <row r="4" ht="24" customHeight="1" s="149">
      <c r="A4" s="112" t="n"/>
      <c r="B4" s="113" t="inlineStr">
        <is>
          <t>Deadline</t>
        </is>
      </c>
      <c r="C4" s="114" t="inlineStr">
        <is>
          <t>22:00 mỗi ngày — Tấn hoặc NVBH điền</t>
        </is>
      </c>
    </row>
    <row r="5" ht="24" customHeight="1" s="149">
      <c r="A5" s="87" t="n"/>
      <c r="B5" s="34" t="inlineStr">
        <is>
          <t>DT FB + Đơn FB</t>
        </is>
      </c>
      <c r="C5" s="115" t="inlineStr">
        <is>
          <t>Nhanh.vn → Kênh Facebook → lọc ngày → đơn Thành công</t>
        </is>
      </c>
    </row>
    <row r="6" ht="24" customHeight="1" s="149">
      <c r="A6" s="112" t="n"/>
      <c r="B6" s="113" t="inlineStr">
        <is>
          <t>CMT + IB</t>
        </is>
      </c>
      <c r="C6" s="114" t="inlineStr">
        <is>
          <t>Vpage → Dashboard → tổng comment + inbox trong ngày</t>
        </is>
      </c>
    </row>
    <row r="7" ht="24" customHeight="1" s="149">
      <c r="A7" s="87" t="n"/>
      <c r="B7" s="34" t="inlineStr">
        <is>
          <t>CP Ads</t>
        </is>
      </c>
      <c r="C7" s="115" t="inlineStr">
        <is>
          <t>Từ agency — có thể điền cuối tuần (ghi tổng tuần)</t>
        </is>
      </c>
    </row>
    <row r="8" ht="24" customHeight="1" s="149">
      <c r="A8" s="112" t="n"/>
      <c r="B8" s="113" t="inlineStr">
        <is>
          <t>DT NDC / PH / NGT</t>
        </is>
      </c>
      <c r="C8" s="114" t="inlineStr">
        <is>
          <t>Nhanh.vn → từng kho → lọc ngày → đơn Thành công</t>
        </is>
      </c>
    </row>
    <row r="9" ht="24" customHeight="1" s="149">
      <c r="A9" s="87" t="n"/>
      <c r="B9" s="34" t="inlineStr">
        <is>
          <t>Ô xanh AUTO</t>
        </is>
      </c>
      <c r="C9" s="115" t="inlineStr">
        <is>
          <t>KHÔNG chỉnh tay — DT Store, DT Total, AOV, CR% tự tính</t>
        </is>
      </c>
    </row>
    <row r="10" ht="18.75" customHeight="1" s="149"/>
    <row r="11" ht="28.5" customHeight="1" s="149">
      <c r="A11" s="162" t="inlineStr">
        <is>
          <t xml:space="preserve">  📊 XEM MASTER DASHBOARD</t>
        </is>
      </c>
      <c r="B11" s="136" t="n"/>
      <c r="C11" s="136" t="n"/>
    </row>
    <row r="12" ht="24" customHeight="1" s="149">
      <c r="A12" s="116" t="n"/>
      <c r="B12" s="117" t="inlineStr">
        <is>
          <t>Baseline T1–T5/2026</t>
        </is>
      </c>
      <c r="C12" s="118" t="inlineStr">
        <is>
          <t>Nền xám — pre-filled từ phân tích Nhanh.vn thực tế</t>
        </is>
      </c>
    </row>
    <row r="13" ht="24" customHeight="1" s="149">
      <c r="A13" s="87" t="n"/>
      <c r="B13" s="34" t="inlineStr">
        <is>
          <t>T6/2026</t>
        </is>
      </c>
      <c r="C13" s="115" t="inlineStr">
        <is>
          <t>Nền vàng nhạt — chỉ đến 7/6, chưa đủ tháng</t>
        </is>
      </c>
    </row>
    <row r="14" ht="24" customHeight="1" s="149">
      <c r="A14" s="116" t="n"/>
      <c r="B14" s="117" t="inlineStr">
        <is>
          <t>T7–T9 ô xanh</t>
        </is>
      </c>
      <c r="C14" s="118" t="inlineStr">
        <is>
          <t>Tự kéo từ DAILY sheet — chỉ cần điền Daily là xong</t>
        </is>
      </c>
    </row>
    <row r="15" ht="24" customHeight="1" s="149">
      <c r="A15" s="87" t="n"/>
      <c r="B15" s="34" t="inlineStr">
        <is>
          <t>T7–T9 ô vàng</t>
        </is>
      </c>
      <c r="C15" s="115" t="inlineStr">
        <is>
          <t>Điền sau khi upload Nhanh.vn cho Claude tính</t>
        </is>
      </c>
    </row>
    <row r="16" ht="18.75" customHeight="1" s="149"/>
    <row r="17" ht="28.5" customHeight="1" s="149">
      <c r="A17" s="163" t="inlineStr">
        <is>
          <t xml:space="preserve">  📤 QUY TRÌNH UPLOAD NHANH.VN CUỐI THÁNG</t>
        </is>
      </c>
      <c r="B17" s="136" t="n"/>
      <c r="C17" s="136" t="n"/>
    </row>
    <row r="18" ht="24" customHeight="1" s="149">
      <c r="A18" s="119" t="n"/>
      <c r="B18" s="120" t="inlineStr">
        <is>
          <t>Khi nào</t>
        </is>
      </c>
      <c r="C18" s="121" t="inlineStr">
        <is>
          <t>Ngày 1–3 của tháng kế tiếp</t>
        </is>
      </c>
    </row>
    <row r="19" ht="24" customHeight="1" s="149">
      <c r="A19" s="87" t="n"/>
      <c r="B19" s="34" t="inlineStr">
        <is>
          <t>Export gì</t>
        </is>
      </c>
      <c r="C19" s="115" t="inlineStr">
        <is>
          <t>Nhanh.vn → Quản lý đơn → Lọc tháng → Export Excel (FB riêng + Store riêng)</t>
        </is>
      </c>
    </row>
    <row r="20" ht="24" customHeight="1" s="149">
      <c r="A20" s="119" t="n"/>
      <c r="B20" s="120" t="inlineStr">
        <is>
          <t>Nói gì</t>
        </is>
      </c>
      <c r="C20" s="121" t="inlineStr">
        <is>
          <t>'Data đơn T[X]/2026 đây, tính chỉ số KH tháng này cho mình'</t>
        </is>
      </c>
    </row>
    <row r="21" ht="24" customHeight="1" s="149">
      <c r="A21" s="87" t="n"/>
      <c r="B21" s="34" t="inlineStr">
        <is>
          <t>Claude trả</t>
        </is>
      </c>
      <c r="C21" s="115" t="inlineStr">
        <is>
          <t>KH mới/cũ, 3 tầng mua lại, activation, cohort, CLV, win-back list</t>
        </is>
      </c>
    </row>
    <row r="22" ht="24" customHeight="1" s="149">
      <c r="A22" s="119" t="n"/>
      <c r="B22" s="120" t="inlineStr">
        <is>
          <t>Điền vào đâu</t>
        </is>
      </c>
      <c r="C22" s="121" t="inlineStr">
        <is>
          <t>MASTER → cột T[X] → các ô vàng</t>
        </is>
      </c>
    </row>
    <row r="23" ht="18.75" customHeight="1" s="149"/>
    <row r="24" ht="28.5" customHeight="1" s="149">
      <c r="A24" s="165" t="inlineStr">
        <is>
          <t xml:space="preserve">  🎯 ĐỊNH NGHĨA CHỈ SỐ</t>
        </is>
      </c>
      <c r="B24" s="136" t="n"/>
      <c r="C24" s="136" t="n"/>
    </row>
    <row r="25" ht="24" customHeight="1" s="149">
      <c r="A25" s="122" t="n"/>
      <c r="B25" s="123" t="inlineStr">
        <is>
          <t>KH mới</t>
        </is>
      </c>
      <c r="C25" s="124" t="inlineStr">
        <is>
          <t>Lần đầu tiên mua trong lịch sử (chưa có đơn nào từ T1/2025)</t>
        </is>
      </c>
    </row>
    <row r="26" ht="24" customHeight="1" s="149">
      <c r="A26" s="87" t="n"/>
      <c r="B26" s="34" t="inlineStr">
        <is>
          <t>KH cũ mua lại</t>
        </is>
      </c>
      <c r="C26" s="115" t="inlineStr">
        <is>
          <t>Đã mua trước đó, có đơn trong tháng này (không giới hạn thời gian)</t>
        </is>
      </c>
    </row>
    <row r="27" ht="24" customHeight="1" s="149">
      <c r="A27" s="122" t="n"/>
      <c r="B27" s="123" t="inlineStr">
        <is>
          <t>Mua lại ≤30 ngày</t>
        </is>
      </c>
      <c r="C27" s="124" t="inlineStr">
        <is>
          <t>KH cũ có lần mua trước cách đây ≤30 ngày — tần suất cao</t>
        </is>
      </c>
    </row>
    <row r="28" ht="24" customHeight="1" s="149">
      <c r="A28" s="87" t="n"/>
      <c r="B28" s="34" t="inlineStr">
        <is>
          <t>Mua lại 31–90 ngày</t>
        </is>
      </c>
      <c r="C28" s="115" t="inlineStr">
        <is>
          <t>Chu kỳ bình thường — 1 hộp kính áp tròng 1–3 tháng</t>
        </is>
      </c>
    </row>
    <row r="29" ht="24" customHeight="1" s="149">
      <c r="A29" s="122" t="n"/>
      <c r="B29" s="123" t="inlineStr">
        <is>
          <t>Mua lại &gt;90 ngày</t>
        </is>
      </c>
      <c r="C29" s="124" t="inlineStr">
        <is>
          <t>Im lặng lâu mới quay lại — cần phân tích nguyên nhân</t>
        </is>
      </c>
    </row>
    <row r="30" ht="24" customHeight="1" s="149">
      <c r="A30" s="87" t="n"/>
      <c r="B30" s="34" t="inlineStr">
        <is>
          <t>Activation rate</t>
        </is>
      </c>
      <c r="C30" s="115" t="inlineStr">
        <is>
          <t>% KH mới T-3 đã mua lần 2 trong 90 ngày — đo hiệu quả nurture</t>
        </is>
      </c>
    </row>
    <row r="31" ht="24" customHeight="1" s="149">
      <c r="A31" s="122" t="n"/>
      <c r="B31" s="123" t="inlineStr">
        <is>
          <t>Cohort</t>
        </is>
      </c>
      <c r="C31" s="124" t="inlineStr">
        <is>
          <t>% KH mới T-1 có đơn trong T này — đo tốc độ mua lại nhanh</t>
        </is>
      </c>
    </row>
    <row r="32" ht="24" customHeight="1" s="149">
      <c r="A32" s="87" t="n"/>
      <c r="B32" s="34" t="inlineStr">
        <is>
          <t>CLV 12M</t>
        </is>
      </c>
      <c r="C32" s="115" t="inlineStr">
        <is>
          <t>Tổng DT TB/KH trong 12 tháng — so sánh với CP acquisition</t>
        </is>
      </c>
    </row>
    <row r="33" ht="24" customHeight="1" s="149">
      <c r="A33" s="122" t="n"/>
      <c r="B33" s="123" t="inlineStr">
        <is>
          <t>CLV Realized</t>
        </is>
      </c>
      <c r="C33" s="124" t="inlineStr">
        <is>
          <t>Tổng DT thực tế từ đơn đầu → nay — đo giá trị từng nhóm KH</t>
        </is>
      </c>
    </row>
    <row r="34" ht="24" customHeight="1" s="149">
      <c r="A34" s="87" t="n"/>
      <c r="B34" s="34" t="inlineStr">
        <is>
          <t>Win-back pool</t>
        </is>
      </c>
      <c r="C34" s="115" t="inlineStr">
        <is>
          <t>KH mua ≥2 lần, lần cuối &gt;60 ngày — Claude xuất DS hàng tháng</t>
        </is>
      </c>
    </row>
    <row r="35" ht="18.75" customHeight="1" s="149"/>
    <row r="36" ht="18.75" customHeight="1" s="149"/>
    <row r="37" ht="18.75" customHeight="1" s="149"/>
    <row r="38" ht="18.75" customHeight="1" s="149"/>
    <row r="39" ht="18.75" customHeight="1" s="149"/>
    <row r="40" ht="18.75" customHeight="1" s="149"/>
    <row r="41" ht="18.75" customHeight="1" s="149"/>
    <row r="42" ht="18.75" customHeight="1" s="149"/>
    <row r="43" ht="18.75" customHeight="1" s="149"/>
    <row r="44" ht="18.75" customHeight="1" s="149"/>
    <row r="45" ht="18.75" customHeight="1" s="149"/>
    <row r="46" ht="18.75" customHeight="1" s="149"/>
    <row r="47" ht="18.75" customHeight="1" s="149"/>
    <row r="48" ht="18.75" customHeight="1" s="149"/>
    <row r="49" ht="18.75" customHeight="1" s="149"/>
    <row r="50" ht="18.75" customHeight="1" s="149"/>
    <row r="51" ht="18.75" customHeight="1" s="149"/>
    <row r="52" ht="18.75" customHeight="1" s="149"/>
    <row r="53" ht="18.75" customHeight="1" s="149"/>
    <row r="54" ht="18.75" customHeight="1" s="149"/>
    <row r="55" ht="18.75" customHeight="1" s="149"/>
    <row r="56" ht="18.75" customHeight="1" s="149"/>
    <row r="57" ht="18.75" customHeight="1" s="149"/>
    <row r="58" ht="18.75" customHeight="1" s="149"/>
    <row r="59" ht="18.75" customHeight="1" s="149"/>
    <row r="60" ht="18.75" customHeight="1" s="149"/>
    <row r="61" ht="18.75" customHeight="1" s="149"/>
    <row r="62" ht="18.75" customHeight="1" s="149"/>
    <row r="63" ht="18.75" customHeight="1" s="149"/>
    <row r="64" ht="18.75" customHeight="1" s="149"/>
    <row r="65" ht="18.75" customHeight="1" s="149"/>
    <row r="66" ht="18.75" customHeight="1" s="149"/>
    <row r="67" ht="18.75" customHeight="1" s="149"/>
    <row r="68" ht="18.75" customHeight="1" s="149"/>
    <row r="69" ht="18.75" customHeight="1" s="149"/>
    <row r="70" ht="18.75" customHeight="1" s="149"/>
    <row r="71" ht="18.75" customHeight="1" s="149"/>
    <row r="72" ht="18.75" customHeight="1" s="149"/>
    <row r="73" ht="18.75" customHeight="1" s="149"/>
    <row r="74" ht="18.75" customHeight="1" s="149"/>
    <row r="75" ht="18.75" customHeight="1" s="149"/>
    <row r="76" ht="18.75" customHeight="1" s="149"/>
    <row r="77" ht="18.75" customHeight="1" s="149"/>
    <row r="78" ht="18.75" customHeight="1" s="149"/>
    <row r="79" ht="18.75" customHeight="1" s="149"/>
    <row r="80" ht="18.75" customHeight="1" s="149"/>
    <row r="81" ht="18.75" customHeight="1" s="149"/>
    <row r="82" ht="18.75" customHeight="1" s="149"/>
    <row r="83" ht="18.75" customHeight="1" s="149"/>
    <row r="84" ht="18.75" customHeight="1" s="149"/>
    <row r="85" ht="18.75" customHeight="1" s="149"/>
    <row r="86" ht="18.75" customHeight="1" s="149"/>
    <row r="87" ht="18.75" customHeight="1" s="149"/>
    <row r="88" ht="18.75" customHeight="1" s="149"/>
    <row r="89" ht="18.75" customHeight="1" s="149"/>
    <row r="90" ht="18.75" customHeight="1" s="149"/>
    <row r="91" ht="18.75" customHeight="1" s="149"/>
    <row r="92" ht="18.75" customHeight="1" s="149"/>
    <row r="93" ht="18.75" customHeight="1" s="149"/>
    <row r="94" ht="18.75" customHeight="1" s="149"/>
    <row r="95" ht="18.75" customHeight="1" s="149"/>
    <row r="96" ht="18.75" customHeight="1" s="149"/>
    <row r="97" ht="18.75" customHeight="1" s="149"/>
    <row r="98" ht="18.75" customHeight="1" s="149"/>
    <row r="99" ht="18.75" customHeight="1" s="149"/>
    <row r="100" ht="18.75" customHeight="1" s="149"/>
    <row r="101" ht="18.75" customHeight="1" s="149"/>
    <row r="102" ht="18.75" customHeight="1" s="149"/>
    <row r="103" ht="18.75" customHeight="1" s="149"/>
    <row r="104" ht="18.75" customHeight="1" s="149"/>
    <row r="105" ht="18.75" customHeight="1" s="149"/>
    <row r="106" ht="18.75" customHeight="1" s="149"/>
    <row r="107" ht="18.75" customHeight="1" s="149"/>
    <row r="108" ht="18.75" customHeight="1" s="149"/>
    <row r="109" ht="18.75" customHeight="1" s="149"/>
    <row r="110" ht="18.75" customHeight="1" s="149"/>
    <row r="111" ht="18.75" customHeight="1" s="149"/>
    <row r="112" ht="18.75" customHeight="1" s="149"/>
    <row r="113" ht="18.75" customHeight="1" s="149"/>
    <row r="114" ht="18.75" customHeight="1" s="149"/>
    <row r="115" ht="18.75" customHeight="1" s="149"/>
    <row r="116" ht="18.75" customHeight="1" s="149"/>
    <row r="117" ht="18.75" customHeight="1" s="149"/>
    <row r="118" ht="18.75" customHeight="1" s="149"/>
    <row r="119" ht="18.75" customHeight="1" s="149"/>
    <row r="120" ht="18.75" customHeight="1" s="149"/>
    <row r="121" ht="18.75" customHeight="1" s="149"/>
    <row r="122" ht="18.75" customHeight="1" s="149"/>
    <row r="123" ht="18.75" customHeight="1" s="149"/>
    <row r="124" ht="18.75" customHeight="1" s="149"/>
    <row r="125" ht="18.75" customHeight="1" s="149"/>
    <row r="126" ht="18.75" customHeight="1" s="149"/>
    <row r="127" ht="18.75" customHeight="1" s="149"/>
    <row r="128" ht="18.75" customHeight="1" s="149"/>
    <row r="129" ht="18.75" customHeight="1" s="149"/>
    <row r="130" ht="18.75" customHeight="1" s="149"/>
    <row r="131" ht="18.75" customHeight="1" s="149"/>
    <row r="132" ht="18.75" customHeight="1" s="149"/>
    <row r="133" ht="18.75" customHeight="1" s="149"/>
    <row r="134" ht="18.75" customHeight="1" s="149"/>
    <row r="135" ht="18.75" customHeight="1" s="149"/>
    <row r="136" ht="18.75" customHeight="1" s="149"/>
    <row r="137" ht="18.75" customHeight="1" s="149"/>
    <row r="138" ht="18.75" customHeight="1" s="149"/>
    <row r="139" ht="18.75" customHeight="1" s="149"/>
    <row r="140" ht="18.75" customHeight="1" s="149"/>
    <row r="141" ht="18.75" customHeight="1" s="149"/>
    <row r="142" ht="18.75" customHeight="1" s="149"/>
    <row r="143" ht="18.75" customHeight="1" s="149"/>
    <row r="144" ht="18.75" customHeight="1" s="149"/>
    <row r="145" ht="18.75" customHeight="1" s="149"/>
    <row r="146" ht="18.75" customHeight="1" s="149"/>
    <row r="147" ht="18.75" customHeight="1" s="149"/>
    <row r="148" ht="18.75" customHeight="1" s="149"/>
    <row r="149" ht="18.75" customHeight="1" s="149"/>
    <row r="150" ht="18.75" customHeight="1" s="149"/>
    <row r="151" ht="18.75" customHeight="1" s="149"/>
    <row r="152" ht="18.75" customHeight="1" s="149"/>
    <row r="153" ht="18.75" customHeight="1" s="149"/>
    <row r="154" ht="18.75" customHeight="1" s="149"/>
    <row r="155" ht="18.75" customHeight="1" s="149"/>
    <row r="156" ht="18.75" customHeight="1" s="149"/>
    <row r="157" ht="18.75" customHeight="1" s="149"/>
    <row r="158" ht="18.75" customHeight="1" s="149"/>
    <row r="159" ht="18.75" customHeight="1" s="149"/>
    <row r="160" ht="18.75" customHeight="1" s="149"/>
    <row r="161" ht="18.75" customHeight="1" s="149"/>
    <row r="162" ht="18.75" customHeight="1" s="149"/>
    <row r="163" ht="18.75" customHeight="1" s="149"/>
    <row r="164" ht="18.75" customHeight="1" s="149"/>
    <row r="165" ht="18.75" customHeight="1" s="149"/>
    <row r="166" ht="18.75" customHeight="1" s="149"/>
    <row r="167" ht="18.75" customHeight="1" s="149"/>
    <row r="168" ht="18.75" customHeight="1" s="149"/>
    <row r="169" ht="18.75" customHeight="1" s="149"/>
    <row r="170" ht="18.75" customHeight="1" s="149"/>
    <row r="171" ht="18.75" customHeight="1" s="149"/>
    <row r="172" ht="18.75" customHeight="1" s="149"/>
    <row r="173" ht="18.75" customHeight="1" s="149"/>
    <row r="174" ht="18.75" customHeight="1" s="149"/>
    <row r="175" ht="18.75" customHeight="1" s="149"/>
    <row r="176" ht="18.75" customHeight="1" s="149"/>
    <row r="177" ht="18.75" customHeight="1" s="149"/>
    <row r="178" ht="18.75" customHeight="1" s="149"/>
    <row r="179" ht="18.75" customHeight="1" s="149"/>
    <row r="180" ht="18.75" customHeight="1" s="149"/>
    <row r="181" ht="18.75" customHeight="1" s="149"/>
    <row r="182" ht="18.75" customHeight="1" s="149"/>
    <row r="183" ht="18.75" customHeight="1" s="149"/>
    <row r="184" ht="18.75" customHeight="1" s="149"/>
    <row r="185" ht="18.75" customHeight="1" s="149"/>
    <row r="186" ht="18.75" customHeight="1" s="149"/>
    <row r="187" ht="18.75" customHeight="1" s="149"/>
    <row r="188" ht="18.75" customHeight="1" s="149"/>
    <row r="189" ht="18.75" customHeight="1" s="149"/>
    <row r="190" ht="18.75" customHeight="1" s="149"/>
    <row r="191" ht="18.75" customHeight="1" s="149"/>
    <row r="192" ht="18.75" customHeight="1" s="149"/>
    <row r="193" ht="18.75" customHeight="1" s="149"/>
    <row r="194" ht="18.75" customHeight="1" s="149"/>
    <row r="195" ht="18.75" customHeight="1" s="149"/>
    <row r="196" ht="18.75" customHeight="1" s="149"/>
    <row r="197" ht="18.75" customHeight="1" s="149"/>
    <row r="198" ht="18.75" customHeight="1" s="149"/>
    <row r="199" ht="18.75" customHeight="1" s="149"/>
    <row r="200" ht="18.75" customHeight="1" s="149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49" min="1" max="1"/>
    <col width="13" customWidth="1" style="149" min="2" max="2"/>
    <col width="7.3984375" customWidth="1" style="149" min="3" max="3"/>
    <col width="6" customWidth="1" style="149" min="4" max="7"/>
    <col width="6.3984375" customWidth="1" style="149" min="8" max="8"/>
    <col width="7" customWidth="1" style="149" min="9" max="9"/>
    <col width="6.3984375" customWidth="1" style="149" min="10" max="10"/>
    <col width="11" customWidth="1" style="149" min="11" max="13"/>
    <col width="9.3984375" customWidth="1" style="149" min="14" max="14"/>
  </cols>
  <sheetData>
    <row r="1" ht="25.5" customHeight="1" s="149">
      <c r="A1" s="169" t="inlineStr">
        <is>
          <t>📊 PHÂN TÍCH HÀNH VI SẢN PHẨM — T1/2025 → T6/2026</t>
        </is>
      </c>
    </row>
    <row r="2" ht="12.75" customHeight="1" s="149">
      <c r="A2" s="168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49">
      <c r="A3" s="125" t="inlineStr">
        <is>
          <t>Tháng</t>
        </is>
      </c>
      <c r="B3" s="125" t="inlineStr">
        <is>
          <t>Danh mục</t>
        </is>
      </c>
      <c r="C3" s="125" t="inlineStr">
        <is>
          <t>Tổng
Đơn</t>
        </is>
      </c>
      <c r="D3" s="125" t="inlineStr">
        <is>
          <t>1
Cặp</t>
        </is>
      </c>
      <c r="E3" s="125" t="inlineStr">
        <is>
          <t>2
Cặp</t>
        </is>
      </c>
      <c r="F3" s="125" t="inlineStr">
        <is>
          <t>3
Cặp</t>
        </is>
      </c>
      <c r="G3" s="125" t="inlineStr">
        <is>
          <t>4
Cặp</t>
        </is>
      </c>
      <c r="H3" s="125" t="inlineStr">
        <is>
          <t>5-9
Cặp</t>
        </is>
      </c>
      <c r="I3" s="125" t="inlineStr">
        <is>
          <t>10-19
Cặp</t>
        </is>
      </c>
      <c r="J3" s="125" t="inlineStr">
        <is>
          <t>20+
Cặp</t>
        </is>
      </c>
      <c r="K3" s="125" t="inlineStr">
        <is>
          <t>Kèm Ngâm
(không Nhỏ)</t>
        </is>
      </c>
      <c r="L3" s="125" t="inlineStr">
        <is>
          <t>Kèm Nhỏ
(không Ngâm)</t>
        </is>
      </c>
      <c r="M3" s="125" t="inlineStr">
        <is>
          <t>Đủ Bộ
(L+Ngâm+Nhỏ)</t>
        </is>
      </c>
      <c r="N3" s="125" t="inlineStr">
        <is>
          <t>Nhiều Dòng
Lens</t>
        </is>
      </c>
    </row>
    <row r="4" ht="19.5" customHeight="1" s="149">
      <c r="A4" s="166" t="inlineStr">
        <is>
          <t>📘  FACEBOOK</t>
        </is>
      </c>
    </row>
    <row r="5" ht="15.75" customHeight="1" s="149">
      <c r="A5" s="126" t="inlineStr">
        <is>
          <t>T1/2025</t>
        </is>
      </c>
      <c r="B5" s="127" t="inlineStr">
        <is>
          <t>Lens 1 Ngày</t>
        </is>
      </c>
      <c r="C5" s="128" t="n">
        <v>780</v>
      </c>
      <c r="D5" s="129" t="n">
        <v>231</v>
      </c>
      <c r="E5" s="129" t="n">
        <v>160</v>
      </c>
      <c r="F5" s="129" t="n">
        <v>201</v>
      </c>
      <c r="G5" s="129" t="n">
        <v>43</v>
      </c>
      <c r="H5" s="129" t="n">
        <v>107</v>
      </c>
      <c r="I5" s="129" t="n">
        <v>32</v>
      </c>
      <c r="J5" s="129" t="n">
        <v>6</v>
      </c>
      <c r="K5" s="130" t="n">
        <v>0</v>
      </c>
      <c r="L5" s="131" t="n">
        <v>311</v>
      </c>
      <c r="M5" s="130" t="n">
        <v>0</v>
      </c>
      <c r="N5" s="131" t="n">
        <v>382</v>
      </c>
    </row>
    <row r="6" ht="15.75" customHeight="1" s="149">
      <c r="A6" s="126" t="inlineStr">
        <is>
          <t>T1/2025</t>
        </is>
      </c>
      <c r="B6" s="132" t="inlineStr">
        <is>
          <t>Lens 1 Tháng</t>
        </is>
      </c>
      <c r="C6" s="128" t="n">
        <v>1082</v>
      </c>
      <c r="D6" s="129" t="n">
        <v>792</v>
      </c>
      <c r="E6" s="129" t="n">
        <v>188</v>
      </c>
      <c r="F6" s="129" t="n">
        <v>77</v>
      </c>
      <c r="G6" s="129" t="n">
        <v>10</v>
      </c>
      <c r="H6" s="129" t="n">
        <v>12</v>
      </c>
      <c r="I6" s="129" t="n">
        <v>2</v>
      </c>
      <c r="J6" s="129" t="n">
        <v>1</v>
      </c>
      <c r="K6" s="130" t="n">
        <v>0</v>
      </c>
      <c r="L6" s="131" t="n">
        <v>346</v>
      </c>
      <c r="M6" s="130" t="n">
        <v>0</v>
      </c>
      <c r="N6" s="131" t="n">
        <v>139</v>
      </c>
    </row>
    <row r="7" ht="15.75" customHeight="1" s="149">
      <c r="A7" s="126" t="inlineStr">
        <is>
          <t>T1/2025</t>
        </is>
      </c>
      <c r="B7" s="133" t="inlineStr">
        <is>
          <t>Lens 3 Tháng</t>
        </is>
      </c>
      <c r="C7" s="128" t="n">
        <v>1316</v>
      </c>
      <c r="D7" s="129" t="n">
        <v>1181</v>
      </c>
      <c r="E7" s="129" t="n">
        <v>105</v>
      </c>
      <c r="F7" s="129" t="n">
        <v>17</v>
      </c>
      <c r="G7" s="129" t="n">
        <v>6</v>
      </c>
      <c r="H7" s="129" t="n">
        <v>7</v>
      </c>
      <c r="I7" s="130" t="n">
        <v>0</v>
      </c>
      <c r="J7" s="130" t="n">
        <v>0</v>
      </c>
      <c r="K7" s="130" t="n">
        <v>0</v>
      </c>
      <c r="L7" s="131" t="n">
        <v>439</v>
      </c>
      <c r="M7" s="130" t="n">
        <v>0</v>
      </c>
      <c r="N7" s="131" t="n">
        <v>141</v>
      </c>
    </row>
    <row r="8" ht="4.5" customHeight="1" s="149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4" t="n"/>
      <c r="N8" s="134" t="n"/>
    </row>
    <row r="9" ht="15.75" customHeight="1" s="149">
      <c r="A9" s="126" t="inlineStr">
        <is>
          <t>T2/2025</t>
        </is>
      </c>
      <c r="B9" s="127" t="inlineStr">
        <is>
          <t>Lens 1 Ngày</t>
        </is>
      </c>
      <c r="C9" s="128" t="n">
        <v>418</v>
      </c>
      <c r="D9" s="129" t="n">
        <v>123</v>
      </c>
      <c r="E9" s="129" t="n">
        <v>68</v>
      </c>
      <c r="F9" s="129" t="n">
        <v>127</v>
      </c>
      <c r="G9" s="129" t="n">
        <v>18</v>
      </c>
      <c r="H9" s="129" t="n">
        <v>49</v>
      </c>
      <c r="I9" s="129" t="n">
        <v>22</v>
      </c>
      <c r="J9" s="129" t="n">
        <v>11</v>
      </c>
      <c r="K9" s="130" t="n">
        <v>0</v>
      </c>
      <c r="L9" s="131" t="n">
        <v>184</v>
      </c>
      <c r="M9" s="130" t="n">
        <v>0</v>
      </c>
      <c r="N9" s="131" t="n">
        <v>191</v>
      </c>
    </row>
    <row r="10" ht="15.75" customHeight="1" s="149">
      <c r="A10" s="126" t="inlineStr">
        <is>
          <t>T2/2025</t>
        </is>
      </c>
      <c r="B10" s="132" t="inlineStr">
        <is>
          <t>Lens 1 Tháng</t>
        </is>
      </c>
      <c r="C10" s="128" t="n">
        <v>567</v>
      </c>
      <c r="D10" s="129" t="n">
        <v>381</v>
      </c>
      <c r="E10" s="129" t="n">
        <v>111</v>
      </c>
      <c r="F10" s="129" t="n">
        <v>57</v>
      </c>
      <c r="G10" s="129" t="n">
        <v>9</v>
      </c>
      <c r="H10" s="129" t="n">
        <v>7</v>
      </c>
      <c r="I10" s="129" t="n">
        <v>2</v>
      </c>
      <c r="J10" s="130" t="n">
        <v>0</v>
      </c>
      <c r="K10" s="130" t="n">
        <v>0</v>
      </c>
      <c r="L10" s="131" t="n">
        <v>185</v>
      </c>
      <c r="M10" s="130" t="n">
        <v>0</v>
      </c>
      <c r="N10" s="131" t="n">
        <v>71</v>
      </c>
    </row>
    <row r="11" ht="15.75" customHeight="1" s="149">
      <c r="A11" s="126" t="inlineStr">
        <is>
          <t>T2/2025</t>
        </is>
      </c>
      <c r="B11" s="133" t="inlineStr">
        <is>
          <t>Lens 3 Tháng</t>
        </is>
      </c>
      <c r="C11" s="128" t="n">
        <v>750</v>
      </c>
      <c r="D11" s="129" t="n">
        <v>636</v>
      </c>
      <c r="E11" s="129" t="n">
        <v>93</v>
      </c>
      <c r="F11" s="129" t="n">
        <v>9</v>
      </c>
      <c r="G11" s="129" t="n">
        <v>9</v>
      </c>
      <c r="H11" s="129" t="n">
        <v>3</v>
      </c>
      <c r="I11" s="130" t="n">
        <v>0</v>
      </c>
      <c r="J11" s="130" t="n">
        <v>0</v>
      </c>
      <c r="K11" s="130" t="n">
        <v>0</v>
      </c>
      <c r="L11" s="131" t="n">
        <v>239</v>
      </c>
      <c r="M11" s="130" t="n">
        <v>0</v>
      </c>
      <c r="N11" s="131" t="n">
        <v>104</v>
      </c>
    </row>
    <row r="12" ht="4.5" customHeight="1" s="149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</row>
    <row r="13" ht="15.75" customHeight="1" s="149">
      <c r="A13" s="126" t="inlineStr">
        <is>
          <t>T3/2025</t>
        </is>
      </c>
      <c r="B13" s="127" t="inlineStr">
        <is>
          <t>Lens 1 Ngày</t>
        </is>
      </c>
      <c r="C13" s="128" t="n">
        <v>483</v>
      </c>
      <c r="D13" s="129" t="n">
        <v>167</v>
      </c>
      <c r="E13" s="129" t="n">
        <v>64</v>
      </c>
      <c r="F13" s="129" t="n">
        <v>132</v>
      </c>
      <c r="G13" s="129" t="n">
        <v>22</v>
      </c>
      <c r="H13" s="129" t="n">
        <v>59</v>
      </c>
      <c r="I13" s="129" t="n">
        <v>24</v>
      </c>
      <c r="J13" s="129" t="n">
        <v>15</v>
      </c>
      <c r="K13" s="130" t="n">
        <v>0</v>
      </c>
      <c r="L13" s="131" t="n">
        <v>176</v>
      </c>
      <c r="M13" s="130" t="n">
        <v>0</v>
      </c>
      <c r="N13" s="131" t="n">
        <v>232</v>
      </c>
    </row>
    <row r="14" ht="15.75" customHeight="1" s="149">
      <c r="A14" s="126" t="inlineStr">
        <is>
          <t>T3/2025</t>
        </is>
      </c>
      <c r="B14" s="132" t="inlineStr">
        <is>
          <t>Lens 1 Tháng</t>
        </is>
      </c>
      <c r="C14" s="128" t="n">
        <v>695</v>
      </c>
      <c r="D14" s="129" t="n">
        <v>493</v>
      </c>
      <c r="E14" s="129" t="n">
        <v>121</v>
      </c>
      <c r="F14" s="129" t="n">
        <v>69</v>
      </c>
      <c r="G14" s="129" t="n">
        <v>2</v>
      </c>
      <c r="H14" s="129" t="n">
        <v>7</v>
      </c>
      <c r="I14" s="129" t="n">
        <v>3</v>
      </c>
      <c r="J14" s="130" t="n">
        <v>0</v>
      </c>
      <c r="K14" s="130" t="n">
        <v>0</v>
      </c>
      <c r="L14" s="131" t="n">
        <v>184</v>
      </c>
      <c r="M14" s="130" t="n">
        <v>0</v>
      </c>
      <c r="N14" s="131" t="n">
        <v>73</v>
      </c>
    </row>
    <row r="15" ht="15.75" customHeight="1" s="149">
      <c r="A15" s="126" t="inlineStr">
        <is>
          <t>T3/2025</t>
        </is>
      </c>
      <c r="B15" s="133" t="inlineStr">
        <is>
          <t>Lens 3 Tháng</t>
        </is>
      </c>
      <c r="C15" s="128" t="n">
        <v>844</v>
      </c>
      <c r="D15" s="129" t="n">
        <v>740</v>
      </c>
      <c r="E15" s="129" t="n">
        <v>78</v>
      </c>
      <c r="F15" s="129" t="n">
        <v>15</v>
      </c>
      <c r="G15" s="129" t="n">
        <v>5</v>
      </c>
      <c r="H15" s="129" t="n">
        <v>6</v>
      </c>
      <c r="I15" s="130" t="n">
        <v>0</v>
      </c>
      <c r="J15" s="130" t="n">
        <v>0</v>
      </c>
      <c r="K15" s="130" t="n">
        <v>0</v>
      </c>
      <c r="L15" s="131" t="n">
        <v>238</v>
      </c>
      <c r="M15" s="130" t="n">
        <v>0</v>
      </c>
      <c r="N15" s="131" t="n">
        <v>92</v>
      </c>
    </row>
    <row r="16" ht="4.5" customHeight="1" s="149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  <c r="M16" s="134" t="n"/>
      <c r="N16" s="134" t="n"/>
    </row>
    <row r="17" ht="15.75" customHeight="1" s="149">
      <c r="A17" s="126" t="inlineStr">
        <is>
          <t>T4/2025</t>
        </is>
      </c>
      <c r="B17" s="127" t="inlineStr">
        <is>
          <t>Lens 1 Ngày</t>
        </is>
      </c>
      <c r="C17" s="128" t="n">
        <v>473</v>
      </c>
      <c r="D17" s="129" t="n">
        <v>149</v>
      </c>
      <c r="E17" s="129" t="n">
        <v>89</v>
      </c>
      <c r="F17" s="129" t="n">
        <v>100</v>
      </c>
      <c r="G17" s="129" t="n">
        <v>22</v>
      </c>
      <c r="H17" s="129" t="n">
        <v>78</v>
      </c>
      <c r="I17" s="129" t="n">
        <v>21</v>
      </c>
      <c r="J17" s="129" t="n">
        <v>14</v>
      </c>
      <c r="K17" s="130" t="n">
        <v>0</v>
      </c>
      <c r="L17" s="131" t="n">
        <v>180</v>
      </c>
      <c r="M17" s="130" t="n">
        <v>0</v>
      </c>
      <c r="N17" s="131" t="n">
        <v>232</v>
      </c>
    </row>
    <row r="18" ht="15.75" customHeight="1" s="149">
      <c r="A18" s="126" t="inlineStr">
        <is>
          <t>T4/2025</t>
        </is>
      </c>
      <c r="B18" s="132" t="inlineStr">
        <is>
          <t>Lens 1 Tháng</t>
        </is>
      </c>
      <c r="C18" s="128" t="n">
        <v>611</v>
      </c>
      <c r="D18" s="129" t="n">
        <v>429</v>
      </c>
      <c r="E18" s="129" t="n">
        <v>108</v>
      </c>
      <c r="F18" s="129" t="n">
        <v>59</v>
      </c>
      <c r="G18" s="129" t="n">
        <v>5</v>
      </c>
      <c r="H18" s="129" t="n">
        <v>8</v>
      </c>
      <c r="I18" s="129" t="n">
        <v>2</v>
      </c>
      <c r="J18" s="130" t="n">
        <v>0</v>
      </c>
      <c r="K18" s="130" t="n">
        <v>0</v>
      </c>
      <c r="L18" s="131" t="n">
        <v>160</v>
      </c>
      <c r="M18" s="130" t="n">
        <v>0</v>
      </c>
      <c r="N18" s="131" t="n">
        <v>76</v>
      </c>
    </row>
    <row r="19" ht="15.75" customHeight="1" s="149">
      <c r="A19" s="126" t="inlineStr">
        <is>
          <t>T4/2025</t>
        </is>
      </c>
      <c r="B19" s="133" t="inlineStr">
        <is>
          <t>Lens 3 Tháng</t>
        </is>
      </c>
      <c r="C19" s="128" t="n">
        <v>782</v>
      </c>
      <c r="D19" s="129" t="n">
        <v>696</v>
      </c>
      <c r="E19" s="129" t="n">
        <v>63</v>
      </c>
      <c r="F19" s="129" t="n">
        <v>14</v>
      </c>
      <c r="G19" s="129" t="n">
        <v>3</v>
      </c>
      <c r="H19" s="129" t="n">
        <v>6</v>
      </c>
      <c r="I19" s="130" t="n">
        <v>0</v>
      </c>
      <c r="J19" s="130" t="n">
        <v>0</v>
      </c>
      <c r="K19" s="130" t="n">
        <v>0</v>
      </c>
      <c r="L19" s="131" t="n">
        <v>220</v>
      </c>
      <c r="M19" s="130" t="n">
        <v>0</v>
      </c>
      <c r="N19" s="131" t="n">
        <v>76</v>
      </c>
    </row>
    <row r="20" ht="4.5" customHeight="1" s="149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</row>
    <row r="21" ht="15.75" customHeight="1" s="149">
      <c r="A21" s="126" t="inlineStr">
        <is>
          <t>T5/2025</t>
        </is>
      </c>
      <c r="B21" s="127" t="inlineStr">
        <is>
          <t>Lens 1 Ngày</t>
        </is>
      </c>
      <c r="C21" s="128" t="n">
        <v>522</v>
      </c>
      <c r="D21" s="129" t="n">
        <v>193</v>
      </c>
      <c r="E21" s="129" t="n">
        <v>99</v>
      </c>
      <c r="F21" s="129" t="n">
        <v>110</v>
      </c>
      <c r="G21" s="129" t="n">
        <v>22</v>
      </c>
      <c r="H21" s="129" t="n">
        <v>64</v>
      </c>
      <c r="I21" s="129" t="n">
        <v>20</v>
      </c>
      <c r="J21" s="129" t="n">
        <v>14</v>
      </c>
      <c r="K21" s="130" t="n">
        <v>0</v>
      </c>
      <c r="L21" s="131" t="n">
        <v>206</v>
      </c>
      <c r="M21" s="130" t="n">
        <v>0</v>
      </c>
      <c r="N21" s="131" t="n">
        <v>246</v>
      </c>
    </row>
    <row r="22" ht="15.75" customHeight="1" s="149">
      <c r="A22" s="126" t="inlineStr">
        <is>
          <t>T5/2025</t>
        </is>
      </c>
      <c r="B22" s="132" t="inlineStr">
        <is>
          <t>Lens 1 Tháng</t>
        </is>
      </c>
      <c r="C22" s="128" t="n">
        <v>640</v>
      </c>
      <c r="D22" s="129" t="n">
        <v>454</v>
      </c>
      <c r="E22" s="129" t="n">
        <v>119</v>
      </c>
      <c r="F22" s="129" t="n">
        <v>40</v>
      </c>
      <c r="G22" s="129" t="n">
        <v>15</v>
      </c>
      <c r="H22" s="129" t="n">
        <v>8</v>
      </c>
      <c r="I22" s="129" t="n">
        <v>3</v>
      </c>
      <c r="J22" s="129" t="n">
        <v>1</v>
      </c>
      <c r="K22" s="130" t="n">
        <v>0</v>
      </c>
      <c r="L22" s="131" t="n">
        <v>157</v>
      </c>
      <c r="M22" s="130" t="n">
        <v>0</v>
      </c>
      <c r="N22" s="131" t="n">
        <v>69</v>
      </c>
    </row>
    <row r="23" ht="15.75" customHeight="1" s="149">
      <c r="A23" s="126" t="inlineStr">
        <is>
          <t>T5/2025</t>
        </is>
      </c>
      <c r="B23" s="133" t="inlineStr">
        <is>
          <t>Lens 3 Tháng</t>
        </is>
      </c>
      <c r="C23" s="128" t="n">
        <v>736</v>
      </c>
      <c r="D23" s="129" t="n">
        <v>636</v>
      </c>
      <c r="E23" s="129" t="n">
        <v>80</v>
      </c>
      <c r="F23" s="129" t="n">
        <v>9</v>
      </c>
      <c r="G23" s="129" t="n">
        <v>5</v>
      </c>
      <c r="H23" s="129" t="n">
        <v>6</v>
      </c>
      <c r="I23" s="130" t="n">
        <v>0</v>
      </c>
      <c r="J23" s="130" t="n">
        <v>0</v>
      </c>
      <c r="K23" s="130" t="n">
        <v>0</v>
      </c>
      <c r="L23" s="131" t="n">
        <v>183</v>
      </c>
      <c r="M23" s="130" t="n">
        <v>0</v>
      </c>
      <c r="N23" s="131" t="n">
        <v>86</v>
      </c>
    </row>
    <row r="24" ht="4.5" customHeight="1" s="149">
      <c r="A24" s="134" t="n"/>
      <c r="B24" s="134" t="n"/>
      <c r="C24" s="134" t="n"/>
      <c r="D24" s="134" t="n"/>
      <c r="E24" s="134" t="n"/>
      <c r="F24" s="134" t="n"/>
      <c r="G24" s="134" t="n"/>
      <c r="H24" s="134" t="n"/>
      <c r="I24" s="134" t="n"/>
      <c r="J24" s="134" t="n"/>
      <c r="K24" s="134" t="n"/>
      <c r="L24" s="134" t="n"/>
      <c r="M24" s="134" t="n"/>
      <c r="N24" s="134" t="n"/>
    </row>
    <row r="25" ht="15.75" customHeight="1" s="149">
      <c r="A25" s="126" t="inlineStr">
        <is>
          <t>T6/2025</t>
        </is>
      </c>
      <c r="B25" s="127" t="inlineStr">
        <is>
          <t>Lens 1 Ngày</t>
        </is>
      </c>
      <c r="C25" s="128" t="n">
        <v>467</v>
      </c>
      <c r="D25" s="129" t="n">
        <v>170</v>
      </c>
      <c r="E25" s="129" t="n">
        <v>91</v>
      </c>
      <c r="F25" s="129" t="n">
        <v>110</v>
      </c>
      <c r="G25" s="129" t="n">
        <v>10</v>
      </c>
      <c r="H25" s="129" t="n">
        <v>61</v>
      </c>
      <c r="I25" s="129" t="n">
        <v>18</v>
      </c>
      <c r="J25" s="129" t="n">
        <v>7</v>
      </c>
      <c r="K25" s="130" t="n">
        <v>0</v>
      </c>
      <c r="L25" s="131" t="n">
        <v>174</v>
      </c>
      <c r="M25" s="130" t="n">
        <v>0</v>
      </c>
      <c r="N25" s="131" t="n">
        <v>213</v>
      </c>
    </row>
    <row r="26" ht="15.75" customHeight="1" s="149">
      <c r="A26" s="126" t="inlineStr">
        <is>
          <t>T6/2025</t>
        </is>
      </c>
      <c r="B26" s="132" t="inlineStr">
        <is>
          <t>Lens 1 Tháng</t>
        </is>
      </c>
      <c r="C26" s="128" t="n">
        <v>640</v>
      </c>
      <c r="D26" s="129" t="n">
        <v>439</v>
      </c>
      <c r="E26" s="129" t="n">
        <v>128</v>
      </c>
      <c r="F26" s="129" t="n">
        <v>56</v>
      </c>
      <c r="G26" s="129" t="n">
        <v>8</v>
      </c>
      <c r="H26" s="129" t="n">
        <v>8</v>
      </c>
      <c r="I26" s="129" t="n">
        <v>1</v>
      </c>
      <c r="J26" s="130" t="n">
        <v>0</v>
      </c>
      <c r="K26" s="130" t="n">
        <v>0</v>
      </c>
      <c r="L26" s="131" t="n">
        <v>177</v>
      </c>
      <c r="M26" s="130" t="n">
        <v>0</v>
      </c>
      <c r="N26" s="131" t="n">
        <v>94</v>
      </c>
    </row>
    <row r="27" ht="15.75" customHeight="1" s="149">
      <c r="A27" s="126" t="inlineStr">
        <is>
          <t>T6/2025</t>
        </is>
      </c>
      <c r="B27" s="133" t="inlineStr">
        <is>
          <t>Lens 3 Tháng</t>
        </is>
      </c>
      <c r="C27" s="128" t="n">
        <v>665</v>
      </c>
      <c r="D27" s="129" t="n">
        <v>567</v>
      </c>
      <c r="E27" s="129" t="n">
        <v>71</v>
      </c>
      <c r="F27" s="129" t="n">
        <v>19</v>
      </c>
      <c r="G27" s="129" t="n">
        <v>3</v>
      </c>
      <c r="H27" s="129" t="n">
        <v>5</v>
      </c>
      <c r="I27" s="130" t="n">
        <v>0</v>
      </c>
      <c r="J27" s="130" t="n">
        <v>0</v>
      </c>
      <c r="K27" s="130" t="n">
        <v>0</v>
      </c>
      <c r="L27" s="131" t="n">
        <v>184</v>
      </c>
      <c r="M27" s="130" t="n">
        <v>0</v>
      </c>
      <c r="N27" s="131" t="n">
        <v>88</v>
      </c>
    </row>
    <row r="28" ht="4.5" customHeight="1" s="149">
      <c r="A28" s="134" t="n"/>
      <c r="B28" s="134" t="n"/>
      <c r="C28" s="134" t="n"/>
      <c r="D28" s="134" t="n"/>
      <c r="E28" s="134" t="n"/>
      <c r="F28" s="134" t="n"/>
      <c r="G28" s="134" t="n"/>
      <c r="H28" s="134" t="n"/>
      <c r="I28" s="134" t="n"/>
      <c r="J28" s="134" t="n"/>
      <c r="K28" s="134" t="n"/>
      <c r="L28" s="134" t="n"/>
      <c r="M28" s="134" t="n"/>
      <c r="N28" s="134" t="n"/>
    </row>
    <row r="29" ht="15.75" customHeight="1" s="149">
      <c r="A29" s="126" t="inlineStr">
        <is>
          <t>T7/2025</t>
        </is>
      </c>
      <c r="B29" s="127" t="inlineStr">
        <is>
          <t>Lens 1 Ngày</t>
        </is>
      </c>
      <c r="C29" s="128" t="n">
        <v>516</v>
      </c>
      <c r="D29" s="129" t="n">
        <v>187</v>
      </c>
      <c r="E29" s="129" t="n">
        <v>92</v>
      </c>
      <c r="F29" s="129" t="n">
        <v>108</v>
      </c>
      <c r="G29" s="129" t="n">
        <v>17</v>
      </c>
      <c r="H29" s="129" t="n">
        <v>72</v>
      </c>
      <c r="I29" s="129" t="n">
        <v>30</v>
      </c>
      <c r="J29" s="129" t="n">
        <v>10</v>
      </c>
      <c r="K29" s="130" t="n">
        <v>0</v>
      </c>
      <c r="L29" s="131" t="n">
        <v>180</v>
      </c>
      <c r="M29" s="130" t="n">
        <v>0</v>
      </c>
      <c r="N29" s="131" t="n">
        <v>242</v>
      </c>
    </row>
    <row r="30" ht="15.75" customHeight="1" s="149">
      <c r="A30" s="126" t="inlineStr">
        <is>
          <t>T7/2025</t>
        </is>
      </c>
      <c r="B30" s="132" t="inlineStr">
        <is>
          <t>Lens 1 Tháng</t>
        </is>
      </c>
      <c r="C30" s="128" t="n">
        <v>678</v>
      </c>
      <c r="D30" s="129" t="n">
        <v>468</v>
      </c>
      <c r="E30" s="129" t="n">
        <v>108</v>
      </c>
      <c r="F30" s="129" t="n">
        <v>80</v>
      </c>
      <c r="G30" s="129" t="n">
        <v>5</v>
      </c>
      <c r="H30" s="129" t="n">
        <v>17</v>
      </c>
      <c r="I30" s="130" t="n">
        <v>0</v>
      </c>
      <c r="J30" s="130" t="n">
        <v>0</v>
      </c>
      <c r="K30" s="130" t="n">
        <v>0</v>
      </c>
      <c r="L30" s="131" t="n">
        <v>187</v>
      </c>
      <c r="M30" s="130" t="n">
        <v>0</v>
      </c>
      <c r="N30" s="131" t="n">
        <v>106</v>
      </c>
    </row>
    <row r="31" ht="15.75" customHeight="1" s="149">
      <c r="A31" s="126" t="inlineStr">
        <is>
          <t>T7/2025</t>
        </is>
      </c>
      <c r="B31" s="133" t="inlineStr">
        <is>
          <t>Lens 3 Tháng</t>
        </is>
      </c>
      <c r="C31" s="128" t="n">
        <v>713</v>
      </c>
      <c r="D31" s="129" t="n">
        <v>598</v>
      </c>
      <c r="E31" s="129" t="n">
        <v>91</v>
      </c>
      <c r="F31" s="129" t="n">
        <v>14</v>
      </c>
      <c r="G31" s="129" t="n">
        <v>6</v>
      </c>
      <c r="H31" s="129" t="n">
        <v>3</v>
      </c>
      <c r="I31" s="129" t="n">
        <v>1</v>
      </c>
      <c r="J31" s="130" t="n">
        <v>0</v>
      </c>
      <c r="K31" s="130" t="n">
        <v>0</v>
      </c>
      <c r="L31" s="131" t="n">
        <v>201</v>
      </c>
      <c r="M31" s="130" t="n">
        <v>0</v>
      </c>
      <c r="N31" s="131" t="n">
        <v>101</v>
      </c>
    </row>
    <row r="32" ht="4.5" customHeight="1" s="149">
      <c r="A32" s="134" t="n"/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</row>
    <row r="33" ht="15.75" customHeight="1" s="149">
      <c r="A33" s="126" t="inlineStr">
        <is>
          <t>T8/2025</t>
        </is>
      </c>
      <c r="B33" s="127" t="inlineStr">
        <is>
          <t>Lens 1 Ngày</t>
        </is>
      </c>
      <c r="C33" s="128" t="n">
        <v>644</v>
      </c>
      <c r="D33" s="129" t="n">
        <v>208</v>
      </c>
      <c r="E33" s="129" t="n">
        <v>100</v>
      </c>
      <c r="F33" s="129" t="n">
        <v>173</v>
      </c>
      <c r="G33" s="129" t="n">
        <v>30</v>
      </c>
      <c r="H33" s="129" t="n">
        <v>79</v>
      </c>
      <c r="I33" s="129" t="n">
        <v>31</v>
      </c>
      <c r="J33" s="129" t="n">
        <v>23</v>
      </c>
      <c r="K33" s="130" t="n">
        <v>0</v>
      </c>
      <c r="L33" s="131" t="n">
        <v>242</v>
      </c>
      <c r="M33" s="130" t="n">
        <v>0</v>
      </c>
      <c r="N33" s="131" t="n">
        <v>294</v>
      </c>
    </row>
    <row r="34" ht="15.75" customHeight="1" s="149">
      <c r="A34" s="126" t="inlineStr">
        <is>
          <t>T8/2025</t>
        </is>
      </c>
      <c r="B34" s="132" t="inlineStr">
        <is>
          <t>Lens 1 Tháng</t>
        </is>
      </c>
      <c r="C34" s="128" t="n">
        <v>819</v>
      </c>
      <c r="D34" s="129" t="n">
        <v>574</v>
      </c>
      <c r="E34" s="129" t="n">
        <v>131</v>
      </c>
      <c r="F34" s="129" t="n">
        <v>88</v>
      </c>
      <c r="G34" s="129" t="n">
        <v>10</v>
      </c>
      <c r="H34" s="129" t="n">
        <v>13</v>
      </c>
      <c r="I34" s="129" t="n">
        <v>3</v>
      </c>
      <c r="J34" s="130" t="n">
        <v>0</v>
      </c>
      <c r="K34" s="130" t="n">
        <v>0</v>
      </c>
      <c r="L34" s="131" t="n">
        <v>196</v>
      </c>
      <c r="M34" s="130" t="n">
        <v>0</v>
      </c>
      <c r="N34" s="131" t="n">
        <v>132</v>
      </c>
    </row>
    <row r="35" ht="15.75" customHeight="1" s="149">
      <c r="A35" s="126" t="inlineStr">
        <is>
          <t>T8/2025</t>
        </is>
      </c>
      <c r="B35" s="133" t="inlineStr">
        <is>
          <t>Lens 3 Tháng</t>
        </is>
      </c>
      <c r="C35" s="128" t="n">
        <v>773</v>
      </c>
      <c r="D35" s="129" t="n">
        <v>646</v>
      </c>
      <c r="E35" s="129" t="n">
        <v>98</v>
      </c>
      <c r="F35" s="129" t="n">
        <v>13</v>
      </c>
      <c r="G35" s="129" t="n">
        <v>4</v>
      </c>
      <c r="H35" s="129" t="n">
        <v>8</v>
      </c>
      <c r="I35" s="129" t="n">
        <v>3</v>
      </c>
      <c r="J35" s="129" t="n">
        <v>1</v>
      </c>
      <c r="K35" s="130" t="n">
        <v>0</v>
      </c>
      <c r="L35" s="131" t="n">
        <v>198</v>
      </c>
      <c r="M35" s="130" t="n">
        <v>0</v>
      </c>
      <c r="N35" s="131" t="n">
        <v>129</v>
      </c>
    </row>
    <row r="36" ht="4.5" customHeight="1" s="149">
      <c r="A36" s="134" t="n"/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</row>
    <row r="37" ht="15.75" customHeight="1" s="149">
      <c r="A37" s="126" t="inlineStr">
        <is>
          <t>T9/2025</t>
        </is>
      </c>
      <c r="B37" s="127" t="inlineStr">
        <is>
          <t>Lens 1 Ngày</t>
        </is>
      </c>
      <c r="C37" s="128" t="n">
        <v>517</v>
      </c>
      <c r="D37" s="129" t="n">
        <v>167</v>
      </c>
      <c r="E37" s="129" t="n">
        <v>95</v>
      </c>
      <c r="F37" s="129" t="n">
        <v>128</v>
      </c>
      <c r="G37" s="129" t="n">
        <v>15</v>
      </c>
      <c r="H37" s="129" t="n">
        <v>68</v>
      </c>
      <c r="I37" s="129" t="n">
        <v>25</v>
      </c>
      <c r="J37" s="129" t="n">
        <v>19</v>
      </c>
      <c r="K37" s="130" t="n">
        <v>0</v>
      </c>
      <c r="L37" s="131" t="n">
        <v>159</v>
      </c>
      <c r="M37" s="130" t="n">
        <v>0</v>
      </c>
      <c r="N37" s="131" t="n">
        <v>239</v>
      </c>
    </row>
    <row r="38" ht="15.75" customHeight="1" s="149">
      <c r="A38" s="126" t="inlineStr">
        <is>
          <t>T9/2025</t>
        </is>
      </c>
      <c r="B38" s="132" t="inlineStr">
        <is>
          <t>Lens 1 Tháng</t>
        </is>
      </c>
      <c r="C38" s="128" t="n">
        <v>721</v>
      </c>
      <c r="D38" s="129" t="n">
        <v>531</v>
      </c>
      <c r="E38" s="129" t="n">
        <v>113</v>
      </c>
      <c r="F38" s="129" t="n">
        <v>54</v>
      </c>
      <c r="G38" s="129" t="n">
        <v>12</v>
      </c>
      <c r="H38" s="129" t="n">
        <v>10</v>
      </c>
      <c r="I38" s="129" t="n">
        <v>1</v>
      </c>
      <c r="J38" s="130" t="n">
        <v>0</v>
      </c>
      <c r="K38" s="130" t="n">
        <v>0</v>
      </c>
      <c r="L38" s="131" t="n">
        <v>174</v>
      </c>
      <c r="M38" s="130" t="n">
        <v>0</v>
      </c>
      <c r="N38" s="131" t="n">
        <v>116</v>
      </c>
    </row>
    <row r="39" ht="15.75" customHeight="1" s="149">
      <c r="A39" s="126" t="inlineStr">
        <is>
          <t>T9/2025</t>
        </is>
      </c>
      <c r="B39" s="133" t="inlineStr">
        <is>
          <t>Lens 3 Tháng</t>
        </is>
      </c>
      <c r="C39" s="128" t="n">
        <v>667</v>
      </c>
      <c r="D39" s="129" t="n">
        <v>534</v>
      </c>
      <c r="E39" s="129" t="n">
        <v>113</v>
      </c>
      <c r="F39" s="129" t="n">
        <v>14</v>
      </c>
      <c r="G39" s="129" t="n">
        <v>3</v>
      </c>
      <c r="H39" s="129" t="n">
        <v>3</v>
      </c>
      <c r="I39" s="130" t="n">
        <v>0</v>
      </c>
      <c r="J39" s="130" t="n">
        <v>0</v>
      </c>
      <c r="K39" s="130" t="n">
        <v>0</v>
      </c>
      <c r="L39" s="131" t="n">
        <v>167</v>
      </c>
      <c r="M39" s="130" t="n">
        <v>0</v>
      </c>
      <c r="N39" s="131" t="n">
        <v>119</v>
      </c>
    </row>
    <row r="40" ht="4.5" customHeight="1" s="149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  <c r="N40" s="134" t="n"/>
    </row>
    <row r="41" ht="15.75" customHeight="1" s="149">
      <c r="A41" s="126" t="inlineStr">
        <is>
          <t>T10/2025</t>
        </is>
      </c>
      <c r="B41" s="127" t="inlineStr">
        <is>
          <t>Lens 1 Ngày</t>
        </is>
      </c>
      <c r="C41" s="128" t="n">
        <v>797</v>
      </c>
      <c r="D41" s="129" t="n">
        <v>248</v>
      </c>
      <c r="E41" s="129" t="n">
        <v>140</v>
      </c>
      <c r="F41" s="129" t="n">
        <v>217</v>
      </c>
      <c r="G41" s="129" t="n">
        <v>29</v>
      </c>
      <c r="H41" s="129" t="n">
        <v>106</v>
      </c>
      <c r="I41" s="129" t="n">
        <v>42</v>
      </c>
      <c r="J41" s="129" t="n">
        <v>15</v>
      </c>
      <c r="K41" s="130" t="n">
        <v>0</v>
      </c>
      <c r="L41" s="131" t="n">
        <v>165</v>
      </c>
      <c r="M41" s="130" t="n">
        <v>0</v>
      </c>
      <c r="N41" s="131" t="n">
        <v>361</v>
      </c>
    </row>
    <row r="42" ht="15.75" customHeight="1" s="149">
      <c r="A42" s="126" t="inlineStr">
        <is>
          <t>T10/2025</t>
        </is>
      </c>
      <c r="B42" s="132" t="inlineStr">
        <is>
          <t>Lens 1 Tháng</t>
        </is>
      </c>
      <c r="C42" s="128" t="n">
        <v>1009</v>
      </c>
      <c r="D42" s="129" t="n">
        <v>726</v>
      </c>
      <c r="E42" s="129" t="n">
        <v>190</v>
      </c>
      <c r="F42" s="129" t="n">
        <v>65</v>
      </c>
      <c r="G42" s="129" t="n">
        <v>11</v>
      </c>
      <c r="H42" s="129" t="n">
        <v>15</v>
      </c>
      <c r="I42" s="129" t="n">
        <v>2</v>
      </c>
      <c r="J42" s="130" t="n">
        <v>0</v>
      </c>
      <c r="K42" s="130" t="n">
        <v>0</v>
      </c>
      <c r="L42" s="131" t="n">
        <v>234</v>
      </c>
      <c r="M42" s="130" t="n">
        <v>0</v>
      </c>
      <c r="N42" s="131" t="n">
        <v>170</v>
      </c>
    </row>
    <row r="43" ht="15.75" customHeight="1" s="149">
      <c r="A43" s="126" t="inlineStr">
        <is>
          <t>T10/2025</t>
        </is>
      </c>
      <c r="B43" s="133" t="inlineStr">
        <is>
          <t>Lens 3 Tháng</t>
        </is>
      </c>
      <c r="C43" s="128" t="n">
        <v>688</v>
      </c>
      <c r="D43" s="129" t="n">
        <v>588</v>
      </c>
      <c r="E43" s="129" t="n">
        <v>84</v>
      </c>
      <c r="F43" s="129" t="n">
        <v>8</v>
      </c>
      <c r="G43" s="129" t="n">
        <v>3</v>
      </c>
      <c r="H43" s="129" t="n">
        <v>4</v>
      </c>
      <c r="I43" s="129" t="n">
        <v>1</v>
      </c>
      <c r="J43" s="130" t="n">
        <v>0</v>
      </c>
      <c r="K43" s="130" t="n">
        <v>0</v>
      </c>
      <c r="L43" s="131" t="n">
        <v>167</v>
      </c>
      <c r="M43" s="130" t="n">
        <v>0</v>
      </c>
      <c r="N43" s="131" t="n">
        <v>99</v>
      </c>
    </row>
    <row r="44" ht="4.5" customHeight="1" s="149">
      <c r="A44" s="134" t="n"/>
      <c r="B44" s="134" t="n"/>
      <c r="C44" s="134" t="n"/>
      <c r="D44" s="134" t="n"/>
      <c r="E44" s="134" t="n"/>
      <c r="F44" s="134" t="n"/>
      <c r="G44" s="134" t="n"/>
      <c r="H44" s="134" t="n"/>
      <c r="I44" s="134" t="n"/>
      <c r="J44" s="134" t="n"/>
      <c r="K44" s="134" t="n"/>
      <c r="L44" s="134" t="n"/>
      <c r="M44" s="134" t="n"/>
      <c r="N44" s="134" t="n"/>
    </row>
    <row r="45" ht="15.75" customHeight="1" s="149">
      <c r="A45" s="126" t="inlineStr">
        <is>
          <t>T11/2025</t>
        </is>
      </c>
      <c r="B45" s="127" t="inlineStr">
        <is>
          <t>Lens 1 Ngày</t>
        </is>
      </c>
      <c r="C45" s="128" t="n">
        <v>1017</v>
      </c>
      <c r="D45" s="129" t="n">
        <v>334</v>
      </c>
      <c r="E45" s="129" t="n">
        <v>178</v>
      </c>
      <c r="F45" s="129" t="n">
        <v>277</v>
      </c>
      <c r="G45" s="129" t="n">
        <v>27</v>
      </c>
      <c r="H45" s="129" t="n">
        <v>123</v>
      </c>
      <c r="I45" s="129" t="n">
        <v>54</v>
      </c>
      <c r="J45" s="129" t="n">
        <v>24</v>
      </c>
      <c r="K45" s="130" t="n">
        <v>0</v>
      </c>
      <c r="L45" s="131" t="n">
        <v>246</v>
      </c>
      <c r="M45" s="130" t="n">
        <v>0</v>
      </c>
      <c r="N45" s="131" t="n">
        <v>456</v>
      </c>
    </row>
    <row r="46" ht="15.75" customHeight="1" s="149">
      <c r="A46" s="126" t="inlineStr">
        <is>
          <t>T11/2025</t>
        </is>
      </c>
      <c r="B46" s="132" t="inlineStr">
        <is>
          <t>Lens 1 Tháng</t>
        </is>
      </c>
      <c r="C46" s="128" t="n">
        <v>1189</v>
      </c>
      <c r="D46" s="129" t="n">
        <v>876</v>
      </c>
      <c r="E46" s="129" t="n">
        <v>203</v>
      </c>
      <c r="F46" s="129" t="n">
        <v>88</v>
      </c>
      <c r="G46" s="129" t="n">
        <v>10</v>
      </c>
      <c r="H46" s="129" t="n">
        <v>11</v>
      </c>
      <c r="I46" s="129" t="n">
        <v>1</v>
      </c>
      <c r="J46" s="130" t="n">
        <v>0</v>
      </c>
      <c r="K46" s="130" t="n">
        <v>0</v>
      </c>
      <c r="L46" s="131" t="n">
        <v>275</v>
      </c>
      <c r="M46" s="130" t="n">
        <v>0</v>
      </c>
      <c r="N46" s="131" t="n">
        <v>210</v>
      </c>
    </row>
    <row r="47" ht="15.75" customHeight="1" s="149">
      <c r="A47" s="126" t="inlineStr">
        <is>
          <t>T11/2025</t>
        </is>
      </c>
      <c r="B47" s="133" t="inlineStr">
        <is>
          <t>Lens 3 Tháng</t>
        </is>
      </c>
      <c r="C47" s="128" t="n">
        <v>1102</v>
      </c>
      <c r="D47" s="129" t="n">
        <v>915</v>
      </c>
      <c r="E47" s="129" t="n">
        <v>152</v>
      </c>
      <c r="F47" s="129" t="n">
        <v>20</v>
      </c>
      <c r="G47" s="129" t="n">
        <v>8</v>
      </c>
      <c r="H47" s="129" t="n">
        <v>6</v>
      </c>
      <c r="I47" s="129" t="n">
        <v>1</v>
      </c>
      <c r="J47" s="130" t="n">
        <v>0</v>
      </c>
      <c r="K47" s="130" t="n">
        <v>0</v>
      </c>
      <c r="L47" s="131" t="n">
        <v>261</v>
      </c>
      <c r="M47" s="130" t="n">
        <v>0</v>
      </c>
      <c r="N47" s="131" t="n">
        <v>166</v>
      </c>
    </row>
    <row r="48" ht="4.5" customHeight="1" s="149">
      <c r="A48" s="134" t="n"/>
      <c r="B48" s="134" t="n"/>
      <c r="C48" s="134" t="n"/>
      <c r="D48" s="134" t="n"/>
      <c r="E48" s="134" t="n"/>
      <c r="F48" s="134" t="n"/>
      <c r="G48" s="134" t="n"/>
      <c r="H48" s="134" t="n"/>
      <c r="I48" s="134" t="n"/>
      <c r="J48" s="134" t="n"/>
      <c r="K48" s="134" t="n"/>
      <c r="L48" s="134" t="n"/>
      <c r="M48" s="134" t="n"/>
      <c r="N48" s="134" t="n"/>
    </row>
    <row r="49" ht="15.75" customHeight="1" s="149">
      <c r="A49" s="126" t="inlineStr">
        <is>
          <t>T12/2025</t>
        </is>
      </c>
      <c r="B49" s="127" t="inlineStr">
        <is>
          <t>Lens 1 Ngày</t>
        </is>
      </c>
      <c r="C49" s="128" t="n">
        <v>1102</v>
      </c>
      <c r="D49" s="129" t="n">
        <v>384</v>
      </c>
      <c r="E49" s="129" t="n">
        <v>175</v>
      </c>
      <c r="F49" s="129" t="n">
        <v>287</v>
      </c>
      <c r="G49" s="129" t="n">
        <v>24</v>
      </c>
      <c r="H49" s="129" t="n">
        <v>151</v>
      </c>
      <c r="I49" s="129" t="n">
        <v>60</v>
      </c>
      <c r="J49" s="129" t="n">
        <v>21</v>
      </c>
      <c r="K49" s="130" t="n">
        <v>0</v>
      </c>
      <c r="L49" s="131" t="n">
        <v>400</v>
      </c>
      <c r="M49" s="130" t="n">
        <v>0</v>
      </c>
      <c r="N49" s="131" t="n">
        <v>477</v>
      </c>
    </row>
    <row r="50" ht="15.75" customHeight="1" s="149">
      <c r="A50" s="126" t="inlineStr">
        <is>
          <t>T12/2025</t>
        </is>
      </c>
      <c r="B50" s="132" t="inlineStr">
        <is>
          <t>Lens 1 Tháng</t>
        </is>
      </c>
      <c r="C50" s="128" t="n">
        <v>1204</v>
      </c>
      <c r="D50" s="129" t="n">
        <v>878</v>
      </c>
      <c r="E50" s="129" t="n">
        <v>186</v>
      </c>
      <c r="F50" s="129" t="n">
        <v>105</v>
      </c>
      <c r="G50" s="129" t="n">
        <v>16</v>
      </c>
      <c r="H50" s="129" t="n">
        <v>19</v>
      </c>
      <c r="I50" s="130" t="n">
        <v>0</v>
      </c>
      <c r="J50" s="130" t="n">
        <v>0</v>
      </c>
      <c r="K50" s="130" t="n">
        <v>0</v>
      </c>
      <c r="L50" s="131" t="n">
        <v>331</v>
      </c>
      <c r="M50" s="130" t="n">
        <v>0</v>
      </c>
      <c r="N50" s="131" t="n">
        <v>214</v>
      </c>
    </row>
    <row r="51" ht="15.75" customHeight="1" s="149">
      <c r="A51" s="126" t="inlineStr">
        <is>
          <t>T12/2025</t>
        </is>
      </c>
      <c r="B51" s="133" t="inlineStr">
        <is>
          <t>Lens 3 Tháng</t>
        </is>
      </c>
      <c r="C51" s="128" t="n">
        <v>1092</v>
      </c>
      <c r="D51" s="129" t="n">
        <v>896</v>
      </c>
      <c r="E51" s="129" t="n">
        <v>154</v>
      </c>
      <c r="F51" s="129" t="n">
        <v>21</v>
      </c>
      <c r="G51" s="129" t="n">
        <v>11</v>
      </c>
      <c r="H51" s="129" t="n">
        <v>10</v>
      </c>
      <c r="I51" s="130" t="n">
        <v>0</v>
      </c>
      <c r="J51" s="130" t="n">
        <v>0</v>
      </c>
      <c r="K51" s="130" t="n">
        <v>0</v>
      </c>
      <c r="L51" s="131" t="n">
        <v>282</v>
      </c>
      <c r="M51" s="130" t="n">
        <v>0</v>
      </c>
      <c r="N51" s="131" t="n">
        <v>187</v>
      </c>
    </row>
    <row r="52" ht="4.5" customHeight="1" s="149">
      <c r="A52" s="134" t="n"/>
      <c r="B52" s="134" t="n"/>
      <c r="C52" s="134" t="n"/>
      <c r="D52" s="134" t="n"/>
      <c r="E52" s="134" t="n"/>
      <c r="F52" s="134" t="n"/>
      <c r="G52" s="134" t="n"/>
      <c r="H52" s="134" t="n"/>
      <c r="I52" s="134" t="n"/>
      <c r="J52" s="134" t="n"/>
      <c r="K52" s="134" t="n"/>
      <c r="L52" s="134" t="n"/>
      <c r="M52" s="134" t="n"/>
      <c r="N52" s="134" t="n"/>
    </row>
    <row r="53" ht="15.75" customHeight="1" s="149">
      <c r="A53" s="126" t="inlineStr">
        <is>
          <t>T1/2026</t>
        </is>
      </c>
      <c r="B53" s="127" t="inlineStr">
        <is>
          <t>Lens 1 Ngày</t>
        </is>
      </c>
      <c r="C53" s="128" t="n">
        <v>1267</v>
      </c>
      <c r="D53" s="129" t="n">
        <v>454</v>
      </c>
      <c r="E53" s="129" t="n">
        <v>162</v>
      </c>
      <c r="F53" s="129" t="n">
        <v>339</v>
      </c>
      <c r="G53" s="129" t="n">
        <v>26</v>
      </c>
      <c r="H53" s="129" t="n">
        <v>184</v>
      </c>
      <c r="I53" s="129" t="n">
        <v>72</v>
      </c>
      <c r="J53" s="129" t="n">
        <v>30</v>
      </c>
      <c r="K53" s="130" t="n">
        <v>0</v>
      </c>
      <c r="L53" s="131" t="n">
        <v>489</v>
      </c>
      <c r="M53" s="130" t="n">
        <v>0</v>
      </c>
      <c r="N53" s="131" t="n">
        <v>561</v>
      </c>
    </row>
    <row r="54" ht="15.75" customHeight="1" s="149">
      <c r="A54" s="126" t="inlineStr">
        <is>
          <t>T1/2026</t>
        </is>
      </c>
      <c r="B54" s="132" t="inlineStr">
        <is>
          <t>Lens 1 Tháng</t>
        </is>
      </c>
      <c r="C54" s="128" t="n">
        <v>1273</v>
      </c>
      <c r="D54" s="129" t="n">
        <v>940</v>
      </c>
      <c r="E54" s="129" t="n">
        <v>223</v>
      </c>
      <c r="F54" s="129" t="n">
        <v>76</v>
      </c>
      <c r="G54" s="129" t="n">
        <v>12</v>
      </c>
      <c r="H54" s="129" t="n">
        <v>20</v>
      </c>
      <c r="I54" s="129" t="n">
        <v>2</v>
      </c>
      <c r="J54" s="130" t="n">
        <v>0</v>
      </c>
      <c r="K54" s="130" t="n">
        <v>0</v>
      </c>
      <c r="L54" s="131" t="n">
        <v>338</v>
      </c>
      <c r="M54" s="130" t="n">
        <v>0</v>
      </c>
      <c r="N54" s="131" t="n">
        <v>221</v>
      </c>
    </row>
    <row r="55" ht="15.75" customHeight="1" s="149">
      <c r="A55" s="126" t="inlineStr">
        <is>
          <t>T1/2026</t>
        </is>
      </c>
      <c r="B55" s="133" t="inlineStr">
        <is>
          <t>Lens 3 Tháng</t>
        </is>
      </c>
      <c r="C55" s="128" t="n">
        <v>1246</v>
      </c>
      <c r="D55" s="129" t="n">
        <v>1021</v>
      </c>
      <c r="E55" s="129" t="n">
        <v>174</v>
      </c>
      <c r="F55" s="129" t="n">
        <v>27</v>
      </c>
      <c r="G55" s="129" t="n">
        <v>9</v>
      </c>
      <c r="H55" s="129" t="n">
        <v>14</v>
      </c>
      <c r="I55" s="129" t="n">
        <v>1</v>
      </c>
      <c r="J55" s="130" t="n">
        <v>0</v>
      </c>
      <c r="K55" s="130" t="n">
        <v>0</v>
      </c>
      <c r="L55" s="131" t="n">
        <v>309</v>
      </c>
      <c r="M55" s="130" t="n">
        <v>0</v>
      </c>
      <c r="N55" s="131" t="n">
        <v>215</v>
      </c>
    </row>
    <row r="56" ht="4.5" customHeight="1" s="149">
      <c r="A56" s="134" t="n"/>
      <c r="B56" s="134" t="n"/>
      <c r="C56" s="134" t="n"/>
      <c r="D56" s="134" t="n"/>
      <c r="E56" s="134" t="n"/>
      <c r="F56" s="134" t="n"/>
      <c r="G56" s="134" t="n"/>
      <c r="H56" s="134" t="n"/>
      <c r="I56" s="134" t="n"/>
      <c r="J56" s="134" t="n"/>
      <c r="K56" s="134" t="n"/>
      <c r="L56" s="134" t="n"/>
      <c r="M56" s="134" t="n"/>
      <c r="N56" s="134" t="n"/>
    </row>
    <row r="57" ht="15.75" customHeight="1" s="149">
      <c r="A57" s="126" t="inlineStr">
        <is>
          <t>T2/2026</t>
        </is>
      </c>
      <c r="B57" s="127" t="inlineStr">
        <is>
          <t>Lens 1 Ngày</t>
        </is>
      </c>
      <c r="C57" s="128" t="n">
        <v>791</v>
      </c>
      <c r="D57" s="129" t="n">
        <v>209</v>
      </c>
      <c r="E57" s="129" t="n">
        <v>84</v>
      </c>
      <c r="F57" s="129" t="n">
        <v>221</v>
      </c>
      <c r="G57" s="129" t="n">
        <v>21</v>
      </c>
      <c r="H57" s="129" t="n">
        <v>151</v>
      </c>
      <c r="I57" s="129" t="n">
        <v>76</v>
      </c>
      <c r="J57" s="129" t="n">
        <v>29</v>
      </c>
      <c r="K57" s="130" t="n">
        <v>0</v>
      </c>
      <c r="L57" s="131" t="n">
        <v>283</v>
      </c>
      <c r="M57" s="130" t="n">
        <v>0</v>
      </c>
      <c r="N57" s="131" t="n">
        <v>418</v>
      </c>
    </row>
    <row r="58" ht="15.75" customHeight="1" s="149">
      <c r="A58" s="126" t="inlineStr">
        <is>
          <t>T2/2026</t>
        </is>
      </c>
      <c r="B58" s="132" t="inlineStr">
        <is>
          <t>Lens 1 Tháng</t>
        </is>
      </c>
      <c r="C58" s="128" t="n">
        <v>1138</v>
      </c>
      <c r="D58" s="129" t="n">
        <v>866</v>
      </c>
      <c r="E58" s="129" t="n">
        <v>188</v>
      </c>
      <c r="F58" s="129" t="n">
        <v>59</v>
      </c>
      <c r="G58" s="129" t="n">
        <v>12</v>
      </c>
      <c r="H58" s="129" t="n">
        <v>12</v>
      </c>
      <c r="I58" s="129" t="n">
        <v>1</v>
      </c>
      <c r="J58" s="130" t="n">
        <v>0</v>
      </c>
      <c r="K58" s="130" t="n">
        <v>0</v>
      </c>
      <c r="L58" s="131" t="n">
        <v>258</v>
      </c>
      <c r="M58" s="130" t="n">
        <v>0</v>
      </c>
      <c r="N58" s="131" t="n">
        <v>177</v>
      </c>
    </row>
    <row r="59" ht="15.75" customHeight="1" s="149">
      <c r="A59" s="126" t="inlineStr">
        <is>
          <t>T2/2026</t>
        </is>
      </c>
      <c r="B59" s="133" t="inlineStr">
        <is>
          <t>Lens 3 Tháng</t>
        </is>
      </c>
      <c r="C59" s="128" t="n">
        <v>1015</v>
      </c>
      <c r="D59" s="129" t="n">
        <v>827</v>
      </c>
      <c r="E59" s="129" t="n">
        <v>137</v>
      </c>
      <c r="F59" s="129" t="n">
        <v>21</v>
      </c>
      <c r="G59" s="129" t="n">
        <v>15</v>
      </c>
      <c r="H59" s="129" t="n">
        <v>13</v>
      </c>
      <c r="I59" s="129" t="n">
        <v>2</v>
      </c>
      <c r="J59" s="130" t="n">
        <v>0</v>
      </c>
      <c r="K59" s="130" t="n">
        <v>0</v>
      </c>
      <c r="L59" s="131" t="n">
        <v>205</v>
      </c>
      <c r="M59" s="130" t="n">
        <v>0</v>
      </c>
      <c r="N59" s="131" t="n">
        <v>167</v>
      </c>
    </row>
    <row r="60" ht="4.5" customHeight="1" s="149">
      <c r="A60" s="134" t="n"/>
      <c r="B60" s="134" t="n"/>
      <c r="C60" s="134" t="n"/>
      <c r="D60" s="134" t="n"/>
      <c r="E60" s="134" t="n"/>
      <c r="F60" s="134" t="n"/>
      <c r="G60" s="134" t="n"/>
      <c r="H60" s="134" t="n"/>
      <c r="I60" s="134" t="n"/>
      <c r="J60" s="134" t="n"/>
      <c r="K60" s="134" t="n"/>
      <c r="L60" s="134" t="n"/>
      <c r="M60" s="134" t="n"/>
      <c r="N60" s="134" t="n"/>
    </row>
    <row r="61" ht="15.75" customHeight="1" s="149">
      <c r="A61" s="126" t="inlineStr">
        <is>
          <t>T3/2026</t>
        </is>
      </c>
      <c r="B61" s="127" t="inlineStr">
        <is>
          <t>Lens 1 Ngày</t>
        </is>
      </c>
      <c r="C61" s="128" t="n">
        <v>807</v>
      </c>
      <c r="D61" s="129" t="n">
        <v>258</v>
      </c>
      <c r="E61" s="129" t="n">
        <v>106</v>
      </c>
      <c r="F61" s="129" t="n">
        <v>198</v>
      </c>
      <c r="G61" s="129" t="n">
        <v>18</v>
      </c>
      <c r="H61" s="129" t="n">
        <v>135</v>
      </c>
      <c r="I61" s="129" t="n">
        <v>60</v>
      </c>
      <c r="J61" s="129" t="n">
        <v>32</v>
      </c>
      <c r="K61" s="131" t="n">
        <v>7</v>
      </c>
      <c r="L61" s="131" t="n">
        <v>275</v>
      </c>
      <c r="M61" s="131" t="n">
        <v>7</v>
      </c>
      <c r="N61" s="131" t="n">
        <v>358</v>
      </c>
    </row>
    <row r="62" ht="15.75" customHeight="1" s="149">
      <c r="A62" s="126" t="inlineStr">
        <is>
          <t>T3/2026</t>
        </is>
      </c>
      <c r="B62" s="132" t="inlineStr">
        <is>
          <t>Lens 1 Tháng</t>
        </is>
      </c>
      <c r="C62" s="128" t="n">
        <v>942</v>
      </c>
      <c r="D62" s="129" t="n">
        <v>683</v>
      </c>
      <c r="E62" s="129" t="n">
        <v>165</v>
      </c>
      <c r="F62" s="129" t="n">
        <v>71</v>
      </c>
      <c r="G62" s="129" t="n">
        <v>9</v>
      </c>
      <c r="H62" s="129" t="n">
        <v>9</v>
      </c>
      <c r="I62" s="129" t="n">
        <v>5</v>
      </c>
      <c r="J62" s="130" t="n">
        <v>0</v>
      </c>
      <c r="K62" s="131" t="n">
        <v>79</v>
      </c>
      <c r="L62" s="131" t="n">
        <v>151</v>
      </c>
      <c r="M62" s="131" t="n">
        <v>51</v>
      </c>
      <c r="N62" s="131" t="n">
        <v>134</v>
      </c>
    </row>
    <row r="63" ht="15.75" customHeight="1" s="149">
      <c r="A63" s="126" t="inlineStr">
        <is>
          <t>T3/2026</t>
        </is>
      </c>
      <c r="B63" s="133" t="inlineStr">
        <is>
          <t>Lens 3 Tháng</t>
        </is>
      </c>
      <c r="C63" s="128" t="n">
        <v>955</v>
      </c>
      <c r="D63" s="129" t="n">
        <v>788</v>
      </c>
      <c r="E63" s="129" t="n">
        <v>127</v>
      </c>
      <c r="F63" s="129" t="n">
        <v>15</v>
      </c>
      <c r="G63" s="129" t="n">
        <v>13</v>
      </c>
      <c r="H63" s="129" t="n">
        <v>12</v>
      </c>
      <c r="I63" s="130" t="n">
        <v>0</v>
      </c>
      <c r="J63" s="130" t="n">
        <v>0</v>
      </c>
      <c r="K63" s="131" t="n">
        <v>102</v>
      </c>
      <c r="L63" s="131" t="n">
        <v>158</v>
      </c>
      <c r="M63" s="131" t="n">
        <v>61</v>
      </c>
      <c r="N63" s="131" t="n">
        <v>155</v>
      </c>
    </row>
    <row r="64" ht="4.5" customHeight="1" s="149">
      <c r="A64" s="134" t="n"/>
      <c r="B64" s="134" t="n"/>
      <c r="C64" s="134" t="n"/>
      <c r="D64" s="134" t="n"/>
      <c r="E64" s="134" t="n"/>
      <c r="F64" s="134" t="n"/>
      <c r="G64" s="134" t="n"/>
      <c r="H64" s="134" t="n"/>
      <c r="I64" s="134" t="n"/>
      <c r="J64" s="134" t="n"/>
      <c r="K64" s="134" t="n"/>
      <c r="L64" s="134" t="n"/>
      <c r="M64" s="134" t="n"/>
      <c r="N64" s="134" t="n"/>
    </row>
    <row r="65" ht="15.75" customHeight="1" s="149">
      <c r="A65" s="126" t="inlineStr">
        <is>
          <t>T4/2026</t>
        </is>
      </c>
      <c r="B65" s="127" t="inlineStr">
        <is>
          <t>Lens 1 Ngày</t>
        </is>
      </c>
      <c r="C65" s="128" t="n">
        <v>741</v>
      </c>
      <c r="D65" s="129" t="n">
        <v>281</v>
      </c>
      <c r="E65" s="129" t="n">
        <v>82</v>
      </c>
      <c r="F65" s="129" t="n">
        <v>187</v>
      </c>
      <c r="G65" s="129" t="n">
        <v>10</v>
      </c>
      <c r="H65" s="129" t="n">
        <v>98</v>
      </c>
      <c r="I65" s="129" t="n">
        <v>53</v>
      </c>
      <c r="J65" s="129" t="n">
        <v>30</v>
      </c>
      <c r="K65" s="131" t="n">
        <v>17</v>
      </c>
      <c r="L65" s="131" t="n">
        <v>260</v>
      </c>
      <c r="M65" s="131" t="n">
        <v>7</v>
      </c>
      <c r="N65" s="131" t="n">
        <v>313</v>
      </c>
    </row>
    <row r="66" ht="15.75" customHeight="1" s="149">
      <c r="A66" s="126" t="inlineStr">
        <is>
          <t>T4/2026</t>
        </is>
      </c>
      <c r="B66" s="132" t="inlineStr">
        <is>
          <t>Lens 1 Tháng</t>
        </is>
      </c>
      <c r="C66" s="128" t="n">
        <v>1002</v>
      </c>
      <c r="D66" s="129" t="n">
        <v>715</v>
      </c>
      <c r="E66" s="129" t="n">
        <v>187</v>
      </c>
      <c r="F66" s="129" t="n">
        <v>68</v>
      </c>
      <c r="G66" s="129" t="n">
        <v>12</v>
      </c>
      <c r="H66" s="129" t="n">
        <v>14</v>
      </c>
      <c r="I66" s="129" t="n">
        <v>6</v>
      </c>
      <c r="J66" s="130" t="n">
        <v>0</v>
      </c>
      <c r="K66" s="131" t="n">
        <v>213</v>
      </c>
      <c r="L66" s="131" t="n">
        <v>85</v>
      </c>
      <c r="M66" s="131" t="n">
        <v>127</v>
      </c>
      <c r="N66" s="131" t="n">
        <v>141</v>
      </c>
    </row>
    <row r="67" ht="15.75" customHeight="1" s="149">
      <c r="A67" s="126" t="inlineStr">
        <is>
          <t>T4/2026</t>
        </is>
      </c>
      <c r="B67" s="133" t="inlineStr">
        <is>
          <t>Lens 3 Tháng</t>
        </is>
      </c>
      <c r="C67" s="128" t="n">
        <v>755</v>
      </c>
      <c r="D67" s="129" t="n">
        <v>603</v>
      </c>
      <c r="E67" s="129" t="n">
        <v>117</v>
      </c>
      <c r="F67" s="129" t="n">
        <v>20</v>
      </c>
      <c r="G67" s="129" t="n">
        <v>9</v>
      </c>
      <c r="H67" s="129" t="n">
        <v>4</v>
      </c>
      <c r="I67" s="129" t="n">
        <v>2</v>
      </c>
      <c r="J67" s="130" t="n">
        <v>0</v>
      </c>
      <c r="K67" s="131" t="n">
        <v>159</v>
      </c>
      <c r="L67" s="131" t="n">
        <v>82</v>
      </c>
      <c r="M67" s="131" t="n">
        <v>98</v>
      </c>
      <c r="N67" s="131" t="n">
        <v>127</v>
      </c>
    </row>
    <row r="68" ht="4.5" customHeight="1" s="149">
      <c r="A68" s="134" t="n"/>
      <c r="B68" s="134" t="n"/>
      <c r="C68" s="134" t="n"/>
      <c r="D68" s="134" t="n"/>
      <c r="E68" s="134" t="n"/>
      <c r="F68" s="134" t="n"/>
      <c r="G68" s="134" t="n"/>
      <c r="H68" s="134" t="n"/>
      <c r="I68" s="134" t="n"/>
      <c r="J68" s="134" t="n"/>
      <c r="K68" s="134" t="n"/>
      <c r="L68" s="134" t="n"/>
      <c r="M68" s="134" t="n"/>
      <c r="N68" s="134" t="n"/>
    </row>
    <row r="69" ht="15.75" customHeight="1" s="149">
      <c r="A69" s="126" t="inlineStr">
        <is>
          <t>T5/2026</t>
        </is>
      </c>
      <c r="B69" s="127" t="inlineStr">
        <is>
          <t>Lens 1 Ngày</t>
        </is>
      </c>
      <c r="C69" s="128" t="n">
        <v>737</v>
      </c>
      <c r="D69" s="129" t="n">
        <v>293</v>
      </c>
      <c r="E69" s="129" t="n">
        <v>95</v>
      </c>
      <c r="F69" s="129" t="n">
        <v>171</v>
      </c>
      <c r="G69" s="129" t="n">
        <v>17</v>
      </c>
      <c r="H69" s="129" t="n">
        <v>87</v>
      </c>
      <c r="I69" s="129" t="n">
        <v>51</v>
      </c>
      <c r="J69" s="129" t="n">
        <v>23</v>
      </c>
      <c r="K69" s="131" t="n">
        <v>14</v>
      </c>
      <c r="L69" s="131" t="n">
        <v>232</v>
      </c>
      <c r="M69" s="131" t="n">
        <v>16</v>
      </c>
      <c r="N69" s="131" t="n">
        <v>301</v>
      </c>
    </row>
    <row r="70" ht="15.75" customHeight="1" s="149">
      <c r="A70" s="126" t="inlineStr">
        <is>
          <t>T5/2026</t>
        </is>
      </c>
      <c r="B70" s="132" t="inlineStr">
        <is>
          <t>Lens 1 Tháng</t>
        </is>
      </c>
      <c r="C70" s="128" t="n">
        <v>986</v>
      </c>
      <c r="D70" s="129" t="n">
        <v>656</v>
      </c>
      <c r="E70" s="129" t="n">
        <v>201</v>
      </c>
      <c r="F70" s="129" t="n">
        <v>98</v>
      </c>
      <c r="G70" s="129" t="n">
        <v>14</v>
      </c>
      <c r="H70" s="129" t="n">
        <v>13</v>
      </c>
      <c r="I70" s="129" t="n">
        <v>4</v>
      </c>
      <c r="J70" s="130" t="n">
        <v>0</v>
      </c>
      <c r="K70" s="131" t="n">
        <v>205</v>
      </c>
      <c r="L70" s="131" t="n">
        <v>72</v>
      </c>
      <c r="M70" s="131" t="n">
        <v>116</v>
      </c>
      <c r="N70" s="131" t="n">
        <v>148</v>
      </c>
    </row>
    <row r="71" ht="15.75" customHeight="1" s="149">
      <c r="A71" s="126" t="inlineStr">
        <is>
          <t>T5/2026</t>
        </is>
      </c>
      <c r="B71" s="133" t="inlineStr">
        <is>
          <t>Lens 3 Tháng</t>
        </is>
      </c>
      <c r="C71" s="128" t="n">
        <v>745</v>
      </c>
      <c r="D71" s="129" t="n">
        <v>601</v>
      </c>
      <c r="E71" s="129" t="n">
        <v>109</v>
      </c>
      <c r="F71" s="129" t="n">
        <v>19</v>
      </c>
      <c r="G71" s="129" t="n">
        <v>8</v>
      </c>
      <c r="H71" s="129" t="n">
        <v>8</v>
      </c>
      <c r="I71" s="130" t="n">
        <v>0</v>
      </c>
      <c r="J71" s="130" t="n">
        <v>0</v>
      </c>
      <c r="K71" s="131" t="n">
        <v>168</v>
      </c>
      <c r="L71" s="131" t="n">
        <v>68</v>
      </c>
      <c r="M71" s="131" t="n">
        <v>94</v>
      </c>
      <c r="N71" s="131" t="n">
        <v>129</v>
      </c>
    </row>
    <row r="72" ht="4.5" customHeight="1" s="149">
      <c r="A72" s="134" t="n"/>
      <c r="B72" s="134" t="n"/>
      <c r="C72" s="134" t="n"/>
      <c r="D72" s="134" t="n"/>
      <c r="E72" s="134" t="n"/>
      <c r="F72" s="134" t="n"/>
      <c r="G72" s="134" t="n"/>
      <c r="H72" s="134" t="n"/>
      <c r="I72" s="134" t="n"/>
      <c r="J72" s="134" t="n"/>
      <c r="K72" s="134" t="n"/>
      <c r="L72" s="134" t="n"/>
      <c r="M72" s="134" t="n"/>
      <c r="N72" s="134" t="n"/>
    </row>
    <row r="73" ht="15.75" customHeight="1" s="149">
      <c r="A73" s="126" t="inlineStr">
        <is>
          <t>T6/2026</t>
        </is>
      </c>
      <c r="B73" s="127" t="inlineStr">
        <is>
          <t>Lens 1 Ngày</t>
        </is>
      </c>
      <c r="C73" s="128" t="n">
        <v>717</v>
      </c>
      <c r="D73" s="129" t="n">
        <v>260</v>
      </c>
      <c r="E73" s="129" t="n">
        <v>80</v>
      </c>
      <c r="F73" s="129" t="n">
        <v>166</v>
      </c>
      <c r="G73" s="129" t="n">
        <v>14</v>
      </c>
      <c r="H73" s="129" t="n">
        <v>106</v>
      </c>
      <c r="I73" s="129" t="n">
        <v>66</v>
      </c>
      <c r="J73" s="129" t="n">
        <v>25</v>
      </c>
      <c r="K73" s="131" t="n">
        <v>12</v>
      </c>
      <c r="L73" s="131" t="n">
        <v>213</v>
      </c>
      <c r="M73" s="131" t="n">
        <v>11</v>
      </c>
      <c r="N73" s="131" t="n">
        <v>320</v>
      </c>
    </row>
    <row r="74" ht="15.75" customHeight="1" s="149">
      <c r="A74" s="126" t="inlineStr">
        <is>
          <t>T6/2026</t>
        </is>
      </c>
      <c r="B74" s="132" t="inlineStr">
        <is>
          <t>Lens 1 Tháng</t>
        </is>
      </c>
      <c r="C74" s="128" t="n">
        <v>1052</v>
      </c>
      <c r="D74" s="129" t="n">
        <v>741</v>
      </c>
      <c r="E74" s="129" t="n">
        <v>206</v>
      </c>
      <c r="F74" s="129" t="n">
        <v>71</v>
      </c>
      <c r="G74" s="129" t="n">
        <v>13</v>
      </c>
      <c r="H74" s="129" t="n">
        <v>16</v>
      </c>
      <c r="I74" s="129" t="n">
        <v>5</v>
      </c>
      <c r="J74" s="130" t="n">
        <v>0</v>
      </c>
      <c r="K74" s="131" t="n">
        <v>180</v>
      </c>
      <c r="L74" s="131" t="n">
        <v>107</v>
      </c>
      <c r="M74" s="131" t="n">
        <v>126</v>
      </c>
      <c r="N74" s="131" t="n">
        <v>142</v>
      </c>
    </row>
    <row r="75" ht="15.75" customHeight="1" s="149">
      <c r="A75" s="126" t="inlineStr">
        <is>
          <t>T6/2026</t>
        </is>
      </c>
      <c r="B75" s="133" t="inlineStr">
        <is>
          <t>Lens 3 Tháng</t>
        </is>
      </c>
      <c r="C75" s="128" t="n">
        <v>715</v>
      </c>
      <c r="D75" s="129" t="n">
        <v>591</v>
      </c>
      <c r="E75" s="129" t="n">
        <v>96</v>
      </c>
      <c r="F75" s="129" t="n">
        <v>16</v>
      </c>
      <c r="G75" s="129" t="n">
        <v>5</v>
      </c>
      <c r="H75" s="129" t="n">
        <v>7</v>
      </c>
      <c r="I75" s="130" t="n">
        <v>0</v>
      </c>
      <c r="J75" s="130" t="n">
        <v>0</v>
      </c>
      <c r="K75" s="131" t="n">
        <v>167</v>
      </c>
      <c r="L75" s="131" t="n">
        <v>66</v>
      </c>
      <c r="M75" s="131" t="n">
        <v>99</v>
      </c>
      <c r="N75" s="131" t="n">
        <v>109</v>
      </c>
    </row>
    <row r="76" ht="4.5" customHeight="1" s="149">
      <c r="A76" s="134" t="n"/>
      <c r="B76" s="134" t="n"/>
      <c r="C76" s="134" t="n"/>
      <c r="D76" s="134" t="n"/>
      <c r="E76" s="134" t="n"/>
      <c r="F76" s="134" t="n"/>
      <c r="G76" s="134" t="n"/>
      <c r="H76" s="134" t="n"/>
      <c r="I76" s="134" t="n"/>
      <c r="J76" s="134" t="n"/>
      <c r="K76" s="134" t="n"/>
      <c r="L76" s="134" t="n"/>
      <c r="M76" s="134" t="n"/>
      <c r="N76" s="134" t="n"/>
    </row>
    <row r="77" ht="4.5" customHeight="1" s="149">
      <c r="A77" s="126" t="inlineStr">
        <is>
          <t>T7/2026</t>
        </is>
      </c>
      <c r="B77" s="127" t="inlineStr">
        <is>
          <t>Lens 1 Ngày</t>
        </is>
      </c>
      <c r="C77" s="128" t="n">
        <v>440</v>
      </c>
      <c r="D77" s="129" t="n">
        <v>170</v>
      </c>
      <c r="E77" s="129" t="n">
        <v>65</v>
      </c>
      <c r="F77" s="129" t="n">
        <v>96</v>
      </c>
      <c r="G77" s="129" t="n">
        <v>10</v>
      </c>
      <c r="H77" s="129" t="n">
        <v>47</v>
      </c>
      <c r="I77" s="129" t="n">
        <v>35</v>
      </c>
      <c r="J77" s="129" t="n">
        <v>17</v>
      </c>
      <c r="K77" s="131" t="n">
        <v>8</v>
      </c>
      <c r="L77" s="131" t="n">
        <v>130</v>
      </c>
      <c r="M77" s="131" t="n">
        <v>7</v>
      </c>
      <c r="N77" s="131" t="n">
        <v>200</v>
      </c>
    </row>
    <row r="78" ht="19.5" customHeight="1" s="149">
      <c r="A78" s="126" t="inlineStr">
        <is>
          <t>T7/2026</t>
        </is>
      </c>
      <c r="B78" s="132" t="inlineStr">
        <is>
          <t>Lens 1 Tháng</t>
        </is>
      </c>
      <c r="C78" s="128" t="n">
        <v>710</v>
      </c>
      <c r="D78" s="129" t="n">
        <v>546</v>
      </c>
      <c r="E78" s="129" t="n">
        <v>116</v>
      </c>
      <c r="F78" s="129" t="n">
        <v>38</v>
      </c>
      <c r="G78" s="129" t="n">
        <v>3</v>
      </c>
      <c r="H78" s="129" t="n">
        <v>7</v>
      </c>
      <c r="I78" s="129" t="n">
        <v>0</v>
      </c>
      <c r="J78" s="130" t="n">
        <v>0</v>
      </c>
      <c r="K78" s="131" t="n">
        <v>134</v>
      </c>
      <c r="L78" s="131" t="n">
        <v>112</v>
      </c>
      <c r="M78" s="131" t="n">
        <v>115</v>
      </c>
      <c r="N78" s="131" t="n">
        <v>83</v>
      </c>
    </row>
    <row r="79" ht="15.75" customHeight="1" s="149">
      <c r="A79" s="126" t="inlineStr">
        <is>
          <t>T7/2026</t>
        </is>
      </c>
      <c r="B79" s="133" t="inlineStr">
        <is>
          <t>Lens 3 Tháng</t>
        </is>
      </c>
      <c r="C79" s="128" t="n">
        <v>459</v>
      </c>
      <c r="D79" s="129" t="n">
        <v>372</v>
      </c>
      <c r="E79" s="129" t="n">
        <v>73</v>
      </c>
      <c r="F79" s="129" t="n">
        <v>11</v>
      </c>
      <c r="G79" s="129" t="n">
        <v>2</v>
      </c>
      <c r="H79" s="129" t="n">
        <v>1</v>
      </c>
      <c r="I79" s="130" t="n">
        <v>0</v>
      </c>
      <c r="J79" s="130" t="n">
        <v>0</v>
      </c>
      <c r="K79" s="131" t="n">
        <v>107</v>
      </c>
      <c r="L79" s="131" t="n">
        <v>42</v>
      </c>
      <c r="M79" s="131" t="n">
        <v>66</v>
      </c>
      <c r="N79" s="131" t="n">
        <v>73</v>
      </c>
    </row>
    <row r="80" ht="15.75" customHeight="1" s="149">
      <c r="A80" s="134" t="n"/>
      <c r="B80" s="134" t="n"/>
      <c r="C80" s="134" t="n"/>
      <c r="D80" s="134" t="n"/>
      <c r="E80" s="134" t="n"/>
      <c r="F80" s="134" t="n"/>
      <c r="G80" s="134" t="n"/>
      <c r="H80" s="134" t="n"/>
      <c r="I80" s="134" t="n"/>
      <c r="J80" s="134" t="n"/>
      <c r="K80" s="134" t="n"/>
      <c r="L80" s="134" t="n"/>
      <c r="M80" s="134" t="n"/>
      <c r="N80" s="134" t="n"/>
    </row>
    <row r="81" ht="15.75" customHeight="1" s="149">
      <c r="A81" s="167" t="inlineStr">
        <is>
          <t>🏪  STORE</t>
        </is>
      </c>
    </row>
    <row r="82" ht="4.5" customHeight="1" s="149">
      <c r="A82" s="126" t="inlineStr">
        <is>
          <t>T1/2025</t>
        </is>
      </c>
      <c r="B82" s="127" t="inlineStr">
        <is>
          <t>Lens 1 Ngày</t>
        </is>
      </c>
      <c r="C82" s="128" t="n">
        <v>986</v>
      </c>
      <c r="D82" s="129" t="n">
        <v>344</v>
      </c>
      <c r="E82" s="129" t="n">
        <v>174</v>
      </c>
      <c r="F82" s="129" t="n">
        <v>329</v>
      </c>
      <c r="G82" s="129" t="n">
        <v>13</v>
      </c>
      <c r="H82" s="129" t="n">
        <v>100</v>
      </c>
      <c r="I82" s="129" t="n">
        <v>23</v>
      </c>
      <c r="J82" s="129" t="n">
        <v>3</v>
      </c>
      <c r="K82" s="131" t="n">
        <v>61</v>
      </c>
      <c r="L82" s="131" t="n">
        <v>258</v>
      </c>
      <c r="M82" s="131" t="n">
        <v>6</v>
      </c>
      <c r="N82" s="131" t="n">
        <v>522</v>
      </c>
    </row>
    <row r="83" ht="15.75" customHeight="1" s="149">
      <c r="A83" s="126" t="inlineStr">
        <is>
          <t>T1/2025</t>
        </is>
      </c>
      <c r="B83" s="132" t="inlineStr">
        <is>
          <t>Lens 1 Tháng</t>
        </is>
      </c>
      <c r="C83" s="128" t="n">
        <v>898</v>
      </c>
      <c r="D83" s="129" t="n">
        <v>751</v>
      </c>
      <c r="E83" s="129" t="n">
        <v>109</v>
      </c>
      <c r="F83" s="129" t="n">
        <v>28</v>
      </c>
      <c r="G83" s="129" t="n">
        <v>2</v>
      </c>
      <c r="H83" s="129" t="n">
        <v>7</v>
      </c>
      <c r="I83" s="129" t="n">
        <v>1</v>
      </c>
      <c r="J83" s="130" t="n">
        <v>0</v>
      </c>
      <c r="K83" s="131" t="n">
        <v>506</v>
      </c>
      <c r="L83" s="131" t="n">
        <v>6</v>
      </c>
      <c r="M83" s="131" t="n">
        <v>9</v>
      </c>
      <c r="N83" s="131" t="n">
        <v>153</v>
      </c>
    </row>
    <row r="84" ht="15.75" customHeight="1" s="149">
      <c r="A84" s="126" t="inlineStr">
        <is>
          <t>T1/2025</t>
        </is>
      </c>
      <c r="B84" s="133" t="inlineStr">
        <is>
          <t>Lens 3 Tháng</t>
        </is>
      </c>
      <c r="C84" s="128" t="n">
        <v>920</v>
      </c>
      <c r="D84" s="129" t="n">
        <v>871</v>
      </c>
      <c r="E84" s="129" t="n">
        <v>44</v>
      </c>
      <c r="F84" s="129" t="n">
        <v>3</v>
      </c>
      <c r="G84" s="129" t="n">
        <v>2</v>
      </c>
      <c r="H84" s="130" t="n">
        <v>0</v>
      </c>
      <c r="I84" s="130" t="n">
        <v>0</v>
      </c>
      <c r="J84" s="130" t="n">
        <v>0</v>
      </c>
      <c r="K84" s="131" t="n">
        <v>469</v>
      </c>
      <c r="L84" s="131" t="n">
        <v>4</v>
      </c>
      <c r="M84" s="131" t="n">
        <v>3</v>
      </c>
      <c r="N84" s="131" t="n">
        <v>79</v>
      </c>
    </row>
    <row r="85" ht="15.75" customHeight="1" s="149">
      <c r="A85" s="134" t="n"/>
      <c r="B85" s="134" t="n"/>
      <c r="C85" s="134" t="n"/>
      <c r="D85" s="134" t="n"/>
      <c r="E85" s="134" t="n"/>
      <c r="F85" s="134" t="n"/>
      <c r="G85" s="134" t="n"/>
      <c r="H85" s="134" t="n"/>
      <c r="I85" s="134" t="n"/>
      <c r="J85" s="134" t="n"/>
      <c r="K85" s="134" t="n"/>
      <c r="L85" s="134" t="n"/>
      <c r="M85" s="134" t="n"/>
      <c r="N85" s="134" t="n"/>
    </row>
    <row r="86" ht="4.5" customHeight="1" s="149">
      <c r="A86" s="126" t="inlineStr">
        <is>
          <t>T2/2025</t>
        </is>
      </c>
      <c r="B86" s="127" t="inlineStr">
        <is>
          <t>Lens 1 Ngày</t>
        </is>
      </c>
      <c r="C86" s="128" t="n">
        <v>563</v>
      </c>
      <c r="D86" s="129" t="n">
        <v>273</v>
      </c>
      <c r="E86" s="129" t="n">
        <v>123</v>
      </c>
      <c r="F86" s="129" t="n">
        <v>67</v>
      </c>
      <c r="G86" s="129" t="n">
        <v>10</v>
      </c>
      <c r="H86" s="129" t="n">
        <v>69</v>
      </c>
      <c r="I86" s="129" t="n">
        <v>16</v>
      </c>
      <c r="J86" s="129" t="n">
        <v>5</v>
      </c>
      <c r="K86" s="131" t="n">
        <v>26</v>
      </c>
      <c r="L86" s="131" t="n">
        <v>180</v>
      </c>
      <c r="M86" s="131" t="n">
        <v>3</v>
      </c>
      <c r="N86" s="131" t="n">
        <v>218</v>
      </c>
    </row>
    <row r="87" ht="15.75" customHeight="1" s="149">
      <c r="A87" s="126" t="inlineStr">
        <is>
          <t>T2/2025</t>
        </is>
      </c>
      <c r="B87" s="132" t="inlineStr">
        <is>
          <t>Lens 1 Tháng</t>
        </is>
      </c>
      <c r="C87" s="128" t="n">
        <v>324</v>
      </c>
      <c r="D87" s="129" t="n">
        <v>271</v>
      </c>
      <c r="E87" s="129" t="n">
        <v>42</v>
      </c>
      <c r="F87" s="129" t="n">
        <v>10</v>
      </c>
      <c r="G87" s="129" t="n">
        <v>1</v>
      </c>
      <c r="H87" s="130" t="n">
        <v>0</v>
      </c>
      <c r="I87" s="130" t="n">
        <v>0</v>
      </c>
      <c r="J87" s="130" t="n">
        <v>0</v>
      </c>
      <c r="K87" s="131" t="n">
        <v>172</v>
      </c>
      <c r="L87" s="131" t="n">
        <v>5</v>
      </c>
      <c r="M87" s="131" t="n">
        <v>2</v>
      </c>
      <c r="N87" s="131" t="n">
        <v>43</v>
      </c>
    </row>
    <row r="88" ht="15.75" customHeight="1" s="149">
      <c r="A88" s="126" t="inlineStr">
        <is>
          <t>T2/2025</t>
        </is>
      </c>
      <c r="B88" s="133" t="inlineStr">
        <is>
          <t>Lens 3 Tháng</t>
        </is>
      </c>
      <c r="C88" s="128" t="n">
        <v>394</v>
      </c>
      <c r="D88" s="129" t="n">
        <v>359</v>
      </c>
      <c r="E88" s="129" t="n">
        <v>25</v>
      </c>
      <c r="F88" s="129" t="n">
        <v>3</v>
      </c>
      <c r="G88" s="129" t="n">
        <v>4</v>
      </c>
      <c r="H88" s="129" t="n">
        <v>3</v>
      </c>
      <c r="I88" s="130" t="n">
        <v>0</v>
      </c>
      <c r="J88" s="130" t="n">
        <v>0</v>
      </c>
      <c r="K88" s="131" t="n">
        <v>182</v>
      </c>
      <c r="L88" s="130" t="n">
        <v>0</v>
      </c>
      <c r="M88" s="131" t="n">
        <v>1</v>
      </c>
      <c r="N88" s="131" t="n">
        <v>44</v>
      </c>
    </row>
    <row r="89" ht="15.75" customHeight="1" s="149">
      <c r="A89" s="134" t="n"/>
      <c r="B89" s="134" t="n"/>
      <c r="C89" s="134" t="n"/>
      <c r="D89" s="134" t="n"/>
      <c r="E89" s="134" t="n"/>
      <c r="F89" s="134" t="n"/>
      <c r="G89" s="134" t="n"/>
      <c r="H89" s="134" t="n"/>
      <c r="I89" s="134" t="n"/>
      <c r="J89" s="134" t="n"/>
      <c r="K89" s="134" t="n"/>
      <c r="L89" s="134" t="n"/>
      <c r="M89" s="134" t="n"/>
      <c r="N89" s="134" t="n"/>
    </row>
    <row r="90" ht="4.5" customHeight="1" s="149">
      <c r="A90" s="126" t="inlineStr">
        <is>
          <t>T3/2025</t>
        </is>
      </c>
      <c r="B90" s="127" t="inlineStr">
        <is>
          <t>Lens 1 Ngày</t>
        </is>
      </c>
      <c r="C90" s="128" t="n">
        <v>803</v>
      </c>
      <c r="D90" s="129" t="n">
        <v>408</v>
      </c>
      <c r="E90" s="129" t="n">
        <v>202</v>
      </c>
      <c r="F90" s="129" t="n">
        <v>92</v>
      </c>
      <c r="G90" s="129" t="n">
        <v>13</v>
      </c>
      <c r="H90" s="129" t="n">
        <v>68</v>
      </c>
      <c r="I90" s="129" t="n">
        <v>17</v>
      </c>
      <c r="J90" s="129" t="n">
        <v>3</v>
      </c>
      <c r="K90" s="131" t="n">
        <v>37</v>
      </c>
      <c r="L90" s="131" t="n">
        <v>280</v>
      </c>
      <c r="M90" s="131" t="n">
        <v>2</v>
      </c>
      <c r="N90" s="131" t="n">
        <v>305</v>
      </c>
    </row>
    <row r="91" ht="15.75" customHeight="1" s="149">
      <c r="A91" s="126" t="inlineStr">
        <is>
          <t>T3/2025</t>
        </is>
      </c>
      <c r="B91" s="132" t="inlineStr">
        <is>
          <t>Lens 1 Tháng</t>
        </is>
      </c>
      <c r="C91" s="128" t="n">
        <v>351</v>
      </c>
      <c r="D91" s="129" t="n">
        <v>307</v>
      </c>
      <c r="E91" s="129" t="n">
        <v>31</v>
      </c>
      <c r="F91" s="129" t="n">
        <v>10</v>
      </c>
      <c r="G91" s="129" t="n">
        <v>1</v>
      </c>
      <c r="H91" s="129" t="n">
        <v>2</v>
      </c>
      <c r="I91" s="130" t="n">
        <v>0</v>
      </c>
      <c r="J91" s="130" t="n">
        <v>0</v>
      </c>
      <c r="K91" s="131" t="n">
        <v>202</v>
      </c>
      <c r="L91" s="131" t="n">
        <v>2</v>
      </c>
      <c r="M91" s="131" t="n">
        <v>2</v>
      </c>
      <c r="N91" s="131" t="n">
        <v>46</v>
      </c>
    </row>
    <row r="92" ht="15.75" customHeight="1" s="149">
      <c r="A92" s="126" t="inlineStr">
        <is>
          <t>T3/2025</t>
        </is>
      </c>
      <c r="B92" s="133" t="inlineStr">
        <is>
          <t>Lens 3 Tháng</t>
        </is>
      </c>
      <c r="C92" s="128" t="n">
        <v>439</v>
      </c>
      <c r="D92" s="129" t="n">
        <v>396</v>
      </c>
      <c r="E92" s="129" t="n">
        <v>38</v>
      </c>
      <c r="F92" s="129" t="n">
        <v>2</v>
      </c>
      <c r="G92" s="129" t="n">
        <v>2</v>
      </c>
      <c r="H92" s="129" t="n">
        <v>1</v>
      </c>
      <c r="I92" s="130" t="n">
        <v>0</v>
      </c>
      <c r="J92" s="130" t="n">
        <v>0</v>
      </c>
      <c r="K92" s="131" t="n">
        <v>210</v>
      </c>
      <c r="L92" s="131" t="n">
        <v>1</v>
      </c>
      <c r="M92" s="131" t="n">
        <v>5</v>
      </c>
      <c r="N92" s="131" t="n">
        <v>58</v>
      </c>
    </row>
    <row r="93" ht="15.75" customHeight="1" s="149">
      <c r="A93" s="134" t="n"/>
      <c r="B93" s="134" t="n"/>
      <c r="C93" s="134" t="n"/>
      <c r="D93" s="134" t="n"/>
      <c r="E93" s="134" t="n"/>
      <c r="F93" s="134" t="n"/>
      <c r="G93" s="134" t="n"/>
      <c r="H93" s="134" t="n"/>
      <c r="I93" s="134" t="n"/>
      <c r="J93" s="134" t="n"/>
      <c r="K93" s="134" t="n"/>
      <c r="L93" s="134" t="n"/>
      <c r="M93" s="134" t="n"/>
      <c r="N93" s="134" t="n"/>
    </row>
    <row r="94" ht="4.5" customHeight="1" s="149">
      <c r="A94" s="126" t="inlineStr">
        <is>
          <t>T4/2025</t>
        </is>
      </c>
      <c r="B94" s="127" t="inlineStr">
        <is>
          <t>Lens 1 Ngày</t>
        </is>
      </c>
      <c r="C94" s="128" t="n">
        <v>847</v>
      </c>
      <c r="D94" s="129" t="n">
        <v>413</v>
      </c>
      <c r="E94" s="129" t="n">
        <v>228</v>
      </c>
      <c r="F94" s="129" t="n">
        <v>96</v>
      </c>
      <c r="G94" s="129" t="n">
        <v>20</v>
      </c>
      <c r="H94" s="129" t="n">
        <v>78</v>
      </c>
      <c r="I94" s="129" t="n">
        <v>9</v>
      </c>
      <c r="J94" s="129" t="n">
        <v>3</v>
      </c>
      <c r="K94" s="131" t="n">
        <v>33</v>
      </c>
      <c r="L94" s="131" t="n">
        <v>267</v>
      </c>
      <c r="M94" s="131" t="n">
        <v>4</v>
      </c>
      <c r="N94" s="131" t="n">
        <v>355</v>
      </c>
    </row>
    <row r="95" ht="15.75" customHeight="1" s="149">
      <c r="A95" s="126" t="inlineStr">
        <is>
          <t>T4/2025</t>
        </is>
      </c>
      <c r="B95" s="132" t="inlineStr">
        <is>
          <t>Lens 1 Tháng</t>
        </is>
      </c>
      <c r="C95" s="128" t="n">
        <v>299</v>
      </c>
      <c r="D95" s="129" t="n">
        <v>253</v>
      </c>
      <c r="E95" s="129" t="n">
        <v>32</v>
      </c>
      <c r="F95" s="129" t="n">
        <v>11</v>
      </c>
      <c r="G95" s="129" t="n">
        <v>2</v>
      </c>
      <c r="H95" s="130" t="n">
        <v>0</v>
      </c>
      <c r="I95" s="129" t="n">
        <v>1</v>
      </c>
      <c r="J95" s="130" t="n">
        <v>0</v>
      </c>
      <c r="K95" s="131" t="n">
        <v>141</v>
      </c>
      <c r="L95" s="131" t="n">
        <v>7</v>
      </c>
      <c r="M95" s="131" t="n">
        <v>2</v>
      </c>
      <c r="N95" s="131" t="n">
        <v>54</v>
      </c>
    </row>
    <row r="96" ht="15.75" customHeight="1" s="149">
      <c r="A96" s="126" t="inlineStr">
        <is>
          <t>T4/2025</t>
        </is>
      </c>
      <c r="B96" s="133" t="inlineStr">
        <is>
          <t>Lens 3 Tháng</t>
        </is>
      </c>
      <c r="C96" s="128" t="n">
        <v>460</v>
      </c>
      <c r="D96" s="129" t="n">
        <v>429</v>
      </c>
      <c r="E96" s="129" t="n">
        <v>29</v>
      </c>
      <c r="F96" s="129" t="n">
        <v>2</v>
      </c>
      <c r="G96" s="130" t="n">
        <v>0</v>
      </c>
      <c r="H96" s="130" t="n">
        <v>0</v>
      </c>
      <c r="I96" s="130" t="n">
        <v>0</v>
      </c>
      <c r="J96" s="130" t="n">
        <v>0</v>
      </c>
      <c r="K96" s="131" t="n">
        <v>223</v>
      </c>
      <c r="L96" s="131" t="n">
        <v>6</v>
      </c>
      <c r="M96" s="131" t="n">
        <v>3</v>
      </c>
      <c r="N96" s="131" t="n">
        <v>48</v>
      </c>
    </row>
    <row r="97" ht="15.75" customHeight="1" s="149">
      <c r="A97" s="134" t="n"/>
      <c r="B97" s="134" t="n"/>
      <c r="C97" s="134" t="n"/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</row>
    <row r="98" ht="4.5" customHeight="1" s="149">
      <c r="A98" s="126" t="inlineStr">
        <is>
          <t>T5/2025</t>
        </is>
      </c>
      <c r="B98" s="127" t="inlineStr">
        <is>
          <t>Lens 1 Ngày</t>
        </is>
      </c>
      <c r="C98" s="128" t="n">
        <v>920</v>
      </c>
      <c r="D98" s="129" t="n">
        <v>508</v>
      </c>
      <c r="E98" s="129" t="n">
        <v>232</v>
      </c>
      <c r="F98" s="129" t="n">
        <v>95</v>
      </c>
      <c r="G98" s="129" t="n">
        <v>8</v>
      </c>
      <c r="H98" s="129" t="n">
        <v>66</v>
      </c>
      <c r="I98" s="129" t="n">
        <v>9</v>
      </c>
      <c r="J98" s="129" t="n">
        <v>2</v>
      </c>
      <c r="K98" s="131" t="n">
        <v>34</v>
      </c>
      <c r="L98" s="131" t="n">
        <v>316</v>
      </c>
      <c r="M98" s="131" t="n">
        <v>6</v>
      </c>
      <c r="N98" s="131" t="n">
        <v>306</v>
      </c>
    </row>
    <row r="99" ht="15.75" customHeight="1" s="149">
      <c r="A99" s="126" t="inlineStr">
        <is>
          <t>T5/2025</t>
        </is>
      </c>
      <c r="B99" s="132" t="inlineStr">
        <is>
          <t>Lens 1 Tháng</t>
        </is>
      </c>
      <c r="C99" s="128" t="n">
        <v>368</v>
      </c>
      <c r="D99" s="129" t="n">
        <v>309</v>
      </c>
      <c r="E99" s="129" t="n">
        <v>37</v>
      </c>
      <c r="F99" s="129" t="n">
        <v>14</v>
      </c>
      <c r="G99" s="129" t="n">
        <v>6</v>
      </c>
      <c r="H99" s="129" t="n">
        <v>2</v>
      </c>
      <c r="I99" s="130" t="n">
        <v>0</v>
      </c>
      <c r="J99" s="130" t="n">
        <v>0</v>
      </c>
      <c r="K99" s="131" t="n">
        <v>194</v>
      </c>
      <c r="L99" s="131" t="n">
        <v>4</v>
      </c>
      <c r="M99" s="131" t="n">
        <v>3</v>
      </c>
      <c r="N99" s="131" t="n">
        <v>63</v>
      </c>
    </row>
    <row r="100" ht="15.75" customHeight="1" s="149">
      <c r="A100" s="126" t="inlineStr">
        <is>
          <t>T5/2025</t>
        </is>
      </c>
      <c r="B100" s="133" t="inlineStr">
        <is>
          <t>Lens 3 Tháng</t>
        </is>
      </c>
      <c r="C100" s="128" t="n">
        <v>380</v>
      </c>
      <c r="D100" s="129" t="n">
        <v>358</v>
      </c>
      <c r="E100" s="129" t="n">
        <v>14</v>
      </c>
      <c r="F100" s="129" t="n">
        <v>5</v>
      </c>
      <c r="G100" s="129" t="n">
        <v>2</v>
      </c>
      <c r="H100" s="129" t="n">
        <v>1</v>
      </c>
      <c r="I100" s="130" t="n">
        <v>0</v>
      </c>
      <c r="J100" s="130" t="n">
        <v>0</v>
      </c>
      <c r="K100" s="131" t="n">
        <v>186</v>
      </c>
      <c r="L100" s="131" t="n">
        <v>1</v>
      </c>
      <c r="M100" s="131" t="n">
        <v>3</v>
      </c>
      <c r="N100" s="131" t="n">
        <v>30</v>
      </c>
    </row>
    <row r="101" ht="15.75" customHeight="1" s="149">
      <c r="A101" s="134" t="n"/>
      <c r="B101" s="134" t="n"/>
      <c r="C101" s="134" t="n"/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</row>
    <row r="102" ht="4.5" customHeight="1" s="149">
      <c r="A102" s="126" t="inlineStr">
        <is>
          <t>T6/2025</t>
        </is>
      </c>
      <c r="B102" s="127" t="inlineStr">
        <is>
          <t>Lens 1 Ngày</t>
        </is>
      </c>
      <c r="C102" s="128" t="n">
        <v>854</v>
      </c>
      <c r="D102" s="129" t="n">
        <v>425</v>
      </c>
      <c r="E102" s="129" t="n">
        <v>217</v>
      </c>
      <c r="F102" s="129" t="n">
        <v>113</v>
      </c>
      <c r="G102" s="129" t="n">
        <v>10</v>
      </c>
      <c r="H102" s="129" t="n">
        <v>71</v>
      </c>
      <c r="I102" s="129" t="n">
        <v>15</v>
      </c>
      <c r="J102" s="129" t="n">
        <v>3</v>
      </c>
      <c r="K102" s="131" t="n">
        <v>27</v>
      </c>
      <c r="L102" s="131" t="n">
        <v>298</v>
      </c>
      <c r="M102" s="131" t="n">
        <v>4</v>
      </c>
      <c r="N102" s="131" t="n">
        <v>325</v>
      </c>
    </row>
    <row r="103" ht="15.75" customHeight="1" s="149">
      <c r="A103" s="126" t="inlineStr">
        <is>
          <t>T6/2025</t>
        </is>
      </c>
      <c r="B103" s="132" t="inlineStr">
        <is>
          <t>Lens 1 Tháng</t>
        </is>
      </c>
      <c r="C103" s="128" t="n">
        <v>426</v>
      </c>
      <c r="D103" s="129" t="n">
        <v>364</v>
      </c>
      <c r="E103" s="129" t="n">
        <v>43</v>
      </c>
      <c r="F103" s="129" t="n">
        <v>13</v>
      </c>
      <c r="G103" s="129" t="n">
        <v>2</v>
      </c>
      <c r="H103" s="129" t="n">
        <v>3</v>
      </c>
      <c r="I103" s="129" t="n">
        <v>1</v>
      </c>
      <c r="J103" s="130" t="n">
        <v>0</v>
      </c>
      <c r="K103" s="131" t="n">
        <v>217</v>
      </c>
      <c r="L103" s="131" t="n">
        <v>7</v>
      </c>
      <c r="M103" s="131" t="n">
        <v>15</v>
      </c>
      <c r="N103" s="131" t="n">
        <v>68</v>
      </c>
    </row>
    <row r="104" ht="15.75" customHeight="1" s="149">
      <c r="A104" s="126" t="inlineStr">
        <is>
          <t>T6/2025</t>
        </is>
      </c>
      <c r="B104" s="133" t="inlineStr">
        <is>
          <t>Lens 3 Tháng</t>
        </is>
      </c>
      <c r="C104" s="128" t="n">
        <v>372</v>
      </c>
      <c r="D104" s="129" t="n">
        <v>339</v>
      </c>
      <c r="E104" s="129" t="n">
        <v>27</v>
      </c>
      <c r="F104" s="129" t="n">
        <v>4</v>
      </c>
      <c r="G104" s="129" t="n">
        <v>1</v>
      </c>
      <c r="H104" s="129" t="n">
        <v>1</v>
      </c>
      <c r="I104" s="130" t="n">
        <v>0</v>
      </c>
      <c r="J104" s="130" t="n">
        <v>0</v>
      </c>
      <c r="K104" s="131" t="n">
        <v>169</v>
      </c>
      <c r="L104" s="131" t="n">
        <v>6</v>
      </c>
      <c r="M104" s="131" t="n">
        <v>7</v>
      </c>
      <c r="N104" s="131" t="n">
        <v>46</v>
      </c>
    </row>
    <row r="105" ht="15.75" customHeight="1" s="149">
      <c r="A105" s="134" t="n"/>
      <c r="B105" s="134" t="n"/>
      <c r="C105" s="134" t="n"/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</row>
    <row r="106" ht="4.5" customHeight="1" s="149">
      <c r="A106" s="126" t="inlineStr">
        <is>
          <t>T7/2025</t>
        </is>
      </c>
      <c r="B106" s="127" t="inlineStr">
        <is>
          <t>Lens 1 Ngày</t>
        </is>
      </c>
      <c r="C106" s="128" t="n">
        <v>915</v>
      </c>
      <c r="D106" s="129" t="n">
        <v>457</v>
      </c>
      <c r="E106" s="129" t="n">
        <v>256</v>
      </c>
      <c r="F106" s="129" t="n">
        <v>99</v>
      </c>
      <c r="G106" s="129" t="n">
        <v>13</v>
      </c>
      <c r="H106" s="129" t="n">
        <v>78</v>
      </c>
      <c r="I106" s="129" t="n">
        <v>9</v>
      </c>
      <c r="J106" s="129" t="n">
        <v>3</v>
      </c>
      <c r="K106" s="131" t="n">
        <v>26</v>
      </c>
      <c r="L106" s="131" t="n">
        <v>286</v>
      </c>
      <c r="M106" s="131" t="n">
        <v>3</v>
      </c>
      <c r="N106" s="131" t="n">
        <v>369</v>
      </c>
    </row>
    <row r="107" ht="15.75" customHeight="1" s="149">
      <c r="A107" s="126" t="inlineStr">
        <is>
          <t>T7/2025</t>
        </is>
      </c>
      <c r="B107" s="132" t="inlineStr">
        <is>
          <t>Lens 1 Tháng</t>
        </is>
      </c>
      <c r="C107" s="128" t="n">
        <v>544</v>
      </c>
      <c r="D107" s="129" t="n">
        <v>454</v>
      </c>
      <c r="E107" s="129" t="n">
        <v>65</v>
      </c>
      <c r="F107" s="129" t="n">
        <v>16</v>
      </c>
      <c r="G107" s="129" t="n">
        <v>5</v>
      </c>
      <c r="H107" s="129" t="n">
        <v>3</v>
      </c>
      <c r="I107" s="130" t="n">
        <v>0</v>
      </c>
      <c r="J107" s="129" t="n">
        <v>1</v>
      </c>
      <c r="K107" s="131" t="n">
        <v>268</v>
      </c>
      <c r="L107" s="131" t="n">
        <v>7</v>
      </c>
      <c r="M107" s="131" t="n">
        <v>15</v>
      </c>
      <c r="N107" s="131" t="n">
        <v>109</v>
      </c>
    </row>
    <row r="108" ht="15.75" customHeight="1" s="149">
      <c r="A108" s="126" t="inlineStr">
        <is>
          <t>T7/2025</t>
        </is>
      </c>
      <c r="B108" s="133" t="inlineStr">
        <is>
          <t>Lens 3 Tháng</t>
        </is>
      </c>
      <c r="C108" s="128" t="n">
        <v>404</v>
      </c>
      <c r="D108" s="129" t="n">
        <v>363</v>
      </c>
      <c r="E108" s="129" t="n">
        <v>35</v>
      </c>
      <c r="F108" s="129" t="n">
        <v>3</v>
      </c>
      <c r="G108" s="129" t="n">
        <v>1</v>
      </c>
      <c r="H108" s="129" t="n">
        <v>2</v>
      </c>
      <c r="I108" s="130" t="n">
        <v>0</v>
      </c>
      <c r="J108" s="130" t="n">
        <v>0</v>
      </c>
      <c r="K108" s="131" t="n">
        <v>207</v>
      </c>
      <c r="L108" s="131" t="n">
        <v>2</v>
      </c>
      <c r="M108" s="131" t="n">
        <v>6</v>
      </c>
      <c r="N108" s="131" t="n">
        <v>60</v>
      </c>
    </row>
    <row r="109" ht="15.75" customHeight="1" s="149">
      <c r="A109" s="134" t="n"/>
      <c r="B109" s="134" t="n"/>
      <c r="C109" s="134" t="n"/>
      <c r="D109" s="134" t="n"/>
      <c r="E109" s="134" t="n"/>
      <c r="F109" s="134" t="n"/>
      <c r="G109" s="134" t="n"/>
      <c r="H109" s="134" t="n"/>
      <c r="I109" s="134" t="n"/>
      <c r="J109" s="134" t="n"/>
      <c r="K109" s="134" t="n"/>
      <c r="L109" s="134" t="n"/>
      <c r="M109" s="134" t="n"/>
      <c r="N109" s="134" t="n"/>
    </row>
    <row r="110" ht="4.5" customHeight="1" s="149">
      <c r="A110" s="126" t="inlineStr">
        <is>
          <t>T8/2025</t>
        </is>
      </c>
      <c r="B110" s="127" t="inlineStr">
        <is>
          <t>Lens 1 Ngày</t>
        </is>
      </c>
      <c r="C110" s="128" t="n">
        <v>865</v>
      </c>
      <c r="D110" s="129" t="n">
        <v>448</v>
      </c>
      <c r="E110" s="129" t="n">
        <v>239</v>
      </c>
      <c r="F110" s="129" t="n">
        <v>98</v>
      </c>
      <c r="G110" s="129" t="n">
        <v>12</v>
      </c>
      <c r="H110" s="129" t="n">
        <v>54</v>
      </c>
      <c r="I110" s="129" t="n">
        <v>12</v>
      </c>
      <c r="J110" s="129" t="n">
        <v>2</v>
      </c>
      <c r="K110" s="131" t="n">
        <v>36</v>
      </c>
      <c r="L110" s="131" t="n">
        <v>277</v>
      </c>
      <c r="M110" s="131" t="n">
        <v>5</v>
      </c>
      <c r="N110" s="131" t="n">
        <v>331</v>
      </c>
    </row>
    <row r="111" ht="15.75" customHeight="1" s="149">
      <c r="A111" s="126" t="inlineStr">
        <is>
          <t>T8/2025</t>
        </is>
      </c>
      <c r="B111" s="132" t="inlineStr">
        <is>
          <t>Lens 1 Tháng</t>
        </is>
      </c>
      <c r="C111" s="128" t="n">
        <v>586</v>
      </c>
      <c r="D111" s="129" t="n">
        <v>510</v>
      </c>
      <c r="E111" s="129" t="n">
        <v>49</v>
      </c>
      <c r="F111" s="129" t="n">
        <v>19</v>
      </c>
      <c r="G111" s="129" t="n">
        <v>5</v>
      </c>
      <c r="H111" s="129" t="n">
        <v>2</v>
      </c>
      <c r="I111" s="129" t="n">
        <v>1</v>
      </c>
      <c r="J111" s="130" t="n">
        <v>0</v>
      </c>
      <c r="K111" s="131" t="n">
        <v>270</v>
      </c>
      <c r="L111" s="131" t="n">
        <v>7</v>
      </c>
      <c r="M111" s="131" t="n">
        <v>14</v>
      </c>
      <c r="N111" s="131" t="n">
        <v>113</v>
      </c>
    </row>
    <row r="112" ht="15.75" customHeight="1" s="149">
      <c r="A112" s="126" t="inlineStr">
        <is>
          <t>T8/2025</t>
        </is>
      </c>
      <c r="B112" s="133" t="inlineStr">
        <is>
          <t>Lens 3 Tháng</t>
        </is>
      </c>
      <c r="C112" s="128" t="n">
        <v>351</v>
      </c>
      <c r="D112" s="129" t="n">
        <v>307</v>
      </c>
      <c r="E112" s="129" t="n">
        <v>33</v>
      </c>
      <c r="F112" s="129" t="n">
        <v>3</v>
      </c>
      <c r="G112" s="129" t="n">
        <v>5</v>
      </c>
      <c r="H112" s="129" t="n">
        <v>2</v>
      </c>
      <c r="I112" s="129" t="n">
        <v>1</v>
      </c>
      <c r="J112" s="130" t="n">
        <v>0</v>
      </c>
      <c r="K112" s="131" t="n">
        <v>167</v>
      </c>
      <c r="L112" s="131" t="n">
        <v>5</v>
      </c>
      <c r="M112" s="131" t="n">
        <v>11</v>
      </c>
      <c r="N112" s="131" t="n">
        <v>50</v>
      </c>
    </row>
    <row r="113" ht="15.75" customHeight="1" s="149">
      <c r="A113" s="134" t="n"/>
      <c r="B113" s="134" t="n"/>
      <c r="C113" s="134" t="n"/>
      <c r="D113" s="134" t="n"/>
      <c r="E113" s="134" t="n"/>
      <c r="F113" s="134" t="n"/>
      <c r="G113" s="134" t="n"/>
      <c r="H113" s="134" t="n"/>
      <c r="I113" s="134" t="n"/>
      <c r="J113" s="134" t="n"/>
      <c r="K113" s="134" t="n"/>
      <c r="L113" s="134" t="n"/>
      <c r="M113" s="134" t="n"/>
      <c r="N113" s="134" t="n"/>
    </row>
    <row r="114" ht="4.5" customHeight="1" s="149">
      <c r="A114" s="126" t="inlineStr">
        <is>
          <t>T9/2025</t>
        </is>
      </c>
      <c r="B114" s="127" t="inlineStr">
        <is>
          <t>Lens 1 Ngày</t>
        </is>
      </c>
      <c r="C114" s="128" t="n">
        <v>882</v>
      </c>
      <c r="D114" s="129" t="n">
        <v>441</v>
      </c>
      <c r="E114" s="129" t="n">
        <v>215</v>
      </c>
      <c r="F114" s="129" t="n">
        <v>119</v>
      </c>
      <c r="G114" s="129" t="n">
        <v>25</v>
      </c>
      <c r="H114" s="129" t="n">
        <v>67</v>
      </c>
      <c r="I114" s="129" t="n">
        <v>13</v>
      </c>
      <c r="J114" s="129" t="n">
        <v>2</v>
      </c>
      <c r="K114" s="131" t="n">
        <v>39</v>
      </c>
      <c r="L114" s="131" t="n">
        <v>170</v>
      </c>
      <c r="M114" s="131" t="n">
        <v>3</v>
      </c>
      <c r="N114" s="131" t="n">
        <v>318</v>
      </c>
    </row>
    <row r="115" ht="15.75" customHeight="1" s="149">
      <c r="A115" s="126" t="inlineStr">
        <is>
          <t>T9/2025</t>
        </is>
      </c>
      <c r="B115" s="132" t="inlineStr">
        <is>
          <t>Lens 1 Tháng</t>
        </is>
      </c>
      <c r="C115" s="128" t="n">
        <v>504</v>
      </c>
      <c r="D115" s="129" t="n">
        <v>426</v>
      </c>
      <c r="E115" s="129" t="n">
        <v>57</v>
      </c>
      <c r="F115" s="129" t="n">
        <v>15</v>
      </c>
      <c r="G115" s="130" t="n">
        <v>0</v>
      </c>
      <c r="H115" s="129" t="n">
        <v>6</v>
      </c>
      <c r="I115" s="130" t="n">
        <v>0</v>
      </c>
      <c r="J115" s="130" t="n">
        <v>0</v>
      </c>
      <c r="K115" s="131" t="n">
        <v>256</v>
      </c>
      <c r="L115" s="131" t="n">
        <v>3</v>
      </c>
      <c r="M115" s="131" t="n">
        <v>8</v>
      </c>
      <c r="N115" s="131" t="n">
        <v>97</v>
      </c>
    </row>
    <row r="116" ht="15.75" customHeight="1" s="149">
      <c r="A116" s="126" t="inlineStr">
        <is>
          <t>T9/2025</t>
        </is>
      </c>
      <c r="B116" s="133" t="inlineStr">
        <is>
          <t>Lens 3 Tháng</t>
        </is>
      </c>
      <c r="C116" s="128" t="n">
        <v>292</v>
      </c>
      <c r="D116" s="129" t="n">
        <v>269</v>
      </c>
      <c r="E116" s="129" t="n">
        <v>15</v>
      </c>
      <c r="F116" s="129" t="n">
        <v>4</v>
      </c>
      <c r="G116" s="129" t="n">
        <v>2</v>
      </c>
      <c r="H116" s="129" t="n">
        <v>2</v>
      </c>
      <c r="I116" s="130" t="n">
        <v>0</v>
      </c>
      <c r="J116" s="130" t="n">
        <v>0</v>
      </c>
      <c r="K116" s="131" t="n">
        <v>139</v>
      </c>
      <c r="L116" s="131" t="n">
        <v>1</v>
      </c>
      <c r="M116" s="131" t="n">
        <v>1</v>
      </c>
      <c r="N116" s="131" t="n">
        <v>39</v>
      </c>
    </row>
    <row r="117" ht="15.75" customHeight="1" s="149">
      <c r="A117" s="134" t="n"/>
      <c r="B117" s="134" t="n"/>
      <c r="C117" s="134" t="n"/>
      <c r="D117" s="134" t="n"/>
      <c r="E117" s="134" t="n"/>
      <c r="F117" s="134" t="n"/>
      <c r="G117" s="134" t="n"/>
      <c r="H117" s="134" t="n"/>
      <c r="I117" s="134" t="n"/>
      <c r="J117" s="134" t="n"/>
      <c r="K117" s="134" t="n"/>
      <c r="L117" s="134" t="n"/>
      <c r="M117" s="134" t="n"/>
      <c r="N117" s="134" t="n"/>
    </row>
    <row r="118" ht="4.5" customHeight="1" s="149">
      <c r="A118" s="126" t="inlineStr">
        <is>
          <t>T10/2025</t>
        </is>
      </c>
      <c r="B118" s="127" t="inlineStr">
        <is>
          <t>Lens 1 Ngày</t>
        </is>
      </c>
      <c r="C118" s="128" t="n">
        <v>1360</v>
      </c>
      <c r="D118" s="129" t="n">
        <v>710</v>
      </c>
      <c r="E118" s="129" t="n">
        <v>319</v>
      </c>
      <c r="F118" s="129" t="n">
        <v>174</v>
      </c>
      <c r="G118" s="129" t="n">
        <v>41</v>
      </c>
      <c r="H118" s="129" t="n">
        <v>109</v>
      </c>
      <c r="I118" s="129" t="n">
        <v>7</v>
      </c>
      <c r="J118" s="130" t="n">
        <v>0</v>
      </c>
      <c r="K118" s="131" t="n">
        <v>124</v>
      </c>
      <c r="L118" s="131" t="n">
        <v>104</v>
      </c>
      <c r="M118" s="131" t="n">
        <v>3</v>
      </c>
      <c r="N118" s="131" t="n">
        <v>576</v>
      </c>
    </row>
    <row r="119" ht="15.75" customHeight="1" s="149">
      <c r="A119" s="126" t="inlineStr">
        <is>
          <t>T10/2025</t>
        </is>
      </c>
      <c r="B119" s="132" t="inlineStr">
        <is>
          <t>Lens 1 Tháng</t>
        </is>
      </c>
      <c r="C119" s="128" t="n">
        <v>764</v>
      </c>
      <c r="D119" s="129" t="n">
        <v>621</v>
      </c>
      <c r="E119" s="129" t="n">
        <v>106</v>
      </c>
      <c r="F119" s="129" t="n">
        <v>28</v>
      </c>
      <c r="G119" s="129" t="n">
        <v>5</v>
      </c>
      <c r="H119" s="129" t="n">
        <v>2</v>
      </c>
      <c r="I119" s="129" t="n">
        <v>1</v>
      </c>
      <c r="J119" s="129" t="n">
        <v>1</v>
      </c>
      <c r="K119" s="131" t="n">
        <v>407</v>
      </c>
      <c r="L119" s="131" t="n">
        <v>5</v>
      </c>
      <c r="M119" s="131" t="n">
        <v>7</v>
      </c>
      <c r="N119" s="131" t="n">
        <v>217</v>
      </c>
    </row>
    <row r="120" ht="15.75" customHeight="1" s="149">
      <c r="A120" s="126" t="inlineStr">
        <is>
          <t>T10/2025</t>
        </is>
      </c>
      <c r="B120" s="133" t="inlineStr">
        <is>
          <t>Lens 3 Tháng</t>
        </is>
      </c>
      <c r="C120" s="128" t="n">
        <v>294</v>
      </c>
      <c r="D120" s="129" t="n">
        <v>271</v>
      </c>
      <c r="E120" s="129" t="n">
        <v>18</v>
      </c>
      <c r="F120" s="129" t="n">
        <v>4</v>
      </c>
      <c r="G120" s="129" t="n">
        <v>1</v>
      </c>
      <c r="H120" s="130" t="n">
        <v>0</v>
      </c>
      <c r="I120" s="130" t="n">
        <v>0</v>
      </c>
      <c r="J120" s="130" t="n">
        <v>0</v>
      </c>
      <c r="K120" s="131" t="n">
        <v>148</v>
      </c>
      <c r="L120" s="130" t="n">
        <v>0</v>
      </c>
      <c r="M120" s="131" t="n">
        <v>1</v>
      </c>
      <c r="N120" s="131" t="n">
        <v>87</v>
      </c>
    </row>
    <row r="121" ht="15.75" customHeight="1" s="149">
      <c r="A121" s="134" t="n"/>
      <c r="B121" s="134" t="n"/>
      <c r="C121" s="134" t="n"/>
      <c r="D121" s="134" t="n"/>
      <c r="E121" s="134" t="n"/>
      <c r="F121" s="134" t="n"/>
      <c r="G121" s="134" t="n"/>
      <c r="H121" s="134" t="n"/>
      <c r="I121" s="134" t="n"/>
      <c r="J121" s="134" t="n"/>
      <c r="K121" s="134" t="n"/>
      <c r="L121" s="134" t="n"/>
      <c r="M121" s="134" t="n"/>
      <c r="N121" s="134" t="n"/>
    </row>
    <row r="122" ht="4.5" customHeight="1" s="149">
      <c r="A122" s="126" t="inlineStr">
        <is>
          <t>T11/2025</t>
        </is>
      </c>
      <c r="B122" s="127" t="inlineStr">
        <is>
          <t>Lens 1 Ngày</t>
        </is>
      </c>
      <c r="C122" s="128" t="n">
        <v>1379</v>
      </c>
      <c r="D122" s="129" t="n">
        <v>681</v>
      </c>
      <c r="E122" s="129" t="n">
        <v>368</v>
      </c>
      <c r="F122" s="129" t="n">
        <v>166</v>
      </c>
      <c r="G122" s="129" t="n">
        <v>54</v>
      </c>
      <c r="H122" s="129" t="n">
        <v>91</v>
      </c>
      <c r="I122" s="129" t="n">
        <v>17</v>
      </c>
      <c r="J122" s="129" t="n">
        <v>2</v>
      </c>
      <c r="K122" s="131" t="n">
        <v>67</v>
      </c>
      <c r="L122" s="131" t="n">
        <v>370</v>
      </c>
      <c r="M122" s="131" t="n">
        <v>12</v>
      </c>
      <c r="N122" s="131" t="n">
        <v>539</v>
      </c>
    </row>
    <row r="123" ht="15.75" customHeight="1" s="149">
      <c r="A123" s="126" t="inlineStr">
        <is>
          <t>T11/2025</t>
        </is>
      </c>
      <c r="B123" s="132" t="inlineStr">
        <is>
          <t>Lens 1 Tháng</t>
        </is>
      </c>
      <c r="C123" s="128" t="n">
        <v>689</v>
      </c>
      <c r="D123" s="129" t="n">
        <v>575</v>
      </c>
      <c r="E123" s="129" t="n">
        <v>83</v>
      </c>
      <c r="F123" s="129" t="n">
        <v>25</v>
      </c>
      <c r="G123" s="129" t="n">
        <v>2</v>
      </c>
      <c r="H123" s="129" t="n">
        <v>1</v>
      </c>
      <c r="I123" s="129" t="n">
        <v>2</v>
      </c>
      <c r="J123" s="129" t="n">
        <v>1</v>
      </c>
      <c r="K123" s="131" t="n">
        <v>332</v>
      </c>
      <c r="L123" s="131" t="n">
        <v>8</v>
      </c>
      <c r="M123" s="131" t="n">
        <v>20</v>
      </c>
      <c r="N123" s="131" t="n">
        <v>165</v>
      </c>
    </row>
    <row r="124" ht="15.75" customHeight="1" s="149">
      <c r="A124" s="126" t="inlineStr">
        <is>
          <t>T11/2025</t>
        </is>
      </c>
      <c r="B124" s="133" t="inlineStr">
        <is>
          <t>Lens 3 Tháng</t>
        </is>
      </c>
      <c r="C124" s="128" t="n">
        <v>333</v>
      </c>
      <c r="D124" s="129" t="n">
        <v>301</v>
      </c>
      <c r="E124" s="129" t="n">
        <v>23</v>
      </c>
      <c r="F124" s="129" t="n">
        <v>7</v>
      </c>
      <c r="G124" s="129" t="n">
        <v>1</v>
      </c>
      <c r="H124" s="129" t="n">
        <v>1</v>
      </c>
      <c r="I124" s="130" t="n">
        <v>0</v>
      </c>
      <c r="J124" s="130" t="n">
        <v>0</v>
      </c>
      <c r="K124" s="131" t="n">
        <v>192</v>
      </c>
      <c r="L124" s="131" t="n">
        <v>4</v>
      </c>
      <c r="M124" s="131" t="n">
        <v>7</v>
      </c>
      <c r="N124" s="131" t="n">
        <v>62</v>
      </c>
    </row>
    <row r="125" ht="15.75" customHeight="1" s="149">
      <c r="A125" s="134" t="n"/>
      <c r="B125" s="134" t="n"/>
      <c r="C125" s="134" t="n"/>
      <c r="D125" s="134" t="n"/>
      <c r="E125" s="134" t="n"/>
      <c r="F125" s="134" t="n"/>
      <c r="G125" s="134" t="n"/>
      <c r="H125" s="134" t="n"/>
      <c r="I125" s="134" t="n"/>
      <c r="J125" s="134" t="n"/>
      <c r="K125" s="134" t="n"/>
      <c r="L125" s="134" t="n"/>
      <c r="M125" s="134" t="n"/>
      <c r="N125" s="134" t="n"/>
    </row>
    <row r="126" ht="4.5" customHeight="1" s="149">
      <c r="A126" s="126" t="inlineStr">
        <is>
          <t>T12/2025</t>
        </is>
      </c>
      <c r="B126" s="127" t="inlineStr">
        <is>
          <t>Lens 1 Ngày</t>
        </is>
      </c>
      <c r="C126" s="128" t="n">
        <v>1320</v>
      </c>
      <c r="D126" s="129" t="n">
        <v>682</v>
      </c>
      <c r="E126" s="129" t="n">
        <v>288</v>
      </c>
      <c r="F126" s="129" t="n">
        <v>207</v>
      </c>
      <c r="G126" s="129" t="n">
        <v>38</v>
      </c>
      <c r="H126" s="129" t="n">
        <v>86</v>
      </c>
      <c r="I126" s="129" t="n">
        <v>16</v>
      </c>
      <c r="J126" s="129" t="n">
        <v>3</v>
      </c>
      <c r="K126" s="131" t="n">
        <v>46</v>
      </c>
      <c r="L126" s="131" t="n">
        <v>400</v>
      </c>
      <c r="M126" s="131" t="n">
        <v>11</v>
      </c>
      <c r="N126" s="131" t="n">
        <v>467</v>
      </c>
    </row>
    <row r="127" ht="15.75" customHeight="1" s="149">
      <c r="A127" s="126" t="inlineStr">
        <is>
          <t>T12/2025</t>
        </is>
      </c>
      <c r="B127" s="132" t="inlineStr">
        <is>
          <t>Lens 1 Tháng</t>
        </is>
      </c>
      <c r="C127" s="128" t="n">
        <v>737</v>
      </c>
      <c r="D127" s="129" t="n">
        <v>636</v>
      </c>
      <c r="E127" s="129" t="n">
        <v>78</v>
      </c>
      <c r="F127" s="129" t="n">
        <v>18</v>
      </c>
      <c r="G127" s="129" t="n">
        <v>3</v>
      </c>
      <c r="H127" s="129" t="n">
        <v>2</v>
      </c>
      <c r="I127" s="130" t="n">
        <v>0</v>
      </c>
      <c r="J127" s="130" t="n">
        <v>0</v>
      </c>
      <c r="K127" s="131" t="n">
        <v>376</v>
      </c>
      <c r="L127" s="131" t="n">
        <v>14</v>
      </c>
      <c r="M127" s="131" t="n">
        <v>27</v>
      </c>
      <c r="N127" s="131" t="n">
        <v>157</v>
      </c>
    </row>
    <row r="128" ht="15.75" customHeight="1" s="149">
      <c r="A128" s="126" t="inlineStr">
        <is>
          <t>T12/2025</t>
        </is>
      </c>
      <c r="B128" s="133" t="inlineStr">
        <is>
          <t>Lens 3 Tháng</t>
        </is>
      </c>
      <c r="C128" s="128" t="n">
        <v>557</v>
      </c>
      <c r="D128" s="129" t="n">
        <v>508</v>
      </c>
      <c r="E128" s="129" t="n">
        <v>38</v>
      </c>
      <c r="F128" s="129" t="n">
        <v>5</v>
      </c>
      <c r="G128" s="129" t="n">
        <v>2</v>
      </c>
      <c r="H128" s="129" t="n">
        <v>4</v>
      </c>
      <c r="I128" s="130" t="n">
        <v>0</v>
      </c>
      <c r="J128" s="130" t="n">
        <v>0</v>
      </c>
      <c r="K128" s="131" t="n">
        <v>287</v>
      </c>
      <c r="L128" s="131" t="n">
        <v>9</v>
      </c>
      <c r="M128" s="131" t="n">
        <v>22</v>
      </c>
      <c r="N128" s="131" t="n">
        <v>73</v>
      </c>
    </row>
    <row r="129" ht="15.75" customHeight="1" s="149">
      <c r="A129" s="134" t="n"/>
      <c r="B129" s="134" t="n"/>
      <c r="C129" s="134" t="n"/>
      <c r="D129" s="134" t="n"/>
      <c r="E129" s="134" t="n"/>
      <c r="F129" s="134" t="n"/>
      <c r="G129" s="134" t="n"/>
      <c r="H129" s="134" t="n"/>
      <c r="I129" s="134" t="n"/>
      <c r="J129" s="134" t="n"/>
      <c r="K129" s="134" t="n"/>
      <c r="L129" s="134" t="n"/>
      <c r="M129" s="134" t="n"/>
      <c r="N129" s="134" t="n"/>
    </row>
    <row r="130" ht="4.5" customHeight="1" s="149">
      <c r="A130" s="126" t="inlineStr">
        <is>
          <t>T1/2026</t>
        </is>
      </c>
      <c r="B130" s="127" t="inlineStr">
        <is>
          <t>Lens 1 Ngày</t>
        </is>
      </c>
      <c r="C130" s="128" t="n">
        <v>1587</v>
      </c>
      <c r="D130" s="129" t="n">
        <v>879</v>
      </c>
      <c r="E130" s="129" t="n">
        <v>254</v>
      </c>
      <c r="F130" s="129" t="n">
        <v>315</v>
      </c>
      <c r="G130" s="129" t="n">
        <v>23</v>
      </c>
      <c r="H130" s="129" t="n">
        <v>90</v>
      </c>
      <c r="I130" s="129" t="n">
        <v>18</v>
      </c>
      <c r="J130" s="129" t="n">
        <v>8</v>
      </c>
      <c r="K130" s="131" t="n">
        <v>85</v>
      </c>
      <c r="L130" s="131" t="n">
        <v>487</v>
      </c>
      <c r="M130" s="131" t="n">
        <v>14</v>
      </c>
      <c r="N130" s="131" t="n">
        <v>605</v>
      </c>
    </row>
    <row r="131" ht="15.75" customHeight="1" s="149">
      <c r="A131" s="126" t="inlineStr">
        <is>
          <t>T1/2026</t>
        </is>
      </c>
      <c r="B131" s="132" t="inlineStr">
        <is>
          <t>Lens 1 Tháng</t>
        </is>
      </c>
      <c r="C131" s="128" t="n">
        <v>819</v>
      </c>
      <c r="D131" s="129" t="n">
        <v>685</v>
      </c>
      <c r="E131" s="129" t="n">
        <v>95</v>
      </c>
      <c r="F131" s="129" t="n">
        <v>29</v>
      </c>
      <c r="G131" s="129" t="n">
        <v>6</v>
      </c>
      <c r="H131" s="129" t="n">
        <v>3</v>
      </c>
      <c r="I131" s="129" t="n">
        <v>1</v>
      </c>
      <c r="J131" s="130" t="n">
        <v>0</v>
      </c>
      <c r="K131" s="131" t="n">
        <v>427</v>
      </c>
      <c r="L131" s="131" t="n">
        <v>3</v>
      </c>
      <c r="M131" s="131" t="n">
        <v>32</v>
      </c>
      <c r="N131" s="131" t="n">
        <v>195</v>
      </c>
    </row>
    <row r="132" ht="15.75" customHeight="1" s="149">
      <c r="A132" s="126" t="inlineStr">
        <is>
          <t>T1/2026</t>
        </is>
      </c>
      <c r="B132" s="133" t="inlineStr">
        <is>
          <t>Lens 3 Tháng</t>
        </is>
      </c>
      <c r="C132" s="128" t="n">
        <v>600</v>
      </c>
      <c r="D132" s="129" t="n">
        <v>534</v>
      </c>
      <c r="E132" s="129" t="n">
        <v>53</v>
      </c>
      <c r="F132" s="129" t="n">
        <v>9</v>
      </c>
      <c r="G132" s="129" t="n">
        <v>3</v>
      </c>
      <c r="H132" s="129" t="n">
        <v>1</v>
      </c>
      <c r="I132" s="130" t="n">
        <v>0</v>
      </c>
      <c r="J132" s="130" t="n">
        <v>0</v>
      </c>
      <c r="K132" s="131" t="n">
        <v>301</v>
      </c>
      <c r="L132" s="131" t="n">
        <v>8</v>
      </c>
      <c r="M132" s="131" t="n">
        <v>18</v>
      </c>
      <c r="N132" s="131" t="n">
        <v>133</v>
      </c>
    </row>
    <row r="133" ht="15.75" customHeight="1" s="149">
      <c r="A133" s="134" t="n"/>
      <c r="B133" s="134" t="n"/>
      <c r="C133" s="134" t="n"/>
      <c r="D133" s="134" t="n"/>
      <c r="E133" s="134" t="n"/>
      <c r="F133" s="134" t="n"/>
      <c r="G133" s="134" t="n"/>
      <c r="H133" s="134" t="n"/>
      <c r="I133" s="134" t="n"/>
      <c r="J133" s="134" t="n"/>
      <c r="K133" s="134" t="n"/>
      <c r="L133" s="134" t="n"/>
      <c r="M133" s="134" t="n"/>
      <c r="N133" s="134" t="n"/>
    </row>
    <row r="134" ht="4.5" customHeight="1" s="149">
      <c r="A134" s="126" t="inlineStr">
        <is>
          <t>T2/2026</t>
        </is>
      </c>
      <c r="B134" s="127" t="inlineStr">
        <is>
          <t>Lens 1 Ngày</t>
        </is>
      </c>
      <c r="C134" s="128" t="n">
        <v>1183</v>
      </c>
      <c r="D134" s="129" t="n">
        <v>561</v>
      </c>
      <c r="E134" s="129" t="n">
        <v>209</v>
      </c>
      <c r="F134" s="129" t="n">
        <v>255</v>
      </c>
      <c r="G134" s="129" t="n">
        <v>27</v>
      </c>
      <c r="H134" s="129" t="n">
        <v>111</v>
      </c>
      <c r="I134" s="129" t="n">
        <v>16</v>
      </c>
      <c r="J134" s="129" t="n">
        <v>4</v>
      </c>
      <c r="K134" s="131" t="n">
        <v>86</v>
      </c>
      <c r="L134" s="131" t="n">
        <v>379</v>
      </c>
      <c r="M134" s="131" t="n">
        <v>16</v>
      </c>
      <c r="N134" s="131" t="n">
        <v>545</v>
      </c>
    </row>
    <row r="135" ht="15.75" customHeight="1" s="149">
      <c r="A135" s="126" t="inlineStr">
        <is>
          <t>T2/2026</t>
        </is>
      </c>
      <c r="B135" s="132" t="inlineStr">
        <is>
          <t>Lens 1 Tháng</t>
        </is>
      </c>
      <c r="C135" s="128" t="n">
        <v>1105</v>
      </c>
      <c r="D135" s="129" t="n">
        <v>947</v>
      </c>
      <c r="E135" s="129" t="n">
        <v>129</v>
      </c>
      <c r="F135" s="129" t="n">
        <v>19</v>
      </c>
      <c r="G135" s="129" t="n">
        <v>6</v>
      </c>
      <c r="H135" s="129" t="n">
        <v>2</v>
      </c>
      <c r="I135" s="129" t="n">
        <v>2</v>
      </c>
      <c r="J135" s="130" t="n">
        <v>0</v>
      </c>
      <c r="K135" s="131" t="n">
        <v>520</v>
      </c>
      <c r="L135" s="131" t="n">
        <v>21</v>
      </c>
      <c r="M135" s="131" t="n">
        <v>22</v>
      </c>
      <c r="N135" s="131" t="n">
        <v>257</v>
      </c>
    </row>
    <row r="136" ht="15.75" customHeight="1" s="149">
      <c r="A136" s="126" t="inlineStr">
        <is>
          <t>T2/2026</t>
        </is>
      </c>
      <c r="B136" s="133" t="inlineStr">
        <is>
          <t>Lens 3 Tháng</t>
        </is>
      </c>
      <c r="C136" s="128" t="n">
        <v>688</v>
      </c>
      <c r="D136" s="129" t="n">
        <v>607</v>
      </c>
      <c r="E136" s="129" t="n">
        <v>64</v>
      </c>
      <c r="F136" s="129" t="n">
        <v>8</v>
      </c>
      <c r="G136" s="129" t="n">
        <v>5</v>
      </c>
      <c r="H136" s="129" t="n">
        <v>4</v>
      </c>
      <c r="I136" s="130" t="n">
        <v>0</v>
      </c>
      <c r="J136" s="130" t="n">
        <v>0</v>
      </c>
      <c r="K136" s="131" t="n">
        <v>319</v>
      </c>
      <c r="L136" s="131" t="n">
        <v>11</v>
      </c>
      <c r="M136" s="131" t="n">
        <v>24</v>
      </c>
      <c r="N136" s="131" t="n">
        <v>157</v>
      </c>
    </row>
    <row r="137" ht="15.75" customHeight="1" s="149">
      <c r="A137" s="134" t="n"/>
      <c r="B137" s="134" t="n"/>
      <c r="C137" s="134" t="n"/>
      <c r="D137" s="134" t="n"/>
      <c r="E137" s="134" t="n"/>
      <c r="F137" s="134" t="n"/>
      <c r="G137" s="134" t="n"/>
      <c r="H137" s="134" t="n"/>
      <c r="I137" s="134" t="n"/>
      <c r="J137" s="134" t="n"/>
      <c r="K137" s="134" t="n"/>
      <c r="L137" s="134" t="n"/>
      <c r="M137" s="134" t="n"/>
      <c r="N137" s="134" t="n"/>
    </row>
    <row r="138" ht="4.5" customHeight="1" s="149">
      <c r="A138" s="126" t="inlineStr">
        <is>
          <t>T3/2026</t>
        </is>
      </c>
      <c r="B138" s="127" t="inlineStr">
        <is>
          <t>Lens 1 Ngày</t>
        </is>
      </c>
      <c r="C138" s="128" t="n">
        <v>852</v>
      </c>
      <c r="D138" s="129" t="n">
        <v>495</v>
      </c>
      <c r="E138" s="129" t="n">
        <v>147</v>
      </c>
      <c r="F138" s="129" t="n">
        <v>140</v>
      </c>
      <c r="G138" s="129" t="n">
        <v>12</v>
      </c>
      <c r="H138" s="129" t="n">
        <v>43</v>
      </c>
      <c r="I138" s="129" t="n">
        <v>14</v>
      </c>
      <c r="J138" s="129" t="n">
        <v>1</v>
      </c>
      <c r="K138" s="131" t="n">
        <v>30</v>
      </c>
      <c r="L138" s="131" t="n">
        <v>232</v>
      </c>
      <c r="M138" s="131" t="n">
        <v>10</v>
      </c>
      <c r="N138" s="131" t="n">
        <v>287</v>
      </c>
    </row>
    <row r="139" ht="15.75" customHeight="1" s="149">
      <c r="A139" s="126" t="inlineStr">
        <is>
          <t>T3/2026</t>
        </is>
      </c>
      <c r="B139" s="132" t="inlineStr">
        <is>
          <t>Lens 1 Tháng</t>
        </is>
      </c>
      <c r="C139" s="128" t="n">
        <v>545</v>
      </c>
      <c r="D139" s="129" t="n">
        <v>480</v>
      </c>
      <c r="E139" s="129" t="n">
        <v>45</v>
      </c>
      <c r="F139" s="129" t="n">
        <v>14</v>
      </c>
      <c r="G139" s="129" t="n">
        <v>2</v>
      </c>
      <c r="H139" s="129" t="n">
        <v>2</v>
      </c>
      <c r="I139" s="129" t="n">
        <v>2</v>
      </c>
      <c r="J139" s="130" t="n">
        <v>0</v>
      </c>
      <c r="K139" s="131" t="n">
        <v>205</v>
      </c>
      <c r="L139" s="131" t="n">
        <v>24</v>
      </c>
      <c r="M139" s="131" t="n">
        <v>59</v>
      </c>
      <c r="N139" s="131" t="n">
        <v>103</v>
      </c>
    </row>
    <row r="140" ht="15.75" customHeight="1" s="149">
      <c r="A140" s="126" t="inlineStr">
        <is>
          <t>T3/2026</t>
        </is>
      </c>
      <c r="B140" s="133" t="inlineStr">
        <is>
          <t>Lens 3 Tháng</t>
        </is>
      </c>
      <c r="C140" s="128" t="n">
        <v>400</v>
      </c>
      <c r="D140" s="129" t="n">
        <v>366</v>
      </c>
      <c r="E140" s="129" t="n">
        <v>26</v>
      </c>
      <c r="F140" s="129" t="n">
        <v>4</v>
      </c>
      <c r="G140" s="129" t="n">
        <v>1</v>
      </c>
      <c r="H140" s="129" t="n">
        <v>3</v>
      </c>
      <c r="I140" s="130" t="n">
        <v>0</v>
      </c>
      <c r="J140" s="130" t="n">
        <v>0</v>
      </c>
      <c r="K140" s="131" t="n">
        <v>143</v>
      </c>
      <c r="L140" s="131" t="n">
        <v>22</v>
      </c>
      <c r="M140" s="131" t="n">
        <v>37</v>
      </c>
      <c r="N140" s="131" t="n">
        <v>61</v>
      </c>
    </row>
    <row r="141" ht="15.75" customHeight="1" s="149">
      <c r="A141" s="134" t="n"/>
      <c r="B141" s="134" t="n"/>
      <c r="C141" s="134" t="n"/>
      <c r="D141" s="134" t="n"/>
      <c r="E141" s="134" t="n"/>
      <c r="F141" s="134" t="n"/>
      <c r="G141" s="134" t="n"/>
      <c r="H141" s="134" t="n"/>
      <c r="I141" s="134" t="n"/>
      <c r="J141" s="134" t="n"/>
      <c r="K141" s="134" t="n"/>
      <c r="L141" s="134" t="n"/>
      <c r="M141" s="134" t="n"/>
      <c r="N141" s="134" t="n"/>
    </row>
    <row r="142" ht="4.5" customHeight="1" s="149">
      <c r="A142" s="126" t="inlineStr">
        <is>
          <t>T4/2026</t>
        </is>
      </c>
      <c r="B142" s="127" t="inlineStr">
        <is>
          <t>Lens 1 Ngày</t>
        </is>
      </c>
      <c r="C142" s="128" t="n">
        <v>893</v>
      </c>
      <c r="D142" s="129" t="n">
        <v>484</v>
      </c>
      <c r="E142" s="129" t="n">
        <v>133</v>
      </c>
      <c r="F142" s="129" t="n">
        <v>168</v>
      </c>
      <c r="G142" s="129" t="n">
        <v>23</v>
      </c>
      <c r="H142" s="129" t="n">
        <v>66</v>
      </c>
      <c r="I142" s="129" t="n">
        <v>16</v>
      </c>
      <c r="J142" s="129" t="n">
        <v>3</v>
      </c>
      <c r="K142" s="131" t="n">
        <v>22</v>
      </c>
      <c r="L142" s="131" t="n">
        <v>320</v>
      </c>
      <c r="M142" s="131" t="n">
        <v>12</v>
      </c>
      <c r="N142" s="131" t="n">
        <v>322</v>
      </c>
    </row>
    <row r="143" ht="15.75" customHeight="1" s="149">
      <c r="A143" s="126" t="inlineStr">
        <is>
          <t>T4/2026</t>
        </is>
      </c>
      <c r="B143" s="132" t="inlineStr">
        <is>
          <t>Lens 1 Tháng</t>
        </is>
      </c>
      <c r="C143" s="128" t="n">
        <v>545</v>
      </c>
      <c r="D143" s="129" t="n">
        <v>478</v>
      </c>
      <c r="E143" s="129" t="n">
        <v>46</v>
      </c>
      <c r="F143" s="129" t="n">
        <v>15</v>
      </c>
      <c r="G143" s="129" t="n">
        <v>1</v>
      </c>
      <c r="H143" s="129" t="n">
        <v>3</v>
      </c>
      <c r="I143" s="130" t="n">
        <v>0</v>
      </c>
      <c r="J143" s="129" t="n">
        <v>2</v>
      </c>
      <c r="K143" s="131" t="n">
        <v>128</v>
      </c>
      <c r="L143" s="131" t="n">
        <v>42</v>
      </c>
      <c r="M143" s="131" t="n">
        <v>105</v>
      </c>
      <c r="N143" s="131" t="n">
        <v>101</v>
      </c>
    </row>
    <row r="144" ht="15.75" customHeight="1" s="149">
      <c r="A144" s="126" t="inlineStr">
        <is>
          <t>T4/2026</t>
        </is>
      </c>
      <c r="B144" s="133" t="inlineStr">
        <is>
          <t>Lens 3 Tháng</t>
        </is>
      </c>
      <c r="C144" s="128" t="n">
        <v>357</v>
      </c>
      <c r="D144" s="129" t="n">
        <v>323</v>
      </c>
      <c r="E144" s="129" t="n">
        <v>23</v>
      </c>
      <c r="F144" s="129" t="n">
        <v>7</v>
      </c>
      <c r="G144" s="129" t="n">
        <v>2</v>
      </c>
      <c r="H144" s="129" t="n">
        <v>1</v>
      </c>
      <c r="I144" s="130" t="n">
        <v>0</v>
      </c>
      <c r="J144" s="129" t="n">
        <v>1</v>
      </c>
      <c r="K144" s="131" t="n">
        <v>95</v>
      </c>
      <c r="L144" s="131" t="n">
        <v>23</v>
      </c>
      <c r="M144" s="131" t="n">
        <v>71</v>
      </c>
      <c r="N144" s="131" t="n">
        <v>59</v>
      </c>
    </row>
    <row r="145" ht="15.75" customHeight="1" s="149">
      <c r="A145" s="134" t="n"/>
      <c r="B145" s="134" t="n"/>
      <c r="C145" s="134" t="n"/>
      <c r="D145" s="134" t="n"/>
      <c r="E145" s="134" t="n"/>
      <c r="F145" s="134" t="n"/>
      <c r="G145" s="134" t="n"/>
      <c r="H145" s="134" t="n"/>
      <c r="I145" s="134" t="n"/>
      <c r="J145" s="134" t="n"/>
      <c r="K145" s="134" t="n"/>
      <c r="L145" s="134" t="n"/>
      <c r="M145" s="134" t="n"/>
      <c r="N145" s="134" t="n"/>
    </row>
    <row r="146" ht="4.5" customHeight="1" s="149">
      <c r="A146" s="126" t="inlineStr">
        <is>
          <t>T5/2026</t>
        </is>
      </c>
      <c r="B146" s="127" t="inlineStr">
        <is>
          <t>Lens 1 Ngày</t>
        </is>
      </c>
      <c r="C146" s="128" t="n">
        <v>810</v>
      </c>
      <c r="D146" s="129" t="n">
        <v>472</v>
      </c>
      <c r="E146" s="129" t="n">
        <v>117</v>
      </c>
      <c r="F146" s="129" t="n">
        <v>146</v>
      </c>
      <c r="G146" s="129" t="n">
        <v>15</v>
      </c>
      <c r="H146" s="129" t="n">
        <v>47</v>
      </c>
      <c r="I146" s="129" t="n">
        <v>9</v>
      </c>
      <c r="J146" s="129" t="n">
        <v>4</v>
      </c>
      <c r="K146" s="131" t="n">
        <v>19</v>
      </c>
      <c r="L146" s="131" t="n">
        <v>284</v>
      </c>
      <c r="M146" s="131" t="n">
        <v>20</v>
      </c>
      <c r="N146" s="131" t="n">
        <v>289</v>
      </c>
    </row>
    <row r="147" ht="15.75" customHeight="1" s="149">
      <c r="A147" s="126" t="inlineStr">
        <is>
          <t>T5/2026</t>
        </is>
      </c>
      <c r="B147" s="132" t="inlineStr">
        <is>
          <t>Lens 1 Tháng</t>
        </is>
      </c>
      <c r="C147" s="128" t="n">
        <v>559</v>
      </c>
      <c r="D147" s="129" t="n">
        <v>487</v>
      </c>
      <c r="E147" s="129" t="n">
        <v>53</v>
      </c>
      <c r="F147" s="129" t="n">
        <v>13</v>
      </c>
      <c r="G147" s="129" t="n">
        <v>2</v>
      </c>
      <c r="H147" s="129" t="n">
        <v>3</v>
      </c>
      <c r="I147" s="129" t="n">
        <v>1</v>
      </c>
      <c r="J147" s="130" t="n">
        <v>0</v>
      </c>
      <c r="K147" s="131" t="n">
        <v>111</v>
      </c>
      <c r="L147" s="131" t="n">
        <v>57</v>
      </c>
      <c r="M147" s="131" t="n">
        <v>122</v>
      </c>
      <c r="N147" s="131" t="n">
        <v>100</v>
      </c>
    </row>
    <row r="148" ht="15.75" customHeight="1" s="149">
      <c r="A148" s="126" t="inlineStr">
        <is>
          <t>T5/2026</t>
        </is>
      </c>
      <c r="B148" s="133" t="inlineStr">
        <is>
          <t>Lens 3 Tháng</t>
        </is>
      </c>
      <c r="C148" s="128" t="n">
        <v>287</v>
      </c>
      <c r="D148" s="129" t="n">
        <v>258</v>
      </c>
      <c r="E148" s="129" t="n">
        <v>24</v>
      </c>
      <c r="F148" s="129" t="n">
        <v>2</v>
      </c>
      <c r="G148" s="129" t="n">
        <v>1</v>
      </c>
      <c r="H148" s="129" t="n">
        <v>2</v>
      </c>
      <c r="I148" s="130" t="n">
        <v>0</v>
      </c>
      <c r="J148" s="130" t="n">
        <v>0</v>
      </c>
      <c r="K148" s="131" t="n">
        <v>81</v>
      </c>
      <c r="L148" s="131" t="n">
        <v>16</v>
      </c>
      <c r="M148" s="131" t="n">
        <v>49</v>
      </c>
      <c r="N148" s="131" t="n">
        <v>44</v>
      </c>
    </row>
    <row r="149" ht="15.75" customHeight="1" s="149">
      <c r="A149" s="134" t="n"/>
      <c r="B149" s="134" t="n"/>
      <c r="C149" s="134" t="n"/>
      <c r="D149" s="134" t="n"/>
      <c r="E149" s="134" t="n"/>
      <c r="F149" s="134" t="n"/>
      <c r="G149" s="134" t="n"/>
      <c r="H149" s="134" t="n"/>
      <c r="I149" s="134" t="n"/>
      <c r="J149" s="134" t="n"/>
      <c r="K149" s="134" t="n"/>
      <c r="L149" s="134" t="n"/>
      <c r="M149" s="134" t="n"/>
      <c r="N149" s="134" t="n"/>
    </row>
    <row r="150" ht="4.5" customHeight="1" s="149">
      <c r="A150" s="126" t="inlineStr">
        <is>
          <t>T6/2026</t>
        </is>
      </c>
      <c r="B150" s="127" t="inlineStr">
        <is>
          <t>Lens 1 Ngày</t>
        </is>
      </c>
      <c r="C150" s="128" t="n">
        <v>731</v>
      </c>
      <c r="D150" s="129" t="n">
        <v>420</v>
      </c>
      <c r="E150" s="129" t="n">
        <v>91</v>
      </c>
      <c r="F150" s="129" t="n">
        <v>141</v>
      </c>
      <c r="G150" s="129" t="n">
        <v>10</v>
      </c>
      <c r="H150" s="129" t="n">
        <v>51</v>
      </c>
      <c r="I150" s="129" t="n">
        <v>15</v>
      </c>
      <c r="J150" s="129" t="n">
        <v>3</v>
      </c>
      <c r="K150" s="131" t="n">
        <v>20</v>
      </c>
      <c r="L150" s="131" t="n">
        <v>244</v>
      </c>
      <c r="M150" s="131" t="n">
        <v>23</v>
      </c>
      <c r="N150" s="131" t="n">
        <v>285</v>
      </c>
    </row>
    <row r="151" ht="13.5" customHeight="1" s="149">
      <c r="A151" s="126" t="inlineStr">
        <is>
          <t>T6/2026</t>
        </is>
      </c>
      <c r="B151" s="132" t="inlineStr">
        <is>
          <t>Lens 1 Tháng</t>
        </is>
      </c>
      <c r="C151" s="128" t="n">
        <v>568</v>
      </c>
      <c r="D151" s="129" t="n">
        <v>497</v>
      </c>
      <c r="E151" s="129" t="n">
        <v>54</v>
      </c>
      <c r="F151" s="129" t="n">
        <v>13</v>
      </c>
      <c r="G151" s="129" t="n">
        <v>2</v>
      </c>
      <c r="H151" s="129" t="n">
        <v>2</v>
      </c>
      <c r="I151" s="130" t="n">
        <v>0</v>
      </c>
      <c r="J151" s="130" t="n">
        <v>0</v>
      </c>
      <c r="K151" s="131" t="n">
        <v>115</v>
      </c>
      <c r="L151" s="131" t="n">
        <v>57</v>
      </c>
      <c r="M151" s="131" t="n">
        <v>134</v>
      </c>
      <c r="N151" s="131" t="n">
        <v>115</v>
      </c>
    </row>
    <row r="152" ht="13.5" customHeight="1" s="149">
      <c r="A152" s="126" t="inlineStr">
        <is>
          <t>T6/2026</t>
        </is>
      </c>
      <c r="B152" s="133" t="inlineStr">
        <is>
          <t>Lens 3 Tháng</t>
        </is>
      </c>
      <c r="C152" s="128" t="n">
        <v>293</v>
      </c>
      <c r="D152" s="129" t="n">
        <v>255</v>
      </c>
      <c r="E152" s="129" t="n">
        <v>30</v>
      </c>
      <c r="F152" s="129" t="n">
        <v>4</v>
      </c>
      <c r="G152" s="130" t="n">
        <v>3</v>
      </c>
      <c r="H152" s="129" t="n">
        <v>1</v>
      </c>
      <c r="I152" s="130" t="n">
        <v>0</v>
      </c>
      <c r="J152" s="130" t="n">
        <v>0</v>
      </c>
      <c r="K152" s="131" t="n">
        <v>74</v>
      </c>
      <c r="L152" s="131" t="n">
        <v>27</v>
      </c>
      <c r="M152" s="131" t="n">
        <v>62</v>
      </c>
      <c r="N152" s="131" t="n">
        <v>68</v>
      </c>
    </row>
    <row r="153" ht="13.5" customHeight="1" s="149">
      <c r="A153" s="134" t="n"/>
      <c r="B153" s="134" t="n"/>
      <c r="C153" s="134" t="n"/>
      <c r="D153" s="134" t="n"/>
      <c r="E153" s="134" t="n"/>
      <c r="F153" s="134" t="n"/>
      <c r="G153" s="134" t="n"/>
      <c r="H153" s="134" t="n"/>
      <c r="I153" s="134" t="n"/>
      <c r="J153" s="134" t="n"/>
      <c r="K153" s="134" t="n"/>
      <c r="L153" s="134" t="n"/>
      <c r="M153" s="134" t="n"/>
      <c r="N153" s="134" t="n"/>
    </row>
    <row r="154" ht="13.5" customHeight="1" s="149">
      <c r="A154" s="126" t="inlineStr">
        <is>
          <t>T7/2026</t>
        </is>
      </c>
      <c r="B154" s="127" t="inlineStr">
        <is>
          <t>Lens 1 Ngày</t>
        </is>
      </c>
      <c r="C154" s="128" t="n">
        <v>468</v>
      </c>
      <c r="D154" s="129" t="n">
        <v>268</v>
      </c>
      <c r="E154" s="129" t="n">
        <v>54</v>
      </c>
      <c r="F154" s="129" t="n">
        <v>96</v>
      </c>
      <c r="G154" s="129" t="n">
        <v>7</v>
      </c>
      <c r="H154" s="129" t="n">
        <v>34</v>
      </c>
      <c r="I154" s="129" t="n">
        <v>7</v>
      </c>
      <c r="J154" s="129" t="n">
        <v>2</v>
      </c>
      <c r="K154" s="131" t="n">
        <v>9</v>
      </c>
      <c r="L154" s="131" t="n">
        <v>158</v>
      </c>
      <c r="M154" s="131" t="n">
        <v>12</v>
      </c>
      <c r="N154" s="131" t="n">
        <v>179</v>
      </c>
    </row>
    <row r="155" ht="13.5" customHeight="1" s="149">
      <c r="A155" s="126" t="inlineStr">
        <is>
          <t>T7/2026</t>
        </is>
      </c>
      <c r="B155" s="132" t="inlineStr">
        <is>
          <t>Lens 1 Tháng</t>
        </is>
      </c>
      <c r="C155" s="128" t="n">
        <v>378</v>
      </c>
      <c r="D155" s="129" t="n">
        <v>332</v>
      </c>
      <c r="E155" s="129" t="n">
        <v>33</v>
      </c>
      <c r="F155" s="129" t="n">
        <v>7</v>
      </c>
      <c r="G155" s="129" t="n">
        <v>3</v>
      </c>
      <c r="H155" s="129" t="n">
        <v>3</v>
      </c>
      <c r="I155" s="130" t="n">
        <v>0</v>
      </c>
      <c r="J155" s="130" t="n">
        <v>0</v>
      </c>
      <c r="K155" s="131" t="n">
        <v>82</v>
      </c>
      <c r="L155" s="131" t="n">
        <v>40</v>
      </c>
      <c r="M155" s="131" t="n">
        <v>87</v>
      </c>
      <c r="N155" s="131" t="n">
        <v>66</v>
      </c>
    </row>
    <row r="156" ht="13.5" customHeight="1" s="149">
      <c r="A156" s="126" t="inlineStr">
        <is>
          <t>T7/2026</t>
        </is>
      </c>
      <c r="B156" s="133" t="inlineStr">
        <is>
          <t>Lens 3 Tháng</t>
        </is>
      </c>
      <c r="C156" s="128" t="n">
        <v>198</v>
      </c>
      <c r="D156" s="129" t="n">
        <v>178</v>
      </c>
      <c r="E156" s="129" t="n">
        <v>13</v>
      </c>
      <c r="F156" s="129" t="n">
        <v>5</v>
      </c>
      <c r="G156" s="130" t="n">
        <v>2</v>
      </c>
      <c r="H156" s="129" t="n">
        <v>0</v>
      </c>
      <c r="I156" s="130" t="n">
        <v>0</v>
      </c>
      <c r="J156" s="130" t="n">
        <v>0</v>
      </c>
      <c r="K156" s="131" t="n">
        <v>45</v>
      </c>
      <c r="L156" s="131" t="n">
        <v>19</v>
      </c>
      <c r="M156" s="131" t="n">
        <v>43</v>
      </c>
      <c r="N156" s="131" t="n">
        <v>28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2026-07-20T04:51:36Z</dcterms:modified>
  <cp:lastModifiedBy>Macos</cp:lastModifiedBy>
  <cp:revision>0</cp:revision>
</cp:coreProperties>
</file>