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33C452F8-6CB5-5B47-91DB-96F507F418E3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6" sheetId="3" r:id="rId3"/>
    <sheet name="📊 TUẦN T6" sheetId="4" r:id="rId4"/>
    <sheet name="📅 DAILY T7" sheetId="5" r:id="rId5"/>
    <sheet name="📊 TUẦN T7" sheetId="6" r:id="rId6"/>
    <sheet name="📅 DAILY T8" sheetId="7" r:id="rId7"/>
    <sheet name="📊 TUẦN T8" sheetId="8" r:id="rId8"/>
    <sheet name="📅 DAILY T9" sheetId="9" r:id="rId9"/>
    <sheet name="📊 TUẦN T9" sheetId="10" r:id="rId10"/>
    <sheet name="📖 HƯỚNG DẪN" sheetId="11" r:id="rId11"/>
    <sheet name="HÀNH VI SP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0" l="1"/>
  <c r="G21" i="10"/>
  <c r="F21" i="10"/>
  <c r="E21" i="10"/>
  <c r="D21" i="10"/>
  <c r="C21" i="10"/>
  <c r="J8" i="10"/>
  <c r="G8" i="10"/>
  <c r="F8" i="10"/>
  <c r="E8" i="10"/>
  <c r="D8" i="10"/>
  <c r="C8" i="10"/>
  <c r="J7" i="10"/>
  <c r="G7" i="10"/>
  <c r="F7" i="10"/>
  <c r="E7" i="10"/>
  <c r="D7" i="10"/>
  <c r="C7" i="10"/>
  <c r="J6" i="10"/>
  <c r="G6" i="10"/>
  <c r="F6" i="10"/>
  <c r="E6" i="10"/>
  <c r="D6" i="10"/>
  <c r="C6" i="10"/>
  <c r="J5" i="10"/>
  <c r="G5" i="10"/>
  <c r="F5" i="10"/>
  <c r="E5" i="10"/>
  <c r="D5" i="10"/>
  <c r="C5" i="10"/>
  <c r="J4" i="10"/>
  <c r="G4" i="10"/>
  <c r="F4" i="10"/>
  <c r="E4" i="10"/>
  <c r="D4" i="10"/>
  <c r="C4" i="10"/>
  <c r="Q35" i="9"/>
  <c r="P35" i="9"/>
  <c r="O35" i="9"/>
  <c r="M35" i="9"/>
  <c r="N35" i="9" s="1"/>
  <c r="Q34" i="9"/>
  <c r="P34" i="9"/>
  <c r="O34" i="9"/>
  <c r="M34" i="9"/>
  <c r="Q33" i="9"/>
  <c r="P33" i="9"/>
  <c r="O33" i="9"/>
  <c r="M33" i="9"/>
  <c r="N33" i="9" s="1"/>
  <c r="Q32" i="9"/>
  <c r="P32" i="9"/>
  <c r="O32" i="9"/>
  <c r="M32" i="9"/>
  <c r="N32" i="9" s="1"/>
  <c r="Q31" i="9"/>
  <c r="P31" i="9"/>
  <c r="O31" i="9"/>
  <c r="M31" i="9"/>
  <c r="N31" i="9" s="1"/>
  <c r="Q30" i="9"/>
  <c r="P30" i="9"/>
  <c r="O30" i="9"/>
  <c r="M30" i="9"/>
  <c r="N30" i="9" s="1"/>
  <c r="Q29" i="9"/>
  <c r="P29" i="9"/>
  <c r="O29" i="9"/>
  <c r="N29" i="9"/>
  <c r="M29" i="9"/>
  <c r="Q28" i="9"/>
  <c r="P28" i="9"/>
  <c r="O28" i="9"/>
  <c r="M28" i="9"/>
  <c r="N28" i="9" s="1"/>
  <c r="Q27" i="9"/>
  <c r="P27" i="9"/>
  <c r="O27" i="9"/>
  <c r="M27" i="9"/>
  <c r="Q26" i="9"/>
  <c r="P26" i="9"/>
  <c r="O26" i="9"/>
  <c r="M26" i="9"/>
  <c r="N26" i="9" s="1"/>
  <c r="Q25" i="9"/>
  <c r="P25" i="9"/>
  <c r="O25" i="9"/>
  <c r="M25" i="9"/>
  <c r="N25" i="9" s="1"/>
  <c r="Q24" i="9"/>
  <c r="P24" i="9"/>
  <c r="O24" i="9"/>
  <c r="M24" i="9"/>
  <c r="N24" i="9" s="1"/>
  <c r="Q23" i="9"/>
  <c r="P23" i="9"/>
  <c r="O23" i="9"/>
  <c r="M23" i="9"/>
  <c r="N23" i="9" s="1"/>
  <c r="Q22" i="9"/>
  <c r="P22" i="9"/>
  <c r="O22" i="9"/>
  <c r="M22" i="9"/>
  <c r="N22" i="9" s="1"/>
  <c r="Q21" i="9"/>
  <c r="P21" i="9"/>
  <c r="O21" i="9"/>
  <c r="M21" i="9"/>
  <c r="N21" i="9" s="1"/>
  <c r="Q20" i="9"/>
  <c r="P20" i="9"/>
  <c r="O20" i="9"/>
  <c r="M20" i="9"/>
  <c r="Q19" i="9"/>
  <c r="P19" i="9"/>
  <c r="O19" i="9"/>
  <c r="M19" i="9"/>
  <c r="N19" i="9" s="1"/>
  <c r="Q18" i="9"/>
  <c r="P18" i="9"/>
  <c r="O18" i="9"/>
  <c r="M18" i="9"/>
  <c r="N18" i="9" s="1"/>
  <c r="Q17" i="9"/>
  <c r="P17" i="9"/>
  <c r="O17" i="9"/>
  <c r="M17" i="9"/>
  <c r="N17" i="9" s="1"/>
  <c r="Q16" i="9"/>
  <c r="P16" i="9"/>
  <c r="O16" i="9"/>
  <c r="M16" i="9"/>
  <c r="N16" i="9" s="1"/>
  <c r="Q15" i="9"/>
  <c r="P15" i="9"/>
  <c r="O15" i="9"/>
  <c r="M15" i="9"/>
  <c r="N15" i="9" s="1"/>
  <c r="Q14" i="9"/>
  <c r="P14" i="9"/>
  <c r="O14" i="9"/>
  <c r="M14" i="9"/>
  <c r="N14" i="9" s="1"/>
  <c r="Q13" i="9"/>
  <c r="P13" i="9"/>
  <c r="O13" i="9"/>
  <c r="M13" i="9"/>
  <c r="Q12" i="9"/>
  <c r="P12" i="9"/>
  <c r="O12" i="9"/>
  <c r="N12" i="9"/>
  <c r="M12" i="9"/>
  <c r="Q11" i="9"/>
  <c r="P11" i="9"/>
  <c r="O11" i="9"/>
  <c r="M11" i="9"/>
  <c r="N11" i="9" s="1"/>
  <c r="Q10" i="9"/>
  <c r="P10" i="9"/>
  <c r="O10" i="9"/>
  <c r="M10" i="9"/>
  <c r="N10" i="9" s="1"/>
  <c r="Q9" i="9"/>
  <c r="P9" i="9"/>
  <c r="O9" i="9"/>
  <c r="M9" i="9"/>
  <c r="N9" i="9" s="1"/>
  <c r="Q8" i="9"/>
  <c r="P8" i="9"/>
  <c r="O8" i="9"/>
  <c r="M8" i="9"/>
  <c r="N8" i="9" s="1"/>
  <c r="Q7" i="9"/>
  <c r="P7" i="9"/>
  <c r="O7" i="9"/>
  <c r="M7" i="9"/>
  <c r="N7" i="9" s="1"/>
  <c r="Q6" i="9"/>
  <c r="P6" i="9"/>
  <c r="O6" i="9"/>
  <c r="M6" i="9"/>
  <c r="J22" i="8"/>
  <c r="G22" i="8"/>
  <c r="F22" i="8"/>
  <c r="E22" i="8"/>
  <c r="D22" i="8"/>
  <c r="C22" i="8"/>
  <c r="J9" i="8"/>
  <c r="H9" i="8"/>
  <c r="G9" i="8"/>
  <c r="F9" i="8"/>
  <c r="E9" i="8"/>
  <c r="D9" i="8"/>
  <c r="C9" i="8"/>
  <c r="J8" i="8"/>
  <c r="F8" i="8"/>
  <c r="D8" i="8"/>
  <c r="C8" i="8"/>
  <c r="J7" i="8"/>
  <c r="G7" i="8"/>
  <c r="F7" i="8"/>
  <c r="E7" i="8"/>
  <c r="D7" i="8"/>
  <c r="C7" i="8"/>
  <c r="J6" i="8"/>
  <c r="G6" i="8"/>
  <c r="F6" i="8"/>
  <c r="E6" i="8"/>
  <c r="D6" i="8"/>
  <c r="C6" i="8"/>
  <c r="J5" i="8"/>
  <c r="G5" i="8"/>
  <c r="F5" i="8"/>
  <c r="E5" i="8"/>
  <c r="D5" i="8"/>
  <c r="C5" i="8"/>
  <c r="J4" i="8"/>
  <c r="G4" i="8"/>
  <c r="F4" i="8"/>
  <c r="E4" i="8"/>
  <c r="D4" i="8"/>
  <c r="C4" i="8"/>
  <c r="Q36" i="7"/>
  <c r="P36" i="7"/>
  <c r="O36" i="7"/>
  <c r="M36" i="7"/>
  <c r="N36" i="7" s="1"/>
  <c r="Q35" i="7"/>
  <c r="P35" i="7"/>
  <c r="O35" i="7"/>
  <c r="M35" i="7"/>
  <c r="N35" i="7" s="1"/>
  <c r="Q34" i="7"/>
  <c r="P34" i="7"/>
  <c r="O34" i="7"/>
  <c r="M34" i="7"/>
  <c r="N34" i="7" s="1"/>
  <c r="I9" i="8" s="1"/>
  <c r="Q33" i="7"/>
  <c r="P33" i="7"/>
  <c r="O33" i="7"/>
  <c r="M33" i="7"/>
  <c r="N33" i="7" s="1"/>
  <c r="Q32" i="7"/>
  <c r="P32" i="7"/>
  <c r="O32" i="7"/>
  <c r="M32" i="7"/>
  <c r="N32" i="7" s="1"/>
  <c r="Q31" i="7"/>
  <c r="P31" i="7"/>
  <c r="O31" i="7"/>
  <c r="M31" i="7"/>
  <c r="N31" i="7" s="1"/>
  <c r="Q30" i="7"/>
  <c r="P30" i="7"/>
  <c r="O30" i="7"/>
  <c r="M30" i="7"/>
  <c r="N30" i="7" s="1"/>
  <c r="Q29" i="7"/>
  <c r="P29" i="7"/>
  <c r="O29" i="7"/>
  <c r="M29" i="7"/>
  <c r="N29" i="7" s="1"/>
  <c r="Q28" i="7"/>
  <c r="P28" i="7"/>
  <c r="O28" i="7"/>
  <c r="M28" i="7"/>
  <c r="Q27" i="7"/>
  <c r="P27" i="7"/>
  <c r="O27" i="7"/>
  <c r="M27" i="7"/>
  <c r="Q26" i="7"/>
  <c r="P26" i="7"/>
  <c r="O26" i="7"/>
  <c r="M26" i="7"/>
  <c r="N26" i="7" s="1"/>
  <c r="Q25" i="7"/>
  <c r="P25" i="7"/>
  <c r="O25" i="7"/>
  <c r="M25" i="7"/>
  <c r="N25" i="7" s="1"/>
  <c r="Q24" i="7"/>
  <c r="P24" i="7"/>
  <c r="O24" i="7"/>
  <c r="M24" i="7"/>
  <c r="N24" i="7" s="1"/>
  <c r="Q23" i="7"/>
  <c r="P23" i="7"/>
  <c r="O23" i="7"/>
  <c r="M23" i="7"/>
  <c r="N23" i="7" s="1"/>
  <c r="Q22" i="7"/>
  <c r="P22" i="7"/>
  <c r="O22" i="7"/>
  <c r="M22" i="7"/>
  <c r="N22" i="7" s="1"/>
  <c r="Q21" i="7"/>
  <c r="P21" i="7"/>
  <c r="O21" i="7"/>
  <c r="N21" i="7"/>
  <c r="M21" i="7"/>
  <c r="Q20" i="7"/>
  <c r="P20" i="7"/>
  <c r="O20" i="7"/>
  <c r="M20" i="7"/>
  <c r="Q19" i="7"/>
  <c r="P19" i="7"/>
  <c r="O19" i="7"/>
  <c r="M19" i="7"/>
  <c r="N19" i="7" s="1"/>
  <c r="Q18" i="7"/>
  <c r="P18" i="7"/>
  <c r="O18" i="7"/>
  <c r="M18" i="7"/>
  <c r="N18" i="7" s="1"/>
  <c r="Q17" i="7"/>
  <c r="P17" i="7"/>
  <c r="O17" i="7"/>
  <c r="M17" i="7"/>
  <c r="N17" i="7" s="1"/>
  <c r="Q16" i="7"/>
  <c r="P16" i="7"/>
  <c r="O16" i="7"/>
  <c r="M16" i="7"/>
  <c r="N16" i="7" s="1"/>
  <c r="Q15" i="7"/>
  <c r="P15" i="7"/>
  <c r="O15" i="7"/>
  <c r="M15" i="7"/>
  <c r="N15" i="7" s="1"/>
  <c r="Q14" i="7"/>
  <c r="P14" i="7"/>
  <c r="O14" i="7"/>
  <c r="M14" i="7"/>
  <c r="N14" i="7" s="1"/>
  <c r="Q13" i="7"/>
  <c r="P13" i="7"/>
  <c r="O13" i="7"/>
  <c r="M13" i="7"/>
  <c r="Q12" i="7"/>
  <c r="P12" i="7"/>
  <c r="O12" i="7"/>
  <c r="M12" i="7"/>
  <c r="N12" i="7" s="1"/>
  <c r="Q11" i="7"/>
  <c r="P11" i="7"/>
  <c r="O11" i="7"/>
  <c r="M11" i="7"/>
  <c r="N11" i="7" s="1"/>
  <c r="Q10" i="7"/>
  <c r="P10" i="7"/>
  <c r="O10" i="7"/>
  <c r="M10" i="7"/>
  <c r="N10" i="7" s="1"/>
  <c r="Q9" i="7"/>
  <c r="P9" i="7"/>
  <c r="O9" i="7"/>
  <c r="M9" i="7"/>
  <c r="N9" i="7" s="1"/>
  <c r="Q8" i="7"/>
  <c r="P8" i="7"/>
  <c r="O8" i="7"/>
  <c r="M8" i="7"/>
  <c r="N8" i="7" s="1"/>
  <c r="Q7" i="7"/>
  <c r="P7" i="7"/>
  <c r="O7" i="7"/>
  <c r="M7" i="7"/>
  <c r="Q6" i="7"/>
  <c r="P6" i="7"/>
  <c r="O6" i="7"/>
  <c r="M6" i="7"/>
  <c r="J21" i="6"/>
  <c r="G21" i="6"/>
  <c r="F21" i="6"/>
  <c r="E21" i="6"/>
  <c r="D21" i="6"/>
  <c r="C21" i="6"/>
  <c r="J8" i="6"/>
  <c r="G8" i="6"/>
  <c r="F8" i="6"/>
  <c r="E8" i="6"/>
  <c r="D8" i="6"/>
  <c r="C8" i="6"/>
  <c r="J7" i="6"/>
  <c r="G7" i="6"/>
  <c r="F7" i="6"/>
  <c r="E7" i="6"/>
  <c r="D7" i="6"/>
  <c r="C7" i="6"/>
  <c r="J6" i="6"/>
  <c r="G6" i="6"/>
  <c r="F6" i="6"/>
  <c r="E6" i="6"/>
  <c r="D6" i="6"/>
  <c r="C6" i="6"/>
  <c r="J5" i="6"/>
  <c r="G5" i="6"/>
  <c r="F5" i="6"/>
  <c r="E5" i="6"/>
  <c r="D5" i="6"/>
  <c r="C5" i="6"/>
  <c r="K4" i="6"/>
  <c r="J4" i="6"/>
  <c r="H4" i="6"/>
  <c r="G4" i="6"/>
  <c r="F4" i="6"/>
  <c r="E4" i="6"/>
  <c r="D4" i="6"/>
  <c r="C4" i="6"/>
  <c r="Q36" i="5"/>
  <c r="P36" i="5"/>
  <c r="O36" i="5"/>
  <c r="M36" i="5"/>
  <c r="N36" i="5" s="1"/>
  <c r="Q35" i="5"/>
  <c r="P35" i="5"/>
  <c r="O35" i="5"/>
  <c r="M35" i="5"/>
  <c r="N35" i="5" s="1"/>
  <c r="Q34" i="5"/>
  <c r="P34" i="5"/>
  <c r="O34" i="5"/>
  <c r="M34" i="5"/>
  <c r="N34" i="5" s="1"/>
  <c r="Q33" i="5"/>
  <c r="P33" i="5"/>
  <c r="O33" i="5"/>
  <c r="M33" i="5"/>
  <c r="N33" i="5" s="1"/>
  <c r="Q32" i="5"/>
  <c r="P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N27" i="5"/>
  <c r="M27" i="5"/>
  <c r="P27" i="5" s="1"/>
  <c r="Q26" i="5"/>
  <c r="O26" i="5"/>
  <c r="M26" i="5"/>
  <c r="Q25" i="5"/>
  <c r="O25" i="5"/>
  <c r="M25" i="5"/>
  <c r="Q24" i="5"/>
  <c r="P24" i="5"/>
  <c r="O24" i="5"/>
  <c r="M24" i="5"/>
  <c r="N24" i="5" s="1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W68" i="2"/>
  <c r="X39" i="2"/>
  <c r="W39" i="2"/>
  <c r="X38" i="2"/>
  <c r="W38" i="2"/>
  <c r="X37" i="2"/>
  <c r="W37" i="2"/>
  <c r="X36" i="2"/>
  <c r="W36" i="2"/>
  <c r="X35" i="2"/>
  <c r="W35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W8" i="2"/>
  <c r="X7" i="2"/>
  <c r="W7" i="2"/>
  <c r="X6" i="2"/>
  <c r="W6" i="2"/>
  <c r="H8" i="10" l="1"/>
  <c r="N34" i="9"/>
  <c r="I8" i="10" s="1"/>
  <c r="H7" i="10"/>
  <c r="N27" i="9"/>
  <c r="I7" i="10" s="1"/>
  <c r="H6" i="10"/>
  <c r="N20" i="9"/>
  <c r="I6" i="10" s="1"/>
  <c r="N13" i="9"/>
  <c r="I5" i="10" s="1"/>
  <c r="H5" i="10"/>
  <c r="K8" i="10"/>
  <c r="K4" i="10"/>
  <c r="K7" i="10"/>
  <c r="K21" i="10"/>
  <c r="K5" i="10"/>
  <c r="N6" i="9"/>
  <c r="X40" i="2"/>
  <c r="H21" i="10"/>
  <c r="K6" i="10"/>
  <c r="H4" i="10"/>
  <c r="H8" i="8"/>
  <c r="N28" i="7"/>
  <c r="I8" i="8" s="1"/>
  <c r="H7" i="8"/>
  <c r="N27" i="7"/>
  <c r="I7" i="8" s="1"/>
  <c r="N20" i="7"/>
  <c r="I6" i="8" s="1"/>
  <c r="H6" i="8"/>
  <c r="H5" i="8"/>
  <c r="N13" i="7"/>
  <c r="I5" i="8" s="1"/>
  <c r="K8" i="8"/>
  <c r="N7" i="7"/>
  <c r="N6" i="7"/>
  <c r="K9" i="8"/>
  <c r="W40" i="2"/>
  <c r="K6" i="8"/>
  <c r="K5" i="8"/>
  <c r="K7" i="8"/>
  <c r="K22" i="8"/>
  <c r="H22" i="8"/>
  <c r="K4" i="8"/>
  <c r="H4" i="8"/>
  <c r="N32" i="5"/>
  <c r="I8" i="6" s="1"/>
  <c r="H8" i="6"/>
  <c r="P31" i="5"/>
  <c r="N31" i="5"/>
  <c r="N30" i="5"/>
  <c r="P30" i="5"/>
  <c r="P29" i="5"/>
  <c r="N29" i="5"/>
  <c r="N28" i="5"/>
  <c r="P28" i="5"/>
  <c r="P26" i="5"/>
  <c r="N26" i="5"/>
  <c r="H7" i="6"/>
  <c r="N25" i="5"/>
  <c r="I7" i="6" s="1"/>
  <c r="P25" i="5"/>
  <c r="N23" i="5"/>
  <c r="P23" i="5"/>
  <c r="N22" i="5"/>
  <c r="P22" i="5"/>
  <c r="N21" i="5"/>
  <c r="P21" i="5"/>
  <c r="N20" i="5"/>
  <c r="P20" i="5"/>
  <c r="N19" i="5"/>
  <c r="P19" i="5"/>
  <c r="N18" i="5"/>
  <c r="I6" i="6" s="1"/>
  <c r="H6" i="6"/>
  <c r="P18" i="5"/>
  <c r="P17" i="5"/>
  <c r="N17" i="5"/>
  <c r="P16" i="5"/>
  <c r="N16" i="5"/>
  <c r="P15" i="5"/>
  <c r="N15" i="5"/>
  <c r="N14" i="5"/>
  <c r="P14" i="5"/>
  <c r="P13" i="5"/>
  <c r="N13" i="5"/>
  <c r="K21" i="6"/>
  <c r="K8" i="6"/>
  <c r="K7" i="6"/>
  <c r="K6" i="6"/>
  <c r="N12" i="5"/>
  <c r="P12" i="5"/>
  <c r="H21" i="6"/>
  <c r="H5" i="6"/>
  <c r="K5" i="6"/>
  <c r="N11" i="5"/>
  <c r="P11" i="5"/>
  <c r="P10" i="5"/>
  <c r="N10" i="5"/>
  <c r="P9" i="5"/>
  <c r="N9" i="5"/>
  <c r="P8" i="5"/>
  <c r="N8" i="5"/>
  <c r="P7" i="5"/>
  <c r="N7" i="5"/>
  <c r="P6" i="5"/>
  <c r="N6" i="5"/>
  <c r="P35" i="3"/>
  <c r="N35" i="3"/>
  <c r="N34" i="3"/>
  <c r="P34" i="3"/>
  <c r="P33" i="3"/>
  <c r="N33" i="3"/>
  <c r="N32" i="3"/>
  <c r="P32" i="3"/>
  <c r="N31" i="3"/>
  <c r="P31" i="3"/>
  <c r="P30" i="3"/>
  <c r="N30" i="3"/>
  <c r="P29" i="3"/>
  <c r="N29" i="3"/>
  <c r="P28" i="3"/>
  <c r="N28" i="3"/>
  <c r="N27" i="3"/>
  <c r="P27" i="3"/>
  <c r="P26" i="3"/>
  <c r="N26" i="3"/>
  <c r="P25" i="3"/>
  <c r="N25" i="3"/>
  <c r="P24" i="3"/>
  <c r="N24" i="3"/>
  <c r="P23" i="3"/>
  <c r="N23" i="3"/>
  <c r="P22" i="3"/>
  <c r="N22" i="3"/>
  <c r="N21" i="3"/>
  <c r="P21" i="3"/>
  <c r="P20" i="3"/>
  <c r="N20" i="3"/>
  <c r="P19" i="3"/>
  <c r="N19" i="3"/>
  <c r="P18" i="3"/>
  <c r="N18" i="3"/>
  <c r="P17" i="3"/>
  <c r="N17" i="3"/>
  <c r="N16" i="3"/>
  <c r="P16" i="3"/>
  <c r="N15" i="3"/>
  <c r="P15" i="3"/>
  <c r="N14" i="3"/>
  <c r="P14" i="3"/>
  <c r="P13" i="3"/>
  <c r="N13" i="3"/>
  <c r="P12" i="3"/>
  <c r="N12" i="3"/>
  <c r="P11" i="3"/>
  <c r="N11" i="3"/>
  <c r="P10" i="3"/>
  <c r="N10" i="3"/>
  <c r="N9" i="3"/>
  <c r="P9" i="3"/>
  <c r="P8" i="3"/>
  <c r="N8" i="3"/>
  <c r="N7" i="3"/>
  <c r="P7" i="3"/>
  <c r="N6" i="3"/>
  <c r="P6" i="3"/>
  <c r="I4" i="10" l="1"/>
  <c r="I21" i="10"/>
  <c r="I4" i="8"/>
  <c r="I22" i="8"/>
  <c r="I4" i="6"/>
  <c r="I21" i="6"/>
  <c r="I5" i="6"/>
</calcChain>
</file>

<file path=xl/sharedStrings.xml><?xml version="1.0" encoding="utf-8"?>
<sst xmlns="http://schemas.openxmlformats.org/spreadsheetml/2006/main" count="1209" uniqueCount="559">
  <si>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</si>
  <si>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</si>
  <si>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</si>
  <si>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</si>
  <si>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</si>
  <si>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</si>
  <si>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</si>
  <si>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</si>
  <si>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</si>
  <si>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</si>
  <si>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</si>
  <si>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</si>
  <si>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</si>
  <si>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</si>
  <si>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</si>
  <si>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</si>
  <si>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</si>
  <si>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</si>
  <si>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</si>
  <si>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</si>
  <si>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</si>
  <si>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</si>
  <si>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</si>
  <si>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</si>
  <si>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</si>
  <si>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</si>
  <si>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</si>
  <si>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</si>
  <si>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</si>
  <si>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</si>
  <si>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</si>
  <si>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</si>
  <si>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</si>
  <si>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</si>
  <si>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</si>
  <si>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</si>
  <si>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</si>
  <si>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</si>
  <si>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</si>
  <si>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</si>
  <si>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</si>
  <si>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</si>
  <si>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</si>
  <si>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</si>
  <si>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</si>
  <si>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</si>
  <si>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</si>
  <si>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</si>
  <si>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</si>
  <si>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</si>
  <si>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</si>
  <si>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</si>
  <si>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</si>
  <si>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</si>
  <si>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</si>
  <si>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</si>
  <si>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</si>
  <si>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</si>
  <si>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</si>
  <si>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</si>
  <si>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</si>
  <si>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</si>
  <si>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</si>
  <si>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</si>
  <si>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</si>
  <si>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</si>
  <si>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</si>
  <si>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</si>
  <si>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</si>
  <si>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</si>
  <si>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</si>
  <si>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</si>
  <si>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</si>
  <si>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</si>
  <si>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</si>
  <si>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</si>
  <si>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</si>
  <si>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</si>
  <si>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</si>
  <si>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</si>
  <si>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</si>
  <si>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</si>
  <si>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</si>
  <si>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</si>
  <si>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</si>
  <si>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</si>
  <si>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</si>
  <si>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</si>
  <si>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</si>
  <si>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</si>
  <si>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</si>
  <si>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</si>
  <si>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</si>
  <si>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</t>
  </si>
  <si>
    <t>Mỗi chỉ số trong sheet MASTER — định nghĩa chính xác, công thức tính, cách đọc và ngưỡng tham chiếu</t>
  </si>
  <si>
    <t>Nhóm chỉ số</t>
  </si>
  <si>
    <t>Kênh</t>
  </si>
  <si>
    <t>Tên chỉ số</t>
  </si>
  <si>
    <t>Định nghĩa</t>
  </si>
  <si>
    <t>Công thức / Cách tính</t>
  </si>
  <si>
    <t>Cách đọc &amp; Ý nghĩa quản trị</t>
  </si>
  <si>
    <t>Ngưỡng tham chiếu / Kết quả T6/26</t>
  </si>
  <si>
    <t>📦 Doanh thu &amp; Ads</t>
  </si>
  <si>
    <t>Facebook</t>
  </si>
  <si>
    <t>Tổng tiền thu từ đơn hàng Facebook được giao thành công trong tháng, đã trừ đơn trả hàng.</t>
  </si>
  <si>
    <t>Σ (Tổng thu + Tiền CK) của đơn FB có Ngày thành công trong tháng T, loại trừ đơn 'Khách trả lại hàng'</t>
  </si>
  <si>
    <t>Chỉ số chính đo hiệu quả kênh FB. Tăng MoM = kênh đang phát triển. Nên nhìn cùng với CP Ads để đánh giá hiệu quả.</t>
  </si>
  <si>
    <t>Target T6/26: 1,221,140,305đ. Tăng trưởng MoM kỳ vọng ≥5%</t>
  </si>
  <si>
    <t>Số đơn hàng FB giao thành công trong tháng, đã trừ đơn trả.</t>
  </si>
  <si>
    <t>COUNT(ID) DISTINCT có Ngày thành công trong T, loại đơn ≠ trả hàng</t>
  </si>
  <si>
    <t>Kết hợp với DT FB để tính AOV. Số đơn tăng mà DT không tăng = AOV đang giảm (cần kiểm tra mix sản phẩm).</t>
  </si>
  <si>
    <t>T6/26: 2,314 đơn. Mục tiêu: tăng trưởng đều đặn MoM.</t>
  </si>
  <si>
    <t>Giá trị đơn hàng trung bình của kênh Facebook.</t>
  </si>
  <si>
    <t>DT FB ÷ Đơn FB</t>
  </si>
  <si>
    <t>AOV cao = KH mua nhiều sản phẩm/cặp hơn mỗi đơn. Nếu AOV giảm: kiểm tra mix (1N vs 3M), promotion quá mạnh hay KH mới chiếm nhiều hơn.</t>
  </si>
  <si>
    <t>T6/26: 439,744đ. Benchmark lens store VN: 300K–500K. Tốt nếu &gt;400K.</t>
  </si>
  <si>
    <t>Tổng lượng tương tác (comment + inbox) trên fanpage Facebook trong tháng.</t>
  </si>
  <si>
    <t>Nhập tay từ báo cáo Fanpage / phần mềm quản lý. Không tính từ Nhanh.vn.</t>
  </si>
  <si>
    <t>Tử số trong CR%. Tăng nhưng CR% giảm = nội dung kéo traffic chất lượng thấp. Giảm nhưng CR% tăng = đang filter đúng đối tượng.</t>
  </si>
  <si>
    <t>T6/26: 4,370. Mục tiêu CR% ≥ 40%</t>
  </si>
  <si>
    <t>Chi phí Ads (Agency)</t>
  </si>
  <si>
    <t>Tổng chi phí chạy quảng cáo Facebook trong tháng (phí media + phí agency nếu có).</t>
  </si>
  <si>
    <t>Nhập tay từ hóa đơn agency / tài khoản Ads Manager.</t>
  </si>
  <si>
    <t>Dùng để tính ROAS = DT FB / CP Ads. ROAS &lt;3 = không hiệu quả về mặt trực tiếp (cần xem LTV). ROAS &gt;5 = tốt.</t>
  </si>
  <si>
    <t>ROAS kỳ vọng: 4–6x cho ngành lens tiêu dùng trực tuyến VN.</t>
  </si>
  <si>
    <t>CR% (Đơn / CMT+IB)</t>
  </si>
  <si>
    <t>Tỷ lệ chuyển đổi từ tương tác thành đơn hàng.</t>
  </si>
  <si>
    <t>Đơn FB ÷ CMT+IB</t>
  </si>
  <si>
    <t>Phản ánh chất lượng phễu từ nội dung → đơn. CR% &lt;30% = nội dung kéo traffic kém chất lượng hoặc chốt sale yếu. CR% &gt;60% = sale tốt hoặc đang reach đúng tệp.</t>
  </si>
  <si>
    <t>Benchmark: 35–55%. T6/26: chưa cập nhật CP.</t>
  </si>
  <si>
    <t>ROAS (DT FB / CP Ads)</t>
  </si>
  <si>
    <t>Return on Ad Spend — số tiền thu về trên mỗi đồng chi cho quảng cáo.</t>
  </si>
  <si>
    <t>DT FB ÷ CP Ads</t>
  </si>
  <si>
    <t>ROAS thấp không nhất thiết là xấu nếu LTV cao. Cần nhìn cùng CLV để đánh giá tổng thể. ROAS &lt;3 → xem xét lại ngân sách hoặc creative.</t>
  </si>
  <si>
    <t>ROAS tốt: ≥4x. T6/26: chưa cập nhật CP.</t>
  </si>
  <si>
    <t>👤 Khách hàng FB</t>
  </si>
  <si>
    <t>Số khách hàng mua lần đầu tiên trên kênh Facebook trong tháng T (chưa từng mua FB trước đó, tính từ T6/2024).</t>
  </si>
  <si>
    <t>COUNT DISTINCT SĐT trong đơn FB tháng T mà SĐT đó KHÔNG có trong đơn FB nào trước tháng T</t>
  </si>
  <si>
    <t>KH mới là nguồn tăng trưởng. Nếu KH mới giảm mạnh = kênh acquisition yếu hoặc thị trường đang bão hòa trong tệp hiện tại.</t>
  </si>
  <si>
    <t>T6/26: 638 KH. Cần đảm bảo KH mới ≥20–25% tổng KH FB tháng đó.</t>
  </si>
  <si>
    <t>AOV lần đầu FB</t>
  </si>
  <si>
    <t>Tổng chi tiêu trung bình của mỗi KH mới FB trong tháng T (tính tất cả đơn của họ trong tháng).</t>
  </si>
  <si>
    <t>Σ DT của KH mới trong T ÷ Số KH mới</t>
  </si>
  <si>
    <t>AOV lần đầu thấp hơn AOV KH cũ là bình thường (KH mới thường mua thử ít). Khoảng cách quá lớn (&gt;2x) = cần cải thiện giỏ hàng đề xuất cho KH mới.</t>
  </si>
  <si>
    <t>T6/26: 438,796đ. Tốt nếu AOV lần đầu ≥70% AOV KH cũ.</t>
  </si>
  <si>
    <t>Activation Rate (T3→90 ngày)</t>
  </si>
  <si>
    <t>% KH mới trong tháng T-3 đã thực hiện mua lần 2 trong vòng 90 ngày kể từ đơn đầu tiên.</t>
  </si>
  <si>
    <t>COUNT KH mới T3 có đơn thứ 2 trong 90 ngày sau đơn đầu ÷ TOTAL KH mới T3</t>
  </si>
  <si>
    <t>Đây là chỉ số sức khỏe CRM quan trọng nhất. Activation thấp (&lt;20%) = KH mua xong không quay lại → cần xem xét chất lượng sản phẩm, hậu mãi, remarketing.</t>
  </si>
  <si>
    <t>T6/26: 17.19%. Benchmark tốt: ≥25%. Cần cải thiện nếu &lt;20%.</t>
  </si>
  <si>
    <t>Cohort T5→T6 (Repeat)</t>
  </si>
  <si>
    <t>% KH mới trong tháng T-1 (T5) có đơn hàng trong tháng T (T6).</t>
  </si>
  <si>
    <t>COUNT KH mới T5 có đơn FB trong T6 ÷ TOTAL KH mới T5</t>
  </si>
  <si>
    <t>Đo tốc độ mua lại trong tháng ngay sau tháng đầu. Thấp (&lt;10%) = bình thường (chu kỳ mua lens thường &gt;30 ngày). Cao &gt;15% = kênh đang warm up tốt.</t>
  </si>
  <si>
    <t>T6/26: 7.89%. Ngành lens: 5–12% là bình thường (chu kỳ mua trung bình 88–94 ngày).</t>
  </si>
  <si>
    <t>KH cũ FB mua lại</t>
  </si>
  <si>
    <t>Số KH đã mua trên kênh FB trước tháng T và có ít nhất 1 đơn trong tháng T.</t>
  </si>
  <si>
    <t>COUNT DISTINCT SĐT có đơn trong T VÀ có đơn trước T trên kênh FB</t>
  </si>
  <si>
    <t>Nguồn DT ổn định và có chi phí acquisition thấp hơn KH mới. Tỷ lệ KH cũ cao = base KH trung thành tốt.</t>
  </si>
  <si>
    <t>T6/26: 1,496 KH. Lý tưởng: KH cũ chiếm 65–75% tổng KH tháng.</t>
  </si>
  <si>
    <t>AOV KH cũ FB</t>
  </si>
  <si>
    <t>Tổng chi tiêu trung bình của mỗi KH cũ FB trong tháng T.</t>
  </si>
  <si>
    <t>Σ DT đơn của KH cũ trong T ÷ Số KH cũ mua lại</t>
  </si>
  <si>
    <t>KH cũ thường có AOV cao hơn KH mới (họ biết sản phẩm, mua nhiều hơn). AOV KH cũ &lt; AOV mới = bất thường, cần kiểm tra.</t>
  </si>
  <si>
    <t>T6/26: 493,059đ. Tốt nếu AOV KH cũ ≥ 110% AOV lần đầu.</t>
  </si>
  <si>
    <t>Tỷ lệ KH cũ trong tổng KH tháng (số KH cũ / tổng KH FB trong tháng).</t>
  </si>
  <si>
    <t>KH cũ FB ÷ (KH mới + KH cũ)</t>
  </si>
  <si>
    <t>Retention cao = base KH bền vững. Retention thấp (&lt;50%) = đang phụ thuộc quá vào acquisition mới. Retention quá cao (&gt;85%) = không có KH mới đủ để tăng trưởng.</t>
  </si>
  <si>
    <t>T6/26: 70.1%. Target tốt: 65–75%. &lt;60% = cần boost retention. &gt;80% = cần thêm KH mới.</t>
  </si>
  <si>
    <t>Mua lại ≤30 ngày</t>
  </si>
  <si>
    <t>Số KH cũ có lần mua gần nhất (trước T6) cách ngày 1/T6 ≤30 ngày — nghĩa là họ mới mua tháng trước.</t>
  </si>
  <si>
    <t>COUNT KH cũ trong T6 có ngày mua cuối (trước T6) trong khoảng 1–30 ngày trước 1/6/2026</t>
  </si>
  <si>
    <t>Nhóm KH 'nóng' — vừa mua xong và quay lại. Thường là KH 1 tháng hoặc KH cần bổ sung sớm. AOV thường cao nhất vì họ đang trong chu kỳ.</t>
  </si>
  <si>
    <t>T6/26: 376 KH. Đây là nhóm dễ convert nhất. Tỷ lệ có trong nhóm KH cũ: ~25%.</t>
  </si>
  <si>
    <t>Mua lại 31–90 ngày</t>
  </si>
  <si>
    <t>Số KH cũ có lần mua gần nhất cách 1/T6 từ 31–90 ngày.</t>
  </si>
  <si>
    <t>COUNT KH cũ trong T6 có ngày mua cuối 31–90 ngày trước 1/6/2026</t>
  </si>
  <si>
    <t>Nhóm KH lens 1 tháng hoặc 3 tháng đang trong chu kỳ bình thường. Đây là core của retention.</t>
  </si>
  <si>
    <t>T6/26: 459 KH (~31% KH cũ). Nhóm quan trọng nhất — chiếm cao nhất nếu base KH 1M/3M tốt.</t>
  </si>
  <si>
    <t>Mua lại &gt;90 ngày</t>
  </si>
  <si>
    <t>Số KH cũ đã im lặng &gt;90 ngày trước T6 nhưng vẫn quay lại mua trong T6.</t>
  </si>
  <si>
    <t>COUNT KH cũ trong T6 có ngày mua cuối &gt;90 ngày trước 1/6/2026</t>
  </si>
  <si>
    <t>Nhóm 'semi-dormant' — đã ngưng lâu nhưng tự quay lại. Một phần của nhóm này có thể đến từ các chiến dịch remarketing. AOV thường thấp hơn.</t>
  </si>
  <si>
    <t>T6/26: 661 KH (~44% KH cũ). Cao hơn bình thường → có thể có nhiều KH dùng lens theo mùa hoặc không đều đặn.</t>
  </si>
  <si>
    <t>Số KH trong T6 đã có tổng cộng ≥3 đơn lịch sử trên kênh FB (tính cả đơn hiện tại).</t>
  </si>
  <si>
    <t>COUNT KH trong T6 mà tổng đơn tích lũy FB ≥3</t>
  </si>
  <si>
    <t>KH lần 3+ là nhóm trung thành thực sự. AOV thường cao nhất do quen sản phẩm. Đây là nhóm cần nuôi dưỡng và xây dựng VIP program.</t>
  </si>
  <si>
    <t>T6/26: 1,187 KH (79% KH cũ!). Rất tốt — base KH lâu dài tốt.</t>
  </si>
  <si>
    <t>CLV 12M Rolling (FB)</t>
  </si>
  <si>
    <t>Tổng chi tiêu trung bình của mỗi KH FB trong 12 tháng gần nhất (cửa sổ trượt 12 tháng).</t>
  </si>
  <si>
    <t>Σ DT các đơn trong window [TODAY-365, TODAY] / COUNT DISTINCT KH trong window đó</t>
  </si>
  <si>
    <t>Đo giá trị thực tế mà mỗi KH đóng góp trong 1 năm. Tăng MoM = KH mua nhiều hơn hoặc base KH tốt hơn. Dùng để so sánh với CP Ads per KH.</t>
  </si>
  <si>
    <t>T6/26: 803,680đ. Nếu CAC (chi phí acquisition) &lt; CLV 12M / 3 = tốt. Benchmark lens: 700K–1.2M/KH/năm.</t>
  </si>
  <si>
    <t>📦 Doanh thu Store</t>
  </si>
  <si>
    <t>Store</t>
  </si>
  <si>
    <t>DT Store Tổng</t>
  </si>
  <si>
    <t>Tổng doanh thu 3 cửa hàng (NDC + PH + NGT) sau khi trừ đơn trả hàng.</t>
  </si>
  <si>
    <t>Σ 'Doanh thu SP sau chiết khấu' per đơn × tất cả sản phẩm, của tháng T, loại trừ ID đơn trả</t>
  </si>
  <si>
    <t>Chỉ số tổng hợp hiệu quả hệ thống Store. So sánh 3 chi nhánh để phát hiện điểm yếu.</t>
  </si>
  <si>
    <t>T6/26: 476,418,121đ. Target T6: 655,527,931đ → đạt 72.7%.</t>
  </si>
  <si>
    <t>NDC (619 Nguyễn Đình Chiểu)</t>
  </si>
  <si>
    <t>Doanh thu riêng chi nhánh 619 Nguyễn Đình Chiểu trong tháng.</t>
  </si>
  <si>
    <t>Lọc đơn Store theo Kho = NDC, tính Σ DT</t>
  </si>
  <si>
    <t>NDC thường là chi nhánh cao nhất. Nếu giảm đột ngột = kiểm tra nhân sự, tồn kho, hoặc cạnh tranh địa lý.</t>
  </si>
  <si>
    <t>T6/26: 237,545,157đ (~50% DT Store). Tỷ lệ chuẩn: NDC chiếm 45–55%.</t>
  </si>
  <si>
    <t>Phố Huế (02 Phố Huế)</t>
  </si>
  <si>
    <t>Doanh thu riêng chi nhánh 02 Phố Huế.</t>
  </si>
  <si>
    <t>Lọc đơn Store theo Kho = PH, tính Σ DT</t>
  </si>
  <si>
    <t>So sánh với NGT để đánh giá hiệu quả 2 chi nhánh mở sau. Tỷ lệ PH/NGT cân bằng = tốt.</t>
  </si>
  <si>
    <t>T6/26: 119,372,804đ (~25% DT Store).</t>
  </si>
  <si>
    <t>NGT (88 Nguyễn Gia Trí)</t>
  </si>
  <si>
    <t>Doanh thu riêng chi nhánh 88 Nguyễn Gia Trí.</t>
  </si>
  <si>
    <t>Lọc đơn Store theo Kho = NGT, tính Σ DT</t>
  </si>
  <si>
    <t>So sánh với PH. Nếu NGT &lt; PH nhiều = cần tăng cường traffic hoặc marketing địa phương cho NGT.</t>
  </si>
  <si>
    <t>T6/26: 119,500,160đ (~25% DT Store). Khá cân bằng với PH.</t>
  </si>
  <si>
    <t>Số đơn Store được bán trong tháng, đã trừ đơn trả hàng.</t>
  </si>
  <si>
    <t>COUNT DISTINCT ID đơn Store trong T, loại trừ ID đơn trả</t>
  </si>
  <si>
    <t>Dùng để tính AOV Store và theo dõi traffic bước chân. Số đơn giảm = traffic giảm hoặc conversion giảm.</t>
  </si>
  <si>
    <t>T6/26: 1,553 đơn. Trung bình ~55 đơn/ngày/3 cửa hàng (~18 đơn/shop/ngày).</t>
  </si>
  <si>
    <t>Giá trị đơn hàng trung bình tại hệ thống Store.</t>
  </si>
  <si>
    <t>DT Store ÷ Đơn Store</t>
  </si>
  <si>
    <t>AOV Store thường cao hơn FB vì KH đến tận nơi thường mua đủ bộ hơn. Nếu AOV Store &lt; AOV FB = cần xem xét upsell tại quầy.</t>
  </si>
  <si>
    <t>T6/26: 306,773đ. Benchmark: 280K–450K cho lens store walk-in.</t>
  </si>
  <si>
    <t>👤 Khách hàng Store</t>
  </si>
  <si>
    <t>Số KH mua lần đầu tại hệ thống Store trong tháng T (chưa từng mua Store trước đó, tính từ T6/2024).</t>
  </si>
  <si>
    <t>COUNT DISTINCT SĐT đơn Store tháng T không có SĐT trong đơn Store nào trước T</t>
  </si>
  <si>
    <t>Đo sức thu hút KH mới của hệ thống cửa hàng vật lý. Thấp → cần xem lại display, signage, referral.</t>
  </si>
  <si>
    <t>T6/26: 547 KH. Kỳ vọng KH mới Store chiếm 30–40% tổng KH Store mỗi tháng.</t>
  </si>
  <si>
    <t>AOV lần đầu Store</t>
  </si>
  <si>
    <t>Chi tiêu trung bình của KH mua lần đầu tại Store trong tháng T.</t>
  </si>
  <si>
    <t>Σ DT đơn của KH mới Store ÷ Số KH mới Store</t>
  </si>
  <si>
    <t>KH mới tại Store thường mua đủ bộ hơn (được tư vấn trực tiếp). AOV cao = upsell tại quầy tốt.</t>
  </si>
  <si>
    <t>T6/26: 340,798đ.</t>
  </si>
  <si>
    <t>Activation Rate Store (T3→90 ngày)</t>
  </si>
  <si>
    <t>% KH mới Store tháng T-3 có mua lần 2 trong 90 ngày sau đơn đầu tiên.</t>
  </si>
  <si>
    <t>COUNT KH mới Store T3 có đơn thứ 2 trong 90 ngày ÷ TOTAL KH mới Store T3</t>
  </si>
  <si>
    <t>Tương tự FB. Store thường có Activation cao hơn FB vì được tư vấn trực tiếp → gắn kết hơn.</t>
  </si>
  <si>
    <t>T6/26: 17.84%. Kỳ vọng Store &gt; FB. Mục tiêu: ≥25%.</t>
  </si>
  <si>
    <t>Cohort T5→T6 Store</t>
  </si>
  <si>
    <t>% KH mới Store tháng T-1 (T5) có đơn trong T6 tại Store.</t>
  </si>
  <si>
    <t>COUNT KH mới Store T5 có đơn Store trong T6 ÷ TOTAL KH mới Store T5</t>
  </si>
  <si>
    <t>Đo tốc độ mua lại sớm sau lần đầu. Thấp (&lt;8%) = bình thường. Cao hơn = tốt.</t>
  </si>
  <si>
    <t>T6/26: 5.86%. Bình thường do chu kỳ mua trung bình ~99 ngày.</t>
  </si>
  <si>
    <t>KH cũ Store mua lại</t>
  </si>
  <si>
    <t>Số KH đã mua Store trước T6 và có đơn Store trong T6.</t>
  </si>
  <si>
    <t>COUNT DISTINCT SĐT có đơn Store T6 VÀ có đơn Store trước T6</t>
  </si>
  <si>
    <t>Base KH trung thành quay lại Store. So sánh với KH mới để đánh giá sức mạnh retention.</t>
  </si>
  <si>
    <t>T6/26: 771 KH. Tỷ lệ KH cũ Store: 58.5% — thấp hơn FB (70%), bình thường vì Store mở sau.</t>
  </si>
  <si>
    <t>Tỷ lệ KH cũ trong tổng KH Store tháng.</t>
  </si>
  <si>
    <t>KH cũ Store ÷ (KH mới + KH cũ Store)</t>
  </si>
  <si>
    <t>Tương tự FB. Store thường có retention thấp hơn FB trong giai đoạn đầu vì base KH còn trẻ hơn.</t>
  </si>
  <si>
    <t>T6/26: 58.5%. Kỳ vọng tăng dần mỗi tháng về mức 65–70% khi base KH trưởng thành.</t>
  </si>
  <si>
    <t>Mua lại ≤30 ngày (Store)</t>
  </si>
  <si>
    <t>KH cũ Store có lần mua gần nhất (trước T6) trong vòng 30 ngày trước.</t>
  </si>
  <si>
    <t>COUNT KH cũ Store T6 có ngày mua cuối ≤30 ngày trước 1/6/2026</t>
  </si>
  <si>
    <t>Nhóm KH 'warm' nhất tại Store. Thường là KH dùng lens 1 tháng đến bổ sung.</t>
  </si>
  <si>
    <t>T6/26: 156 KH (~20% KH cũ Store).</t>
  </si>
  <si>
    <t>Mua lại 31–90 ngày (Store)</t>
  </si>
  <si>
    <t>KH cũ Store có lần mua cuối cách 31–90 ngày trước T6.</t>
  </si>
  <si>
    <t>COUNT KH cũ Store T6 có ngày mua cuối 31–90 ngày trước 1/6/2026</t>
  </si>
  <si>
    <t>Nhóm chính của lens 1M/3M. Đây là core retention của Store.</t>
  </si>
  <si>
    <t>T6/26: 239 KH (~31% KH cũ Store).</t>
  </si>
  <si>
    <t>Mua lại &gt;90 ngày (Store)</t>
  </si>
  <si>
    <t>KH cũ Store đã im lặng &gt;90 ngày nhưng quay lại T6.</t>
  </si>
  <si>
    <t>COUNT KH cũ Store T6 có ngày mua cuối &gt;90 ngày trước 1/6/2026</t>
  </si>
  <si>
    <t>Nhóm semi-dormant quay lại. Cao hơn kỳ vọng → có thể từ remarketing hoặc KH không đều đặn.</t>
  </si>
  <si>
    <t>T6/26: 376 KH (~49% KH cũ Store). Khá cao — KH Store có chu kỳ dài hoặc không đều hơn FB.</t>
  </si>
  <si>
    <t>KH trong T6 đã có ≥3 đơn lịch sử tại Store.</t>
  </si>
  <si>
    <t>COUNT KH Store T6 có tổng đơn Store tích lũy ≥3</t>
  </si>
  <si>
    <t>KH trung thành thực sự của Store. Cần chương trình VIP / loyalty riêng cho nhóm này.</t>
  </si>
  <si>
    <t>T6/26: 562 KH (~73% KH cũ). Base KH lâu dài tốt.</t>
  </si>
  <si>
    <t>CLV 12M Rolling (Store)</t>
  </si>
  <si>
    <t>Tổng chi tiêu trung bình mỗi KH Store trong 12 tháng gần nhất.</t>
  </si>
  <si>
    <t>Σ DT đơn Store trong [TODAY-365, TODAY] ÷ COUNT DISTINCT KH trong window đó</t>
  </si>
  <si>
    <t>So sánh với FB: CLV Store thường cao hơn vì giỏ hàng và frequency. Nếu CLV Store &lt; CLV FB → cần đẩy thêm upsell tại quầy.</t>
  </si>
  <si>
    <t>T6/26: 501,085đ. Thấp hơn FB (803K) do base KH Store trẻ hơn và nhiều KH 1-lần hơn.</t>
  </si>
  <si>
    <t>👓 O3 (Kính Gọng + Ấn Mắt)</t>
  </si>
  <si>
    <t>FB + Store</t>
  </si>
  <si>
    <t>DT O3</t>
  </si>
  <si>
    <t>Tổng doanh thu từ danh mục 'Tròng kính' và 'Mắt kính' trên cả 2 kênh FB và Store.</t>
  </si>
  <si>
    <t>Σ DT các đơn có sản phẩm thuộc nhóm O3 (Tròng Kính, Mắt Kính), gộp FB+Store</t>
  </si>
  <si>
    <t>Danh mục phụ nhưng có biên lợi nhuận cao. Tăng DT O3 mà không tăng đơn tổng = đang upsell tốt.</t>
  </si>
  <si>
    <t>T6/26: 27,162,334đ. Mục tiêu: O3 chiếm 2–4% DT tổng.</t>
  </si>
  <si>
    <t>% O3 / DT Tổng</t>
  </si>
  <si>
    <t>Tỷ trọng doanh thu O3 trong tổng DT FB+Store.</t>
  </si>
  <si>
    <t>DT O3 ÷ DT Tổng (FB+Store)</t>
  </si>
  <si>
    <t>Tỷ lệ này cho thấy mức độ đa dạng hóa sản phẩm. Nếu tăng dần = đang mở rộng tốt sang kính gọng/ấn mắt.</t>
  </si>
  <si>
    <t>T6/26: 1.82%. Target: đưa lên 3–5% khi đẩy mạnh O3.</t>
  </si>
  <si>
    <t>📊 Tổng hợp</t>
  </si>
  <si>
    <t>Tổng doanh thu của cả 2 kênh trong tháng, đã trừ đơn trả.</t>
  </si>
  <si>
    <t>DT FB + DT Store</t>
  </si>
  <si>
    <t>Chỉ số revenue chính của toàn hệ thống. Đây là con số so với Target Q3.</t>
  </si>
  <si>
    <t>T6/26: 1,493,985,398đ. Target T6: 1,876,668,236đ → đạt 79.6%.</t>
  </si>
  <si>
    <t>Trung bình số đơn mỗi KH đặt trong tháng T (tính riêng từng kênh rồi lấy trung bình).</t>
  </si>
  <si>
    <t>Σ đơn kênh ÷ Số KH unique kênh → trung bình 2 kênh</t>
  </si>
  <si>
    <t>Thường dao động 1.05–1.25. Nếu &gt;1.3 = nhiều KH mua nhiều lần/tháng (tốt với lens 1N). Nếu ~1.0 = mỗi KH chỉ mua 1 đơn/tháng.</t>
  </si>
  <si>
    <t>T6/26: 1.12. Bình thường tốt.</t>
  </si>
  <si>
    <t>Win-back Pool</t>
  </si>
  <si>
    <t>Số KH (gộp FB+Store unique SĐT) có ≥2 đơn lịch sử và lần mua cuối &gt;60 ngày trước TODAY.</t>
  </si>
  <si>
    <t>COUNT DISTINCT SĐT (FB ∪ Store) có so_don≥2 VÀ (TODAY - ngày_mua_cuối) &gt; 60 ngày</t>
  </si>
  <si>
    <t>Đây là tệp KH cần remarketing. Pool lớn = nhiều cơ hội win-back nhưng cũng = đang để nhiều KH rời đi. Nên dùng để chạy chiến dịch email/SMS định kỳ.</t>
  </si>
  <si>
    <t>T6/26: 18,392 KH. Mục tiêu: giảm pool xuống hoặc tăng win-back rate.</t>
  </si>
  <si>
    <t>Win-back Thành Công</t>
  </si>
  <si>
    <t>Số KH từ Win-back Pool tháng TRƯỚC (cuối T5) đã mua lại trong tháng T (T6).</t>
  </si>
  <si>
    <t>COUNT(Pool_tại_T5_END ∩ Buyers_T6). Pool_T5 = KH có ≥2 đơn trước 31/5 VÀ silent &gt;60 ngày tính đến 31/5</t>
  </si>
  <si>
    <t>Đây là số KH 'được cứu' — đã im lặng lâu nhưng quay lại. Tỷ lệ Win-back = Win-back thành công / Pool tháng trước.</t>
  </si>
  <si>
    <t>T6/26: 954 KH. Win-back rate = 954/17,776 ≈ 5.4%. Mục tiêu: đẩy lên 8–12% qua chiến dịch tích cực.</t>
  </si>
  <si>
    <t>Khoảng cách trung bình giữa 2 lần mua liên tiếp của KH (tính trên KH có ≥2 đơn).</t>
  </si>
  <si>
    <t>MEAN của (ngày đơn N+1 - ngày đơn N) cho tất cả cặp đơn liên tiếp của KH FB+Store</t>
  </si>
  <si>
    <t>Phản ánh chu kỳ tiêu dùng. Lens 1 tháng: ~30 ngày/lần. Lens 3 tháng: ~90 ngày. Mix thực tế thường 85–100 ngày. Nếu giảm = KH đang mua thường xuyên hơn (tốt).</t>
  </si>
  <si>
    <t>T6/26: 94 ngày. Mix lens 1M+3M tạo ra chu kỳ trung bình này. Mục tiêu: ≤90 ngày.</t>
  </si>
  <si>
    <t>💎 CLV Tổng</t>
  </si>
  <si>
    <t>CLV FB (Tổng lịch sử / KH FB)</t>
  </si>
  <si>
    <t>Tổng chi tiêu trung bình của TOÀN BỘ lịch sử mua hàng mỗi KH Facebook (từ T6/2024 đến nay).</t>
  </si>
  <si>
    <t>Σ DT tất cả đơn FB theo SĐT / COUNT DISTINCT SĐT FB (tất cả lịch sử)</t>
  </si>
  <si>
    <t>CLV realized (tổng lịch sử) &gt; CLV 12M = hệ thống đang thu hút KH dài hạn. Nên đo mỗi quý vì tăng chậm.</t>
  </si>
  <si>
    <t>T6/26: 1,013,319đ. Tăng theo thời gian là tốt. Đo quý/6 tháng thay vì hàng tháng.</t>
  </si>
  <si>
    <t>CLV Store (Tổng lịch sử / KH Store)</t>
  </si>
  <si>
    <t>Tổng chi tiêu trung bình của toàn bộ lịch sử mỗi KH Store.</t>
  </si>
  <si>
    <t>Σ DT tất cả đơn Store theo SĐT / COUNT DISTINCT SĐT Store</t>
  </si>
  <si>
    <t>So sánh với FB để xem kênh nào đang tạo ra KH có giá trị cao hơn theo thời gian.</t>
  </si>
  <si>
    <t>T6/26: 651,519đ. Thấp hơn FB do hệ thống Store trẻ hơn (khai trương sau).</t>
  </si>
  <si>
    <t>CLV FB 12M Rolling</t>
  </si>
  <si>
    <t>Trùng với CLV 12M Rolling trong phần KH FB ở trên (row 32). Xem định nghĩa tương ứng.</t>
  </si>
  <si>
    <t>Σ DT đơn FB trong [TODAY-365, TODAY] ÷ COUNT DISTINCT KH trong window</t>
  </si>
  <si>
    <t>Đặt ở phần tổng hợp để dễ so sánh song song FB vs Store trong cùng cửa sổ 12 tháng.</t>
  </si>
  <si>
    <t>T6/26: 803,680đ.</t>
  </si>
  <si>
    <t>CLV Store 12M Rolling</t>
  </si>
  <si>
    <t>Σ DT đơn Store trong [TODAY-365, TODAY] ÷ COUNT DISTINCT KH Store trong window</t>
  </si>
  <si>
    <t>So sánh với CLV FB 12M: chênh lệch lớn giữa 2 kênh = cần phân tích nguyên nhân (mix sản phẩm, frequency).</t>
  </si>
  <si>
    <t>T6/26: 501,085đ.</t>
  </si>
  <si>
    <t>🎯 KR Q3/2026</t>
  </si>
  <si>
    <t>KH VIP được phân NVBH (KR4.1)</t>
  </si>
  <si>
    <t>Số KH VIP (tiêu chí xác định riêng) đã được giao cho nhân viên bán hàng phụ trách.</t>
  </si>
  <si>
    <t>Nhập tay hoặc từ CRM. KH VIP = KH có CLV hoặc tần suất mua vượt ngưỡng quy định.</t>
  </si>
  <si>
    <t>Đo tiến độ xây dựng chương trình chăm sóc KH cá nhân hóa. Tăng = đội sales đang scale.</t>
  </si>
  <si>
    <t>KR Q3/2026. Cần định nghĩa ngưỡng VIP cụ thể.</t>
  </si>
  <si>
    <t>Loyalty: % CP / DT (KR4.2)</t>
  </si>
  <si>
    <t>Tỷ lệ chi phí chương trình khách hàng thân thiết (loyalty program) trên tổng doanh thu.</t>
  </si>
  <si>
    <t>CP Loyalty ÷ DT Tổng</t>
  </si>
  <si>
    <t>Đo hiệu quả đầu tư vào loyalty. Quá cao (&gt;5%) = không hiệu quả. Quá thấp (&lt;0.5%) = chưa đủ kích thích.</t>
  </si>
  <si>
    <t>Benchmark: 1–3% DT cho loyalty program. Cần xác định ngưỡng mục tiêu Q3.</t>
  </si>
  <si>
    <t>Hồ sơ sức khoẻ mắt (KR4.4)</t>
  </si>
  <si>
    <t>Số hồ sơ khám mắt / đánh giá sức khoẻ mắt của KH được tạo và lưu trữ cộng dồn.</t>
  </si>
  <si>
    <t>Nhập tay từ hệ thống quản lý khách hàng / CRM.</t>
  </si>
  <si>
    <t>Đo mức độ xây dựng cơ sở dữ liệu sức khoẻ mắt — nền tảng cho dịch vụ tư vấn cá nhân hoá.</t>
  </si>
  <si>
    <t>KR cộng dồn — cần theo dõi tổng, không chỉ tháng.</t>
  </si>
  <si>
    <t>KH sàn convert Zalo/Web (KR5.1)</t>
  </si>
  <si>
    <t>Số KH mua trên các sàn thương mại điện tử (Shopee, TikTok Shop...) được chuyển đổi sang mua trực tiếp qua Zalo hoặc Website.</t>
  </si>
  <si>
    <t>Nhập tay từ tracking UTM hoặc mã giới thiệu.</t>
  </si>
  <si>
    <t>Đo hiệu quả chiến lược channel migration: giảm phụ thuộc vào fee sàn, tăng kiểm soát dữ liệu KH.</t>
  </si>
  <si>
    <t>KR Q3/2026. Chỉ số chiến lược dài hạn.</t>
  </si>
  <si>
    <t>Zalo OA Followers (KR5.2)</t>
  </si>
  <si>
    <t>Tổng số người theo dõi Zalo Official Account.</t>
  </si>
  <si>
    <t>Lấy từ Zalo OA Dashboard.</t>
  </si>
  <si>
    <t>Kênh CRM chi phí thấp của VN. Followers cao = có thể broadcast không tốn Ads. Cần đo cùng tỷ lệ engagement (open rate, click rate).</t>
  </si>
  <si>
    <t>KR Q3/2026. Benchmark tốt: &gt;5,000 followers. Engagement rate &gt;15% = rất tốt.</t>
  </si>
  <si>
    <t>DAILY INPUT  •  THÁNG 6/2026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</si>
  <si>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</si>
  <si>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</si>
  <si>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</si>
  <si>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</si>
  <si>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</si>
  <si>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</si>
  <si>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</si>
  <si>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</si>
  <si>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</si>
  <si>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</si>
  <si>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</si>
  <si>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</si>
  <si>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</si>
  <si>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</si>
  <si>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</si>
  <si>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</si>
  <si>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</si>
  <si>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</si>
  <si>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</si>
  <si>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</si>
  <si>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</si>
  <si>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</si>
  <si>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</si>
  <si>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</si>
  <si>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</si>
  <si>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</si>
  <si>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</si>
  <si>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</si>
  <si>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</si>
  <si>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</si>
  <si>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</si>
  <si>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</si>
  <si>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</si>
  <si>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</si>
  <si>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</si>
  <si>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</si>
  <si>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</si>
  <si>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</si>
  <si>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</si>
  <si>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</si>
  <si>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</si>
  <si>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</si>
  <si>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</si>
  <si>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</si>
  <si>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</si>
  <si>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</si>
  <si>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</si>
  <si>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</si>
  <si>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</si>
  <si>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</si>
  <si>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</si>
  <si>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</si>
  <si>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</si>
  <si>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</si>
  <si>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</si>
  <si>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</si>
  <si>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</si>
  <si>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</si>
  <si>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</si>
  <si>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</si>
  <si>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</si>
  <si>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</si>
  <si>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</si>
  <si>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</si>
  <si>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</si>
  <si>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</si>
  <si>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</si>
  <si>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</si>
  <si>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</si>
  <si>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</si>
  <si>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</si>
  <si>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</si>
  <si>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</si>
  <si>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</si>
  <si>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</si>
  <si>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</si>
  <si>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</si>
  <si>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</si>
  <si>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</si>
  <si>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</si>
  <si>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</si>
  <si>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</si>
  <si>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</si>
  <si>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</si>
  <si>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</si>
  <si>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</si>
  <si>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</si>
  <si>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</si>
  <si>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</si>
  <si>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</si>
  <si>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</si>
  <si>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</si>
  <si>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</si>
  <si>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</si>
  <si>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</si>
  <si>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</si>
  <si>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</si>
  <si>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</si>
  <si>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</si>
  <si>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</si>
  <si>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</si>
  <si>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</si>
  <si>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</si>
  <si>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</si>
  <si>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1/9–7/9</t>
  </si>
  <si>
    <t>8/9–14/9</t>
  </si>
  <si>
    <t>15/9–21/9</t>
  </si>
  <si>
    <t>22/9–28/9</t>
  </si>
  <si>
    <t>29/9–30/9</t>
  </si>
  <si>
    <t>1/9–30/9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</si>
  <si>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</si>
  <si>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</si>
  <si>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</si>
  <si>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</si>
  <si>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</si>
  <si>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</si>
  <si>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</si>
  <si>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</si>
  <si>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</si>
  <si>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</si>
  <si>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</si>
  <si>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</si>
  <si>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</si>
  <si>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</si>
  <si>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</si>
  <si>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</si>
  <si>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</si>
  <si>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</si>
  <si>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</si>
  <si>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</si>
  <si>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</si>
  <si>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</si>
  <si>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</si>
  <si>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</si>
  <si>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</si>
  <si>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</si>
  <si>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</si>
  <si>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</si>
  <si>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</si>
  <si>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</si>
  <si>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</si>
  <si>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</si>
  <si>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</si>
  <si>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</si>
  <si>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</si>
  <si>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</si>
  <si>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</si>
  <si>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</si>
  <si>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</si>
  <si>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KH cũ có lần mua trước cách đây ≤30 ngày — tần suất cao</t>
  </si>
  <si>
    <t>Chu kỳ bình thường — 1 hộp kính áp tròng 1–3 tháng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</si>
  <si>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</si>
  <si>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</si>
  <si>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</si>
  <si>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</si>
  <si>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</si>
  <si>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</si>
  <si>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</si>
  <si>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</si>
  <si>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</si>
  <si>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</si>
  <si>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</si>
  <si>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</si>
  <si>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</si>
  <si>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</si>
  <si>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</si>
  <si>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</si>
  <si>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</si>
  <si>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</si>
  <si>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</si>
  <si>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</si>
  <si>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</si>
  <si>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</si>
  <si>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</si>
  <si>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</si>
  <si>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</si>
  <si>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</si>
  <si>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</si>
  <si>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</si>
  <si>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</si>
  <si>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</si>
  <si>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</si>
  <si>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</si>
  <si>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</si>
  <si>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</si>
  <si>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</si>
  <si>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</si>
  <si>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</si>
  <si>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</si>
  <si>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</si>
  <si>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</si>
  <si>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</si>
  <si>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</si>
  <si>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</si>
  <si>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</si>
  <si>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</si>
  <si>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</si>
  <si>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</si>
  <si>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</si>
  <si>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</si>
  <si>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🏪 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</si>
</sst>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dd/mm"/>
    <numFmt numFmtId="167" formatCode="0.0\x"/>
  </numFmts>
  <fonts count="4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sz val="9"/>
      <color rgb="FF666666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4" fillId="9" borderId="1" xfId="0" applyFont="1" applyFill="1" applyBorder="1" applyAlignment="1">
      <alignment horizontal="center" vertical="top" wrapText="1"/>
    </xf>
    <xf numFmtId="0" fontId="5" fillId="9" borderId="1" xfId="0" applyFont="1" applyFill="1" applyBorder="1" applyAlignment="1">
      <alignment horizontal="center" vertical="top" wrapText="1"/>
    </xf>
    <xf numFmtId="0" fontId="6" fillId="9" borderId="1" xfId="0" applyFont="1" applyFill="1" applyBorder="1" applyAlignment="1">
      <alignment horizontal="left" vertical="top" wrapText="1"/>
    </xf>
    <xf numFmtId="0" fontId="5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6" fillId="10" borderId="1" xfId="0" applyFont="1" applyFill="1" applyBorder="1" applyAlignment="1">
      <alignment horizontal="left" vertical="top" wrapText="1"/>
    </xf>
    <xf numFmtId="0" fontId="5" fillId="10" borderId="1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2" fillId="2" borderId="3" xfId="0" applyFont="1" applyFill="1" applyBorder="1"/>
    <xf numFmtId="0" fontId="13" fillId="12" borderId="3" xfId="0" applyFont="1" applyFill="1" applyBorder="1" applyAlignment="1">
      <alignment horizontal="left" vertical="center" wrapText="1"/>
    </xf>
    <xf numFmtId="0" fontId="14" fillId="12" borderId="3" xfId="0" applyFont="1" applyFill="1" applyBorder="1" applyAlignment="1">
      <alignment horizontal="center" vertical="center" wrapText="1"/>
    </xf>
    <xf numFmtId="3" fontId="15" fillId="12" borderId="3" xfId="0" applyNumberFormat="1" applyFont="1" applyFill="1" applyBorder="1" applyAlignment="1">
      <alignment horizontal="right" vertical="center"/>
    </xf>
    <xf numFmtId="3" fontId="16" fillId="14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 wrapText="1"/>
    </xf>
    <xf numFmtId="3" fontId="10" fillId="7" borderId="3" xfId="0" applyNumberFormat="1" applyFont="1" applyFill="1" applyBorder="1" applyAlignment="1">
      <alignment horizontal="right" vertical="center"/>
    </xf>
    <xf numFmtId="9" fontId="14" fillId="12" borderId="3" xfId="0" applyNumberFormat="1" applyFont="1" applyFill="1" applyBorder="1" applyAlignment="1">
      <alignment horizontal="center" vertical="center" wrapText="1"/>
    </xf>
    <xf numFmtId="164" fontId="10" fillId="7" borderId="3" xfId="0" applyNumberFormat="1" applyFont="1" applyFill="1" applyBorder="1" applyAlignment="1">
      <alignment horizontal="right" vertical="center"/>
    </xf>
    <xf numFmtId="2" fontId="10" fillId="7" borderId="3" xfId="0" applyNumberFormat="1" applyFont="1" applyFill="1" applyBorder="1" applyAlignment="1">
      <alignment horizontal="right" vertical="center"/>
    </xf>
    <xf numFmtId="0" fontId="17" fillId="12" borderId="3" xfId="0" applyFont="1" applyFill="1" applyBorder="1" applyAlignment="1">
      <alignment horizontal="left" vertical="center" wrapText="1"/>
    </xf>
    <xf numFmtId="164" fontId="15" fillId="12" borderId="3" xfId="0" applyNumberFormat="1" applyFont="1" applyFill="1" applyBorder="1" applyAlignment="1">
      <alignment horizontal="right" vertical="center"/>
    </xf>
    <xf numFmtId="0" fontId="17" fillId="0" borderId="3" xfId="0" applyFont="1" applyBorder="1" applyAlignment="1">
      <alignment horizontal="left" vertical="center" wrapText="1"/>
    </xf>
    <xf numFmtId="0" fontId="3" fillId="15" borderId="2" xfId="0" applyFont="1" applyFill="1" applyBorder="1" applyAlignment="1">
      <alignment horizontal="left" vertical="center" wrapText="1"/>
    </xf>
    <xf numFmtId="0" fontId="9" fillId="15" borderId="2" xfId="0" applyFont="1" applyFill="1" applyBorder="1" applyAlignment="1">
      <alignment horizontal="left" vertical="center"/>
    </xf>
    <xf numFmtId="0" fontId="12" fillId="15" borderId="3" xfId="0" applyFont="1" applyFill="1" applyBorder="1"/>
    <xf numFmtId="164" fontId="16" fillId="14" borderId="3" xfId="0" applyNumberFormat="1" applyFont="1" applyFill="1" applyBorder="1" applyAlignment="1">
      <alignment horizontal="right" vertical="center"/>
    </xf>
    <xf numFmtId="0" fontId="3" fillId="16" borderId="2" xfId="0" applyFont="1" applyFill="1" applyBorder="1" applyAlignment="1">
      <alignment horizontal="left" vertical="center" wrapText="1"/>
    </xf>
    <xf numFmtId="0" fontId="12" fillId="0" borderId="4" xfId="0" applyFont="1" applyBorder="1"/>
    <xf numFmtId="0" fontId="9" fillId="16" borderId="2" xfId="0" applyFont="1" applyFill="1" applyBorder="1" applyAlignment="1">
      <alignment horizontal="left" vertical="center"/>
    </xf>
    <xf numFmtId="0" fontId="12" fillId="16" borderId="3" xfId="0" applyFont="1" applyFill="1" applyBorder="1"/>
    <xf numFmtId="2" fontId="15" fillId="12" borderId="3" xfId="0" applyNumberFormat="1" applyFont="1" applyFill="1" applyBorder="1" applyAlignment="1">
      <alignment horizontal="right" vertical="center"/>
    </xf>
    <xf numFmtId="165" fontId="15" fillId="12" borderId="3" xfId="0" applyNumberFormat="1" applyFont="1" applyFill="1" applyBorder="1" applyAlignment="1">
      <alignment horizontal="right" vertical="center"/>
    </xf>
    <xf numFmtId="165" fontId="10" fillId="7" borderId="3" xfId="0" applyNumberFormat="1" applyFont="1" applyFill="1" applyBorder="1" applyAlignment="1">
      <alignment horizontal="right" vertical="center"/>
    </xf>
    <xf numFmtId="0" fontId="3" fillId="17" borderId="2" xfId="0" applyFont="1" applyFill="1" applyBorder="1" applyAlignment="1">
      <alignment horizontal="left" vertical="center" wrapText="1"/>
    </xf>
    <xf numFmtId="0" fontId="12" fillId="17" borderId="3" xfId="0" applyFont="1" applyFill="1" applyBorder="1"/>
    <xf numFmtId="0" fontId="18" fillId="11" borderId="2" xfId="0" applyFont="1" applyFill="1" applyBorder="1" applyAlignment="1">
      <alignment horizontal="left" vertical="center" wrapText="1"/>
    </xf>
    <xf numFmtId="0" fontId="19" fillId="9" borderId="3" xfId="0" applyFont="1" applyFill="1" applyBorder="1" applyAlignment="1">
      <alignment horizontal="center" vertical="center"/>
    </xf>
    <xf numFmtId="0" fontId="19" fillId="12" borderId="3" xfId="0" applyFont="1" applyFill="1" applyBorder="1" applyAlignment="1">
      <alignment horizontal="center" vertical="center"/>
    </xf>
    <xf numFmtId="0" fontId="19" fillId="14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20" fillId="21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9" fillId="21" borderId="3" xfId="0" applyFont="1" applyFill="1" applyBorder="1" applyAlignment="1">
      <alignment horizontal="center" vertical="center" wrapText="1"/>
    </xf>
    <xf numFmtId="0" fontId="9" fillId="22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3" fontId="22" fillId="18" borderId="3" xfId="0" applyNumberFormat="1" applyFont="1" applyFill="1" applyBorder="1" applyAlignment="1">
      <alignment horizontal="right" vertical="center" wrapText="1"/>
    </xf>
    <xf numFmtId="0" fontId="23" fillId="12" borderId="3" xfId="0" applyFont="1" applyFill="1" applyBorder="1" applyAlignment="1">
      <alignment horizontal="left" vertical="center" wrapText="1"/>
    </xf>
    <xf numFmtId="3" fontId="24" fillId="20" borderId="3" xfId="0" applyNumberFormat="1" applyFont="1" applyFill="1" applyBorder="1" applyAlignment="1">
      <alignment horizontal="right" vertical="center" wrapText="1"/>
    </xf>
    <xf numFmtId="3" fontId="25" fillId="14" borderId="3" xfId="0" applyNumberFormat="1" applyFont="1" applyFill="1" applyBorder="1" applyAlignment="1">
      <alignment horizontal="right" vertical="center" wrapText="1"/>
    </xf>
    <xf numFmtId="3" fontId="22" fillId="14" borderId="3" xfId="0" applyNumberFormat="1" applyFont="1" applyFill="1" applyBorder="1" applyAlignment="1">
      <alignment horizontal="right" vertical="center" wrapText="1"/>
    </xf>
    <xf numFmtId="0" fontId="23" fillId="14" borderId="3" xfId="0" applyFont="1" applyFill="1" applyBorder="1" applyAlignment="1">
      <alignment horizontal="left" vertical="center" wrapText="1"/>
    </xf>
    <xf numFmtId="166" fontId="10" fillId="12" borderId="3" xfId="0" applyNumberFormat="1" applyFont="1" applyFill="1" applyBorder="1" applyAlignment="1">
      <alignment horizontal="center" vertical="center"/>
    </xf>
    <xf numFmtId="0" fontId="26" fillId="12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right" vertical="center"/>
    </xf>
    <xf numFmtId="0" fontId="14" fillId="0" borderId="3" xfId="0" applyFont="1" applyBorder="1" applyAlignment="1">
      <alignment horizontal="left" vertical="center"/>
    </xf>
    <xf numFmtId="166" fontId="27" fillId="23" borderId="3" xfId="0" applyNumberFormat="1" applyFont="1" applyFill="1" applyBorder="1" applyAlignment="1">
      <alignment horizontal="center" vertical="center"/>
    </xf>
    <xf numFmtId="0" fontId="28" fillId="23" borderId="3" xfId="0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3" fontId="16" fillId="14" borderId="3" xfId="0" applyNumberFormat="1" applyFont="1" applyFill="1" applyBorder="1" applyAlignment="1">
      <alignment horizontal="right" vertical="center" wrapText="1"/>
    </xf>
    <xf numFmtId="3" fontId="29" fillId="24" borderId="3" xfId="0" applyNumberFormat="1" applyFont="1" applyFill="1" applyBorder="1" applyAlignment="1">
      <alignment horizontal="right" vertical="center" wrapText="1"/>
    </xf>
    <xf numFmtId="167" fontId="29" fillId="24" borderId="3" xfId="0" applyNumberFormat="1" applyFont="1" applyFill="1" applyBorder="1" applyAlignment="1">
      <alignment horizontal="right" vertical="center" wrapText="1"/>
    </xf>
    <xf numFmtId="3" fontId="30" fillId="20" borderId="3" xfId="0" applyNumberFormat="1" applyFont="1" applyFill="1" applyBorder="1" applyAlignment="1">
      <alignment horizontal="right" vertical="center" wrapText="1"/>
    </xf>
    <xf numFmtId="3" fontId="16" fillId="13" borderId="3" xfId="0" applyNumberFormat="1" applyFont="1" applyFill="1" applyBorder="1" applyAlignment="1">
      <alignment horizontal="right" vertical="center" wrapText="1"/>
    </xf>
    <xf numFmtId="164" fontId="16" fillId="13" borderId="3" xfId="0" applyNumberFormat="1" applyFont="1" applyFill="1" applyBorder="1" applyAlignment="1">
      <alignment horizontal="right" vertical="center" wrapText="1"/>
    </xf>
    <xf numFmtId="0" fontId="23" fillId="0" borderId="3" xfId="0" applyFont="1" applyBorder="1" applyAlignment="1">
      <alignment horizontal="left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4" fillId="20" borderId="3" xfId="0" applyFont="1" applyFill="1" applyBorder="1" applyAlignment="1">
      <alignment horizontal="center" vertical="center" wrapText="1"/>
    </xf>
    <xf numFmtId="0" fontId="13" fillId="13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4" fillId="25" borderId="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1" fillId="2" borderId="3" xfId="0" applyFont="1" applyFill="1" applyBorder="1" applyAlignment="1">
      <alignment horizontal="center" vertical="center" wrapText="1"/>
    </xf>
    <xf numFmtId="3" fontId="9" fillId="2" borderId="3" xfId="0" applyNumberFormat="1" applyFont="1" applyFill="1" applyBorder="1" applyAlignment="1">
      <alignment horizontal="right" vertical="center" wrapText="1"/>
    </xf>
    <xf numFmtId="167" fontId="9" fillId="2" borderId="3" xfId="0" applyNumberFormat="1" applyFont="1" applyFill="1" applyBorder="1" applyAlignment="1">
      <alignment horizontal="right" vertical="center" wrapText="1"/>
    </xf>
    <xf numFmtId="164" fontId="32" fillId="2" borderId="3" xfId="0" applyNumberFormat="1" applyFont="1" applyFill="1" applyBorder="1" applyAlignment="1">
      <alignment horizontal="right" vertical="center" wrapText="1"/>
    </xf>
    <xf numFmtId="3" fontId="33" fillId="18" borderId="3" xfId="0" applyNumberFormat="1" applyFont="1" applyFill="1" applyBorder="1" applyAlignment="1">
      <alignment horizontal="right" vertical="center" wrapText="1"/>
    </xf>
    <xf numFmtId="3" fontId="34" fillId="20" borderId="3" xfId="0" applyNumberFormat="1" applyFont="1" applyFill="1" applyBorder="1" applyAlignment="1">
      <alignment horizontal="right" vertical="center" wrapText="1"/>
    </xf>
    <xf numFmtId="3" fontId="11" fillId="13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5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23" fillId="18" borderId="3" xfId="0" applyFont="1" applyFill="1" applyBorder="1" applyAlignment="1">
      <alignment horizontal="left" vertical="center" wrapText="1"/>
    </xf>
    <xf numFmtId="0" fontId="13" fillId="18" borderId="3" xfId="0" applyFont="1" applyFill="1" applyBorder="1" applyAlignment="1">
      <alignment horizontal="left" vertical="center" wrapText="1"/>
    </xf>
    <xf numFmtId="0" fontId="37" fillId="18" borderId="3" xfId="0" applyFont="1" applyFill="1" applyBorder="1" applyAlignment="1">
      <alignment horizontal="left" vertical="center" wrapText="1"/>
    </xf>
    <xf numFmtId="0" fontId="37" fillId="0" borderId="3" xfId="0" applyFont="1" applyBorder="1" applyAlignment="1">
      <alignment horizontal="left" vertical="center" wrapText="1"/>
    </xf>
    <xf numFmtId="0" fontId="23" fillId="20" borderId="3" xfId="0" applyFont="1" applyFill="1" applyBorder="1" applyAlignment="1">
      <alignment horizontal="left" vertical="center" wrapText="1"/>
    </xf>
    <xf numFmtId="0" fontId="13" fillId="20" borderId="3" xfId="0" applyFont="1" applyFill="1" applyBorder="1" applyAlignment="1">
      <alignment horizontal="left" vertical="center" wrapText="1"/>
    </xf>
    <xf numFmtId="0" fontId="37" fillId="20" borderId="3" xfId="0" applyFont="1" applyFill="1" applyBorder="1" applyAlignment="1">
      <alignment horizontal="left" vertical="center" wrapText="1"/>
    </xf>
    <xf numFmtId="0" fontId="23" fillId="25" borderId="3" xfId="0" applyFont="1" applyFill="1" applyBorder="1" applyAlignment="1">
      <alignment horizontal="left" vertical="center" wrapText="1"/>
    </xf>
    <xf numFmtId="0" fontId="13" fillId="25" borderId="3" xfId="0" applyFont="1" applyFill="1" applyBorder="1" applyAlignment="1">
      <alignment horizontal="left" vertical="center" wrapText="1"/>
    </xf>
    <xf numFmtId="0" fontId="37" fillId="25" borderId="3" xfId="0" applyFont="1" applyFill="1" applyBorder="1" applyAlignment="1">
      <alignment horizontal="left" vertical="center" wrapText="1"/>
    </xf>
    <xf numFmtId="0" fontId="23" fillId="9" borderId="3" xfId="0" applyFont="1" applyFill="1" applyBorder="1" applyAlignment="1">
      <alignment horizontal="left" vertical="center" wrapText="1"/>
    </xf>
    <xf numFmtId="0" fontId="13" fillId="9" borderId="3" xfId="0" applyFont="1" applyFill="1" applyBorder="1" applyAlignment="1">
      <alignment horizontal="left" vertical="center" wrapText="1"/>
    </xf>
    <xf numFmtId="0" fontId="37" fillId="9" borderId="3" xfId="0" applyFont="1" applyFill="1" applyBorder="1" applyAlignment="1">
      <alignment horizontal="left" vertical="center" wrapText="1"/>
    </xf>
    <xf numFmtId="0" fontId="40" fillId="27" borderId="7" xfId="0" applyFont="1" applyFill="1" applyBorder="1" applyAlignment="1">
      <alignment horizontal="center" vertical="center" wrapText="1"/>
    </xf>
    <xf numFmtId="0" fontId="42" fillId="29" borderId="1" xfId="0" applyFont="1" applyFill="1" applyBorder="1" applyAlignment="1">
      <alignment horizontal="center" vertical="center" wrapText="1"/>
    </xf>
    <xf numFmtId="0" fontId="40" fillId="30" borderId="1" xfId="0" applyFont="1" applyFill="1" applyBorder="1" applyAlignment="1">
      <alignment horizontal="left" vertical="center" wrapText="1"/>
    </xf>
    <xf numFmtId="0" fontId="43" fillId="31" borderId="1" xfId="0" applyFont="1" applyFill="1" applyBorder="1" applyAlignment="1">
      <alignment horizontal="right" vertical="center"/>
    </xf>
    <xf numFmtId="0" fontId="44" fillId="32" borderId="1" xfId="0" applyFont="1" applyFill="1" applyBorder="1" applyAlignment="1">
      <alignment horizontal="right" vertical="center"/>
    </xf>
    <xf numFmtId="0" fontId="45" fillId="33" borderId="1" xfId="0" applyFont="1" applyFill="1" applyBorder="1" applyAlignment="1">
      <alignment horizontal="right" vertical="center"/>
    </xf>
    <xf numFmtId="0" fontId="44" fillId="34" borderId="1" xfId="0" applyFont="1" applyFill="1" applyBorder="1" applyAlignment="1">
      <alignment horizontal="right" vertical="center"/>
    </xf>
    <xf numFmtId="0" fontId="40" fillId="35" borderId="1" xfId="0" applyFont="1" applyFill="1" applyBorder="1" applyAlignment="1">
      <alignment horizontal="left" vertical="center" wrapText="1"/>
    </xf>
    <xf numFmtId="0" fontId="40" fillId="36" borderId="1" xfId="0" applyFont="1" applyFill="1" applyBorder="1" applyAlignment="1">
      <alignment horizontal="left" vertical="center" wrapText="1"/>
    </xf>
    <xf numFmtId="0" fontId="0" fillId="37" borderId="0" xfId="0" applyFill="1"/>
    <xf numFmtId="16" fontId="14" fillId="9" borderId="3" xfId="0" applyNumberFormat="1" applyFont="1" applyFill="1" applyBorder="1" applyAlignment="1">
      <alignment horizontal="center" vertical="center" wrapText="1"/>
    </xf>
    <xf numFmtId="0" fontId="12" fillId="16" borderId="3" xfId="0" applyFont="1" applyFill="1" applyBorder="1"/>
    <xf numFmtId="0" fontId="0" fillId="0" borderId="4" xfId="0" applyBorder="1"/>
    <xf numFmtId="0" fontId="0" fillId="0" borderId="8" xfId="0" applyBorder="1"/>
    <xf numFmtId="0" fontId="9" fillId="15" borderId="2" xfId="0" applyFont="1" applyFill="1" applyBorder="1" applyAlignment="1">
      <alignment horizontal="left" vertical="center"/>
    </xf>
    <xf numFmtId="0" fontId="14" fillId="1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12" fillId="17" borderId="3" xfId="0" applyFont="1" applyFill="1" applyBorder="1"/>
    <xf numFmtId="0" fontId="8" fillId="11" borderId="2" xfId="0" applyFont="1" applyFill="1" applyBorder="1" applyAlignment="1">
      <alignment horizontal="center" vertical="center" wrapText="1"/>
    </xf>
    <xf numFmtId="0" fontId="12" fillId="15" borderId="3" xfId="0" applyFont="1" applyFill="1" applyBorder="1"/>
    <xf numFmtId="0" fontId="3" fillId="15" borderId="2" xfId="0" applyFont="1" applyFill="1" applyBorder="1" applyAlignment="1">
      <alignment horizontal="left" vertical="center" wrapText="1"/>
    </xf>
    <xf numFmtId="0" fontId="9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20" borderId="2" xfId="0" applyFont="1" applyFill="1" applyBorder="1" applyAlignment="1">
      <alignment horizontal="center" vertical="center"/>
    </xf>
    <xf numFmtId="0" fontId="21" fillId="11" borderId="2" xfId="0" applyFont="1" applyFill="1" applyBorder="1" applyAlignment="1">
      <alignment horizontal="center" vertical="center" wrapText="1"/>
    </xf>
    <xf numFmtId="0" fontId="19" fillId="18" borderId="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9" fillId="19" borderId="2" xfId="0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left" vertical="center" wrapText="1"/>
    </xf>
    <xf numFmtId="0" fontId="9" fillId="11" borderId="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36" fillId="15" borderId="2" xfId="0" applyFont="1" applyFill="1" applyBorder="1" applyAlignment="1">
      <alignment horizontal="left" vertical="center" wrapText="1"/>
    </xf>
    <xf numFmtId="0" fontId="36" fillId="17" borderId="2" xfId="0" applyFont="1" applyFill="1" applyBorder="1" applyAlignment="1">
      <alignment horizontal="left" vertical="center" wrapText="1"/>
    </xf>
    <xf numFmtId="0" fontId="36" fillId="2" borderId="2" xfId="0" applyFont="1" applyFill="1" applyBorder="1" applyAlignment="1">
      <alignment horizontal="left" vertical="center" wrapText="1"/>
    </xf>
    <xf numFmtId="0" fontId="36" fillId="21" borderId="2" xfId="0" applyFont="1" applyFill="1" applyBorder="1" applyAlignment="1">
      <alignment horizontal="left" vertical="center" wrapText="1"/>
    </xf>
    <xf numFmtId="0" fontId="41" fillId="28" borderId="0" xfId="0" applyFont="1" applyFill="1" applyAlignment="1">
      <alignment horizontal="left" vertical="center" wrapText="1"/>
    </xf>
    <xf numFmtId="0" fontId="41" fillId="38" borderId="0" xfId="0" applyFont="1" applyFill="1" applyAlignment="1">
      <alignment horizontal="left" vertical="center" wrapText="1"/>
    </xf>
    <xf numFmtId="0" fontId="39" fillId="12" borderId="0" xfId="0" applyFont="1" applyFill="1" applyAlignment="1">
      <alignment horizontal="left" vertical="center" wrapText="1"/>
    </xf>
    <xf numFmtId="0" fontId="38" fillId="26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G1"/>
    </sheetView>
  </sheetViews>
  <sheetFormatPr baseColWidth="10" defaultColWidth="9" defaultRowHeight="14" x14ac:dyDescent="0.2"/>
  <cols>
    <col min="1" max="1" width="22" customWidth="1"/>
    <col min="2" max="2" width="12" customWidth="1"/>
    <col min="3" max="3" width="30" customWidth="1"/>
    <col min="4" max="5" width="42" customWidth="1"/>
    <col min="6" max="6" width="50" customWidth="1"/>
    <col min="7" max="7" width="40" customWidth="1"/>
  </cols>
  <sheetData>
    <row r="1" spans="1:7" ht="30" customHeight="1" x14ac:dyDescent="0.2">
      <c r="A1" s="151" t="s">
        <v>93</v>
      </c>
      <c r="B1" s="150"/>
      <c r="C1" s="150"/>
      <c r="D1" s="150"/>
      <c r="E1" s="150"/>
      <c r="F1" s="150"/>
      <c r="G1" s="150"/>
    </row>
    <row r="2" spans="1:7" ht="18" customHeight="1" x14ac:dyDescent="0.2">
      <c r="A2" s="149" t="s">
        <v>94</v>
      </c>
      <c r="B2" s="150"/>
      <c r="C2" s="150"/>
      <c r="D2" s="150"/>
      <c r="E2" s="150"/>
      <c r="F2" s="150"/>
      <c r="G2" s="150"/>
    </row>
    <row r="3" spans="1:7" ht="30" customHeight="1" x14ac:dyDescent="0.2">
      <c r="A3" s="1" t="s">
        <v>95</v>
      </c>
      <c r="B3" s="1" t="s">
        <v>96</v>
      </c>
      <c r="C3" s="1" t="s">
        <v>97</v>
      </c>
      <c r="D3" s="1" t="s">
        <v>98</v>
      </c>
      <c r="E3" s="1" t="s">
        <v>99</v>
      </c>
      <c r="F3" s="1" t="s">
        <v>100</v>
      </c>
      <c r="G3" s="1" t="s">
        <v>101</v>
      </c>
    </row>
    <row r="4" spans="1:7" ht="69.75" customHeight="1" x14ac:dyDescent="0.2">
      <c r="A4" s="2" t="s">
        <v>102</v>
      </c>
      <c r="B4" s="3" t="s">
        <v>103</v>
      </c>
      <c r="C4" s="4" t="s">
        <v>28</v>
      </c>
      <c r="D4" s="5" t="s">
        <v>104</v>
      </c>
      <c r="E4" s="5" t="s">
        <v>105</v>
      </c>
      <c r="F4" s="5" t="s">
        <v>106</v>
      </c>
      <c r="G4" s="5" t="s">
        <v>107</v>
      </c>
    </row>
    <row r="5" spans="1:7" ht="69.75" customHeight="1" x14ac:dyDescent="0.2">
      <c r="A5" s="2" t="s">
        <v>102</v>
      </c>
      <c r="B5" s="3" t="s">
        <v>103</v>
      </c>
      <c r="C5" s="4" t="s">
        <v>30</v>
      </c>
      <c r="D5" s="5" t="s">
        <v>108</v>
      </c>
      <c r="E5" s="5" t="s">
        <v>109</v>
      </c>
      <c r="F5" s="5" t="s">
        <v>110</v>
      </c>
      <c r="G5" s="5" t="s">
        <v>111</v>
      </c>
    </row>
    <row r="6" spans="1:7" ht="69.75" customHeight="1" x14ac:dyDescent="0.2">
      <c r="A6" s="2" t="s">
        <v>102</v>
      </c>
      <c r="B6" s="3" t="s">
        <v>103</v>
      </c>
      <c r="C6" s="4" t="s">
        <v>32</v>
      </c>
      <c r="D6" s="5" t="s">
        <v>112</v>
      </c>
      <c r="E6" s="5" t="s">
        <v>113</v>
      </c>
      <c r="F6" s="5" t="s">
        <v>114</v>
      </c>
      <c r="G6" s="5" t="s">
        <v>115</v>
      </c>
    </row>
    <row r="7" spans="1:7" ht="69.75" customHeight="1" x14ac:dyDescent="0.2">
      <c r="A7" s="2" t="s">
        <v>102</v>
      </c>
      <c r="B7" s="3" t="s">
        <v>103</v>
      </c>
      <c r="C7" s="4" t="s">
        <v>34</v>
      </c>
      <c r="D7" s="5" t="s">
        <v>116</v>
      </c>
      <c r="E7" s="5" t="s">
        <v>117</v>
      </c>
      <c r="F7" s="5" t="s">
        <v>118</v>
      </c>
      <c r="G7" s="5" t="s">
        <v>119</v>
      </c>
    </row>
    <row r="8" spans="1:7" ht="69.75" customHeight="1" x14ac:dyDescent="0.2">
      <c r="A8" s="2" t="s">
        <v>102</v>
      </c>
      <c r="B8" s="3" t="s">
        <v>103</v>
      </c>
      <c r="C8" s="4" t="s">
        <v>120</v>
      </c>
      <c r="D8" s="5" t="s">
        <v>121</v>
      </c>
      <c r="E8" s="5" t="s">
        <v>122</v>
      </c>
      <c r="F8" s="5" t="s">
        <v>123</v>
      </c>
      <c r="G8" s="5" t="s">
        <v>124</v>
      </c>
    </row>
    <row r="9" spans="1:7" ht="69.75" customHeight="1" x14ac:dyDescent="0.2">
      <c r="A9" s="2" t="s">
        <v>102</v>
      </c>
      <c r="B9" s="3" t="s">
        <v>103</v>
      </c>
      <c r="C9" s="4" t="s">
        <v>125</v>
      </c>
      <c r="D9" s="5" t="s">
        <v>126</v>
      </c>
      <c r="E9" s="5" t="s">
        <v>127</v>
      </c>
      <c r="F9" s="5" t="s">
        <v>128</v>
      </c>
      <c r="G9" s="5" t="s">
        <v>129</v>
      </c>
    </row>
    <row r="10" spans="1:7" ht="69.75" customHeight="1" x14ac:dyDescent="0.2">
      <c r="A10" s="2" t="s">
        <v>102</v>
      </c>
      <c r="B10" s="3" t="s">
        <v>103</v>
      </c>
      <c r="C10" s="4" t="s">
        <v>130</v>
      </c>
      <c r="D10" s="5" t="s">
        <v>131</v>
      </c>
      <c r="E10" s="5" t="s">
        <v>132</v>
      </c>
      <c r="F10" s="5" t="s">
        <v>133</v>
      </c>
      <c r="G10" s="5" t="s">
        <v>134</v>
      </c>
    </row>
    <row r="11" spans="1:7" ht="69.75" customHeight="1" x14ac:dyDescent="0.2">
      <c r="A11" s="2" t="s">
        <v>135</v>
      </c>
      <c r="B11" s="3" t="s">
        <v>103</v>
      </c>
      <c r="C11" s="4" t="s">
        <v>41</v>
      </c>
      <c r="D11" s="5" t="s">
        <v>136</v>
      </c>
      <c r="E11" s="5" t="s">
        <v>137</v>
      </c>
      <c r="F11" s="5" t="s">
        <v>138</v>
      </c>
      <c r="G11" s="5" t="s">
        <v>139</v>
      </c>
    </row>
    <row r="12" spans="1:7" ht="69.75" customHeight="1" x14ac:dyDescent="0.2">
      <c r="A12" s="2" t="s">
        <v>135</v>
      </c>
      <c r="B12" s="3" t="s">
        <v>103</v>
      </c>
      <c r="C12" s="4" t="s">
        <v>140</v>
      </c>
      <c r="D12" s="5" t="s">
        <v>141</v>
      </c>
      <c r="E12" s="5" t="s">
        <v>142</v>
      </c>
      <c r="F12" s="5" t="s">
        <v>143</v>
      </c>
      <c r="G12" s="5" t="s">
        <v>144</v>
      </c>
    </row>
    <row r="13" spans="1:7" ht="69.75" customHeight="1" x14ac:dyDescent="0.2">
      <c r="A13" s="2" t="s">
        <v>135</v>
      </c>
      <c r="B13" s="3" t="s">
        <v>103</v>
      </c>
      <c r="C13" s="4" t="s">
        <v>145</v>
      </c>
      <c r="D13" s="5" t="s">
        <v>146</v>
      </c>
      <c r="E13" s="5" t="s">
        <v>147</v>
      </c>
      <c r="F13" s="5" t="s">
        <v>148</v>
      </c>
      <c r="G13" s="5" t="s">
        <v>149</v>
      </c>
    </row>
    <row r="14" spans="1:7" ht="69.75" customHeight="1" x14ac:dyDescent="0.2">
      <c r="A14" s="2" t="s">
        <v>135</v>
      </c>
      <c r="B14" s="3" t="s">
        <v>103</v>
      </c>
      <c r="C14" s="4" t="s">
        <v>150</v>
      </c>
      <c r="D14" s="5" t="s">
        <v>151</v>
      </c>
      <c r="E14" s="5" t="s">
        <v>152</v>
      </c>
      <c r="F14" s="5" t="s">
        <v>153</v>
      </c>
      <c r="G14" s="5" t="s">
        <v>154</v>
      </c>
    </row>
    <row r="15" spans="1:7" ht="69.75" customHeight="1" x14ac:dyDescent="0.2">
      <c r="A15" s="2" t="s">
        <v>135</v>
      </c>
      <c r="B15" s="3" t="s">
        <v>103</v>
      </c>
      <c r="C15" s="4" t="s">
        <v>155</v>
      </c>
      <c r="D15" s="5" t="s">
        <v>156</v>
      </c>
      <c r="E15" s="5" t="s">
        <v>157</v>
      </c>
      <c r="F15" s="5" t="s">
        <v>158</v>
      </c>
      <c r="G15" s="5" t="s">
        <v>159</v>
      </c>
    </row>
    <row r="16" spans="1:7" ht="69.75" customHeight="1" x14ac:dyDescent="0.2">
      <c r="A16" s="2" t="s">
        <v>135</v>
      </c>
      <c r="B16" s="3" t="s">
        <v>103</v>
      </c>
      <c r="C16" s="4" t="s">
        <v>160</v>
      </c>
      <c r="D16" s="5" t="s">
        <v>161</v>
      </c>
      <c r="E16" s="5" t="s">
        <v>162</v>
      </c>
      <c r="F16" s="5" t="s">
        <v>163</v>
      </c>
      <c r="G16" s="5" t="s">
        <v>164</v>
      </c>
    </row>
    <row r="17" spans="1:7" ht="69.75" customHeight="1" x14ac:dyDescent="0.2">
      <c r="A17" s="2" t="s">
        <v>135</v>
      </c>
      <c r="B17" s="3" t="s">
        <v>103</v>
      </c>
      <c r="C17" s="4" t="s">
        <v>49</v>
      </c>
      <c r="D17" s="5" t="s">
        <v>165</v>
      </c>
      <c r="E17" s="5" t="s">
        <v>166</v>
      </c>
      <c r="F17" s="5" t="s">
        <v>167</v>
      </c>
      <c r="G17" s="5" t="s">
        <v>168</v>
      </c>
    </row>
    <row r="18" spans="1:7" ht="69.75" customHeight="1" x14ac:dyDescent="0.2">
      <c r="A18" s="2" t="s">
        <v>135</v>
      </c>
      <c r="B18" s="3" t="s">
        <v>103</v>
      </c>
      <c r="C18" s="4" t="s">
        <v>169</v>
      </c>
      <c r="D18" s="5" t="s">
        <v>170</v>
      </c>
      <c r="E18" s="5" t="s">
        <v>171</v>
      </c>
      <c r="F18" s="5" t="s">
        <v>172</v>
      </c>
      <c r="G18" s="5" t="s">
        <v>173</v>
      </c>
    </row>
    <row r="19" spans="1:7" ht="69.75" customHeight="1" x14ac:dyDescent="0.2">
      <c r="A19" s="2" t="s">
        <v>135</v>
      </c>
      <c r="B19" s="3" t="s">
        <v>103</v>
      </c>
      <c r="C19" s="4" t="s">
        <v>174</v>
      </c>
      <c r="D19" s="5" t="s">
        <v>175</v>
      </c>
      <c r="E19" s="5" t="s">
        <v>176</v>
      </c>
      <c r="F19" s="5" t="s">
        <v>177</v>
      </c>
      <c r="G19" s="5" t="s">
        <v>178</v>
      </c>
    </row>
    <row r="20" spans="1:7" ht="69.75" customHeight="1" x14ac:dyDescent="0.2">
      <c r="A20" s="2" t="s">
        <v>135</v>
      </c>
      <c r="B20" s="3" t="s">
        <v>103</v>
      </c>
      <c r="C20" s="4" t="s">
        <v>179</v>
      </c>
      <c r="D20" s="5" t="s">
        <v>180</v>
      </c>
      <c r="E20" s="5" t="s">
        <v>181</v>
      </c>
      <c r="F20" s="5" t="s">
        <v>182</v>
      </c>
      <c r="G20" s="5" t="s">
        <v>183</v>
      </c>
    </row>
    <row r="21" spans="1:7" ht="69.75" customHeight="1" x14ac:dyDescent="0.2">
      <c r="A21" s="2" t="s">
        <v>135</v>
      </c>
      <c r="B21" s="3" t="s">
        <v>103</v>
      </c>
      <c r="C21" s="4" t="s">
        <v>55</v>
      </c>
      <c r="D21" s="5" t="s">
        <v>184</v>
      </c>
      <c r="E21" s="5" t="s">
        <v>185</v>
      </c>
      <c r="F21" s="5" t="s">
        <v>186</v>
      </c>
      <c r="G21" s="5" t="s">
        <v>187</v>
      </c>
    </row>
    <row r="22" spans="1:7" ht="69.75" customHeight="1" x14ac:dyDescent="0.2">
      <c r="A22" s="2" t="s">
        <v>135</v>
      </c>
      <c r="B22" s="3" t="s">
        <v>103</v>
      </c>
      <c r="C22" s="4" t="s">
        <v>188</v>
      </c>
      <c r="D22" s="5" t="s">
        <v>189</v>
      </c>
      <c r="E22" s="5" t="s">
        <v>190</v>
      </c>
      <c r="F22" s="5" t="s">
        <v>191</v>
      </c>
      <c r="G22" s="5" t="s">
        <v>192</v>
      </c>
    </row>
    <row r="23" spans="1:7" ht="69.75" customHeight="1" x14ac:dyDescent="0.2">
      <c r="A23" s="6" t="s">
        <v>193</v>
      </c>
      <c r="B23" s="7" t="s">
        <v>194</v>
      </c>
      <c r="C23" s="8" t="s">
        <v>195</v>
      </c>
      <c r="D23" s="9" t="s">
        <v>196</v>
      </c>
      <c r="E23" s="9" t="s">
        <v>197</v>
      </c>
      <c r="F23" s="9" t="s">
        <v>198</v>
      </c>
      <c r="G23" s="9" t="s">
        <v>199</v>
      </c>
    </row>
    <row r="24" spans="1:7" ht="69.75" customHeight="1" x14ac:dyDescent="0.2">
      <c r="A24" s="6" t="s">
        <v>193</v>
      </c>
      <c r="B24" s="7" t="s">
        <v>194</v>
      </c>
      <c r="C24" s="8" t="s">
        <v>200</v>
      </c>
      <c r="D24" s="9" t="s">
        <v>201</v>
      </c>
      <c r="E24" s="9" t="s">
        <v>202</v>
      </c>
      <c r="F24" s="9" t="s">
        <v>203</v>
      </c>
      <c r="G24" s="9" t="s">
        <v>204</v>
      </c>
    </row>
    <row r="25" spans="1:7" ht="69.75" customHeight="1" x14ac:dyDescent="0.2">
      <c r="A25" s="6" t="s">
        <v>193</v>
      </c>
      <c r="B25" s="7" t="s">
        <v>194</v>
      </c>
      <c r="C25" s="8" t="s">
        <v>205</v>
      </c>
      <c r="D25" s="9" t="s">
        <v>206</v>
      </c>
      <c r="E25" s="9" t="s">
        <v>207</v>
      </c>
      <c r="F25" s="9" t="s">
        <v>208</v>
      </c>
      <c r="G25" s="9" t="s">
        <v>209</v>
      </c>
    </row>
    <row r="26" spans="1:7" ht="69.75" customHeight="1" x14ac:dyDescent="0.2">
      <c r="A26" s="6" t="s">
        <v>193</v>
      </c>
      <c r="B26" s="7" t="s">
        <v>194</v>
      </c>
      <c r="C26" s="8" t="s">
        <v>210</v>
      </c>
      <c r="D26" s="9" t="s">
        <v>211</v>
      </c>
      <c r="E26" s="9" t="s">
        <v>212</v>
      </c>
      <c r="F26" s="9" t="s">
        <v>213</v>
      </c>
      <c r="G26" s="9" t="s">
        <v>214</v>
      </c>
    </row>
    <row r="27" spans="1:7" ht="69.75" customHeight="1" x14ac:dyDescent="0.2">
      <c r="A27" s="6" t="s">
        <v>193</v>
      </c>
      <c r="B27" s="7" t="s">
        <v>194</v>
      </c>
      <c r="C27" s="8" t="s">
        <v>65</v>
      </c>
      <c r="D27" s="9" t="s">
        <v>215</v>
      </c>
      <c r="E27" s="9" t="s">
        <v>216</v>
      </c>
      <c r="F27" s="9" t="s">
        <v>217</v>
      </c>
      <c r="G27" s="9" t="s">
        <v>218</v>
      </c>
    </row>
    <row r="28" spans="1:7" ht="69.75" customHeight="1" x14ac:dyDescent="0.2">
      <c r="A28" s="6" t="s">
        <v>193</v>
      </c>
      <c r="B28" s="7" t="s">
        <v>194</v>
      </c>
      <c r="C28" s="8" t="s">
        <v>66</v>
      </c>
      <c r="D28" s="9" t="s">
        <v>219</v>
      </c>
      <c r="E28" s="9" t="s">
        <v>220</v>
      </c>
      <c r="F28" s="9" t="s">
        <v>221</v>
      </c>
      <c r="G28" s="9" t="s">
        <v>222</v>
      </c>
    </row>
    <row r="29" spans="1:7" ht="69.75" customHeight="1" x14ac:dyDescent="0.2">
      <c r="A29" s="6" t="s">
        <v>223</v>
      </c>
      <c r="B29" s="7" t="s">
        <v>194</v>
      </c>
      <c r="C29" s="8" t="s">
        <v>67</v>
      </c>
      <c r="D29" s="9" t="s">
        <v>224</v>
      </c>
      <c r="E29" s="9" t="s">
        <v>225</v>
      </c>
      <c r="F29" s="9" t="s">
        <v>226</v>
      </c>
      <c r="G29" s="9" t="s">
        <v>227</v>
      </c>
    </row>
    <row r="30" spans="1:7" ht="69.75" customHeight="1" x14ac:dyDescent="0.2">
      <c r="A30" s="6" t="s">
        <v>223</v>
      </c>
      <c r="B30" s="7" t="s">
        <v>194</v>
      </c>
      <c r="C30" s="8" t="s">
        <v>228</v>
      </c>
      <c r="D30" s="9" t="s">
        <v>229</v>
      </c>
      <c r="E30" s="9" t="s">
        <v>230</v>
      </c>
      <c r="F30" s="9" t="s">
        <v>231</v>
      </c>
      <c r="G30" s="9" t="s">
        <v>232</v>
      </c>
    </row>
    <row r="31" spans="1:7" ht="69.75" customHeight="1" x14ac:dyDescent="0.2">
      <c r="A31" s="6" t="s">
        <v>223</v>
      </c>
      <c r="B31" s="7" t="s">
        <v>194</v>
      </c>
      <c r="C31" s="8" t="s">
        <v>233</v>
      </c>
      <c r="D31" s="9" t="s">
        <v>234</v>
      </c>
      <c r="E31" s="9" t="s">
        <v>235</v>
      </c>
      <c r="F31" s="9" t="s">
        <v>236</v>
      </c>
      <c r="G31" s="9" t="s">
        <v>237</v>
      </c>
    </row>
    <row r="32" spans="1:7" ht="69.75" customHeight="1" x14ac:dyDescent="0.2">
      <c r="A32" s="6" t="s">
        <v>223</v>
      </c>
      <c r="B32" s="7" t="s">
        <v>194</v>
      </c>
      <c r="C32" s="8" t="s">
        <v>238</v>
      </c>
      <c r="D32" s="9" t="s">
        <v>239</v>
      </c>
      <c r="E32" s="9" t="s">
        <v>240</v>
      </c>
      <c r="F32" s="9" t="s">
        <v>241</v>
      </c>
      <c r="G32" s="9" t="s">
        <v>242</v>
      </c>
    </row>
    <row r="33" spans="1:7" ht="69.75" customHeight="1" x14ac:dyDescent="0.2">
      <c r="A33" s="6" t="s">
        <v>223</v>
      </c>
      <c r="B33" s="7" t="s">
        <v>194</v>
      </c>
      <c r="C33" s="8" t="s">
        <v>243</v>
      </c>
      <c r="D33" s="9" t="s">
        <v>244</v>
      </c>
      <c r="E33" s="9" t="s">
        <v>245</v>
      </c>
      <c r="F33" s="9" t="s">
        <v>246</v>
      </c>
      <c r="G33" s="9" t="s">
        <v>247</v>
      </c>
    </row>
    <row r="34" spans="1:7" ht="69.75" customHeight="1" x14ac:dyDescent="0.2">
      <c r="A34" s="6" t="s">
        <v>223</v>
      </c>
      <c r="B34" s="7" t="s">
        <v>194</v>
      </c>
      <c r="C34" s="8" t="s">
        <v>71</v>
      </c>
      <c r="D34" s="9" t="s">
        <v>248</v>
      </c>
      <c r="E34" s="9" t="s">
        <v>249</v>
      </c>
      <c r="F34" s="9" t="s">
        <v>250</v>
      </c>
      <c r="G34" s="9" t="s">
        <v>251</v>
      </c>
    </row>
    <row r="35" spans="1:7" ht="69.75" customHeight="1" x14ac:dyDescent="0.2">
      <c r="A35" s="6" t="s">
        <v>223</v>
      </c>
      <c r="B35" s="7" t="s">
        <v>194</v>
      </c>
      <c r="C35" s="8" t="s">
        <v>252</v>
      </c>
      <c r="D35" s="9" t="s">
        <v>253</v>
      </c>
      <c r="E35" s="9" t="s">
        <v>254</v>
      </c>
      <c r="F35" s="9" t="s">
        <v>255</v>
      </c>
      <c r="G35" s="9" t="s">
        <v>256</v>
      </c>
    </row>
    <row r="36" spans="1:7" ht="69.75" customHeight="1" x14ac:dyDescent="0.2">
      <c r="A36" s="6" t="s">
        <v>223</v>
      </c>
      <c r="B36" s="7" t="s">
        <v>194</v>
      </c>
      <c r="C36" s="8" t="s">
        <v>257</v>
      </c>
      <c r="D36" s="9" t="s">
        <v>258</v>
      </c>
      <c r="E36" s="9" t="s">
        <v>259</v>
      </c>
      <c r="F36" s="9" t="s">
        <v>260</v>
      </c>
      <c r="G36" s="9" t="s">
        <v>261</v>
      </c>
    </row>
    <row r="37" spans="1:7" ht="69.75" customHeight="1" x14ac:dyDescent="0.2">
      <c r="A37" s="6" t="s">
        <v>223</v>
      </c>
      <c r="B37" s="7" t="s">
        <v>194</v>
      </c>
      <c r="C37" s="8" t="s">
        <v>262</v>
      </c>
      <c r="D37" s="9" t="s">
        <v>263</v>
      </c>
      <c r="E37" s="9" t="s">
        <v>264</v>
      </c>
      <c r="F37" s="9" t="s">
        <v>265</v>
      </c>
      <c r="G37" s="9" t="s">
        <v>266</v>
      </c>
    </row>
    <row r="38" spans="1:7" ht="69.75" customHeight="1" x14ac:dyDescent="0.2">
      <c r="A38" s="6" t="s">
        <v>223</v>
      </c>
      <c r="B38" s="7" t="s">
        <v>194</v>
      </c>
      <c r="C38" s="8" t="s">
        <v>72</v>
      </c>
      <c r="D38" s="9" t="s">
        <v>267</v>
      </c>
      <c r="E38" s="9" t="s">
        <v>268</v>
      </c>
      <c r="F38" s="9" t="s">
        <v>269</v>
      </c>
      <c r="G38" s="9" t="s">
        <v>270</v>
      </c>
    </row>
    <row r="39" spans="1:7" ht="69.75" customHeight="1" x14ac:dyDescent="0.2">
      <c r="A39" s="6" t="s">
        <v>223</v>
      </c>
      <c r="B39" s="7" t="s">
        <v>194</v>
      </c>
      <c r="C39" s="8" t="s">
        <v>271</v>
      </c>
      <c r="D39" s="9" t="s">
        <v>272</v>
      </c>
      <c r="E39" s="9" t="s">
        <v>273</v>
      </c>
      <c r="F39" s="9" t="s">
        <v>274</v>
      </c>
      <c r="G39" s="9" t="s">
        <v>275</v>
      </c>
    </row>
    <row r="40" spans="1:7" ht="69.75" customHeight="1" x14ac:dyDescent="0.2">
      <c r="A40" s="10" t="s">
        <v>276</v>
      </c>
      <c r="B40" s="11" t="s">
        <v>277</v>
      </c>
      <c r="C40" s="12" t="s">
        <v>278</v>
      </c>
      <c r="D40" s="13" t="s">
        <v>279</v>
      </c>
      <c r="E40" s="13" t="s">
        <v>280</v>
      </c>
      <c r="F40" s="13" t="s">
        <v>281</v>
      </c>
      <c r="G40" s="13" t="s">
        <v>282</v>
      </c>
    </row>
    <row r="41" spans="1:7" ht="69.75" customHeight="1" x14ac:dyDescent="0.2">
      <c r="A41" s="10" t="s">
        <v>276</v>
      </c>
      <c r="B41" s="11" t="s">
        <v>277</v>
      </c>
      <c r="C41" s="12" t="s">
        <v>283</v>
      </c>
      <c r="D41" s="13" t="s">
        <v>284</v>
      </c>
      <c r="E41" s="13" t="s">
        <v>285</v>
      </c>
      <c r="F41" s="13" t="s">
        <v>286</v>
      </c>
      <c r="G41" s="13" t="s">
        <v>287</v>
      </c>
    </row>
    <row r="42" spans="1:7" ht="69.75" customHeight="1" x14ac:dyDescent="0.2">
      <c r="A42" s="14" t="s">
        <v>288</v>
      </c>
      <c r="B42" s="15" t="s">
        <v>277</v>
      </c>
      <c r="C42" s="16" t="s">
        <v>80</v>
      </c>
      <c r="D42" s="17" t="s">
        <v>289</v>
      </c>
      <c r="E42" s="17" t="s">
        <v>290</v>
      </c>
      <c r="F42" s="17" t="s">
        <v>291</v>
      </c>
      <c r="G42" s="17" t="s">
        <v>292</v>
      </c>
    </row>
    <row r="43" spans="1:7" ht="69.75" customHeight="1" x14ac:dyDescent="0.2">
      <c r="A43" s="14" t="s">
        <v>288</v>
      </c>
      <c r="B43" s="15" t="s">
        <v>277</v>
      </c>
      <c r="C43" s="16" t="s">
        <v>81</v>
      </c>
      <c r="D43" s="17" t="s">
        <v>293</v>
      </c>
      <c r="E43" s="17" t="s">
        <v>294</v>
      </c>
      <c r="F43" s="17" t="s">
        <v>295</v>
      </c>
      <c r="G43" s="17" t="s">
        <v>296</v>
      </c>
    </row>
    <row r="44" spans="1:7" ht="69.75" customHeight="1" x14ac:dyDescent="0.2">
      <c r="A44" s="14" t="s">
        <v>288</v>
      </c>
      <c r="B44" s="15" t="s">
        <v>277</v>
      </c>
      <c r="C44" s="16" t="s">
        <v>297</v>
      </c>
      <c r="D44" s="17" t="s">
        <v>298</v>
      </c>
      <c r="E44" s="17" t="s">
        <v>299</v>
      </c>
      <c r="F44" s="17" t="s">
        <v>300</v>
      </c>
      <c r="G44" s="17" t="s">
        <v>301</v>
      </c>
    </row>
    <row r="45" spans="1:7" ht="69.75" customHeight="1" x14ac:dyDescent="0.2">
      <c r="A45" s="14" t="s">
        <v>288</v>
      </c>
      <c r="B45" s="15" t="s">
        <v>277</v>
      </c>
      <c r="C45" s="16" t="s">
        <v>302</v>
      </c>
      <c r="D45" s="17" t="s">
        <v>303</v>
      </c>
      <c r="E45" s="17" t="s">
        <v>304</v>
      </c>
      <c r="F45" s="17" t="s">
        <v>305</v>
      </c>
      <c r="G45" s="17" t="s">
        <v>306</v>
      </c>
    </row>
    <row r="46" spans="1:7" ht="69.75" customHeight="1" x14ac:dyDescent="0.2">
      <c r="A46" s="14" t="s">
        <v>288</v>
      </c>
      <c r="B46" s="15" t="s">
        <v>277</v>
      </c>
      <c r="C46" s="16" t="s">
        <v>84</v>
      </c>
      <c r="D46" s="17" t="s">
        <v>307</v>
      </c>
      <c r="E46" s="17" t="s">
        <v>308</v>
      </c>
      <c r="F46" s="17" t="s">
        <v>309</v>
      </c>
      <c r="G46" s="17" t="s">
        <v>310</v>
      </c>
    </row>
    <row r="47" spans="1:7" ht="69.75" customHeight="1" x14ac:dyDescent="0.2">
      <c r="A47" s="18" t="s">
        <v>311</v>
      </c>
      <c r="B47" s="19" t="s">
        <v>103</v>
      </c>
      <c r="C47" s="20" t="s">
        <v>312</v>
      </c>
      <c r="D47" s="21" t="s">
        <v>313</v>
      </c>
      <c r="E47" s="21" t="s">
        <v>314</v>
      </c>
      <c r="F47" s="21" t="s">
        <v>315</v>
      </c>
      <c r="G47" s="21" t="s">
        <v>316</v>
      </c>
    </row>
    <row r="48" spans="1:7" ht="69.75" customHeight="1" x14ac:dyDescent="0.2">
      <c r="A48" s="18" t="s">
        <v>311</v>
      </c>
      <c r="B48" s="19" t="s">
        <v>194</v>
      </c>
      <c r="C48" s="20" t="s">
        <v>317</v>
      </c>
      <c r="D48" s="21" t="s">
        <v>318</v>
      </c>
      <c r="E48" s="21" t="s">
        <v>319</v>
      </c>
      <c r="F48" s="21" t="s">
        <v>320</v>
      </c>
      <c r="G48" s="21" t="s">
        <v>321</v>
      </c>
    </row>
    <row r="49" spans="1:7" ht="69.75" customHeight="1" x14ac:dyDescent="0.2">
      <c r="A49" s="18" t="s">
        <v>311</v>
      </c>
      <c r="B49" s="19" t="s">
        <v>103</v>
      </c>
      <c r="C49" s="20" t="s">
        <v>322</v>
      </c>
      <c r="D49" s="21" t="s">
        <v>323</v>
      </c>
      <c r="E49" s="21" t="s">
        <v>324</v>
      </c>
      <c r="F49" s="21" t="s">
        <v>325</v>
      </c>
      <c r="G49" s="21" t="s">
        <v>326</v>
      </c>
    </row>
    <row r="50" spans="1:7" ht="69.75" customHeight="1" x14ac:dyDescent="0.2">
      <c r="A50" s="18" t="s">
        <v>311</v>
      </c>
      <c r="B50" s="19" t="s">
        <v>194</v>
      </c>
      <c r="C50" s="20" t="s">
        <v>327</v>
      </c>
      <c r="D50" s="21" t="s">
        <v>272</v>
      </c>
      <c r="E50" s="21" t="s">
        <v>328</v>
      </c>
      <c r="F50" s="21" t="s">
        <v>329</v>
      </c>
      <c r="G50" s="21" t="s">
        <v>330</v>
      </c>
    </row>
    <row r="51" spans="1:7" ht="69.75" customHeight="1" x14ac:dyDescent="0.2">
      <c r="A51" s="22" t="s">
        <v>331</v>
      </c>
      <c r="B51" s="23" t="s">
        <v>277</v>
      </c>
      <c r="C51" s="24" t="s">
        <v>332</v>
      </c>
      <c r="D51" s="25" t="s">
        <v>333</v>
      </c>
      <c r="E51" s="25" t="s">
        <v>334</v>
      </c>
      <c r="F51" s="25" t="s">
        <v>335</v>
      </c>
      <c r="G51" s="25" t="s">
        <v>336</v>
      </c>
    </row>
    <row r="52" spans="1:7" ht="69.75" customHeight="1" x14ac:dyDescent="0.2">
      <c r="A52" s="22" t="s">
        <v>331</v>
      </c>
      <c r="B52" s="23" t="s">
        <v>277</v>
      </c>
      <c r="C52" s="24" t="s">
        <v>337</v>
      </c>
      <c r="D52" s="25" t="s">
        <v>338</v>
      </c>
      <c r="E52" s="25" t="s">
        <v>339</v>
      </c>
      <c r="F52" s="25" t="s">
        <v>340</v>
      </c>
      <c r="G52" s="25" t="s">
        <v>341</v>
      </c>
    </row>
    <row r="53" spans="1:7" ht="69.75" customHeight="1" x14ac:dyDescent="0.2">
      <c r="A53" s="22" t="s">
        <v>331</v>
      </c>
      <c r="B53" s="23" t="s">
        <v>277</v>
      </c>
      <c r="C53" s="24" t="s">
        <v>342</v>
      </c>
      <c r="D53" s="25" t="s">
        <v>343</v>
      </c>
      <c r="E53" s="25" t="s">
        <v>344</v>
      </c>
      <c r="F53" s="25" t="s">
        <v>345</v>
      </c>
      <c r="G53" s="25" t="s">
        <v>346</v>
      </c>
    </row>
    <row r="54" spans="1:7" ht="69.75" customHeight="1" x14ac:dyDescent="0.2">
      <c r="A54" s="22" t="s">
        <v>331</v>
      </c>
      <c r="B54" s="23" t="s">
        <v>277</v>
      </c>
      <c r="C54" s="24" t="s">
        <v>347</v>
      </c>
      <c r="D54" s="25" t="s">
        <v>348</v>
      </c>
      <c r="E54" s="25" t="s">
        <v>349</v>
      </c>
      <c r="F54" s="25" t="s">
        <v>350</v>
      </c>
      <c r="G54" s="25" t="s">
        <v>351</v>
      </c>
    </row>
    <row r="55" spans="1:7" ht="69.75" customHeight="1" x14ac:dyDescent="0.2">
      <c r="A55" s="22" t="s">
        <v>331</v>
      </c>
      <c r="B55" s="23" t="s">
        <v>277</v>
      </c>
      <c r="C55" s="24" t="s">
        <v>352</v>
      </c>
      <c r="D55" s="25" t="s">
        <v>353</v>
      </c>
      <c r="E55" s="25" t="s">
        <v>354</v>
      </c>
      <c r="F55" s="25" t="s">
        <v>355</v>
      </c>
      <c r="G55" s="25" t="s">
        <v>356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topLeftCell="M1" zoomScale="140" zoomScaleNormal="140" workbookViewId="0">
      <selection activeCell="V10" sqref="V10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47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</row>
    <row r="2" spans="1:24" ht="21.75" customHeight="1" x14ac:dyDescent="0.2">
      <c r="A2" s="143" t="s">
        <v>1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</row>
    <row r="3" spans="1:24" ht="28.5" customHeight="1" x14ac:dyDescent="0.2">
      <c r="A3" s="26" t="s">
        <v>2</v>
      </c>
      <c r="B3" s="26" t="s">
        <v>3</v>
      </c>
      <c r="C3" s="26" t="s">
        <v>4</v>
      </c>
      <c r="D3" s="27" t="s">
        <v>5</v>
      </c>
      <c r="E3" s="27" t="s">
        <v>6</v>
      </c>
      <c r="F3" s="27" t="s">
        <v>7</v>
      </c>
      <c r="G3" s="27" t="s">
        <v>8</v>
      </c>
      <c r="H3" s="27" t="s">
        <v>9</v>
      </c>
      <c r="I3" s="27" t="s">
        <v>10</v>
      </c>
      <c r="J3" s="27" t="s">
        <v>11</v>
      </c>
      <c r="K3" s="27" t="s">
        <v>12</v>
      </c>
      <c r="L3" s="27" t="s">
        <v>13</v>
      </c>
      <c r="M3" s="27" t="s">
        <v>14</v>
      </c>
      <c r="N3" s="27" t="s">
        <v>15</v>
      </c>
      <c r="O3" s="27" t="s">
        <v>16</v>
      </c>
      <c r="P3" s="27" t="s">
        <v>17</v>
      </c>
      <c r="Q3" s="27" t="s">
        <v>18</v>
      </c>
      <c r="R3" s="27" t="s">
        <v>19</v>
      </c>
      <c r="S3" s="27" t="s">
        <v>20</v>
      </c>
      <c r="T3" s="27" t="s">
        <v>21</v>
      </c>
      <c r="U3" s="28" t="s">
        <v>22</v>
      </c>
      <c r="V3" s="28" t="s">
        <v>23</v>
      </c>
      <c r="W3" s="28" t="s">
        <v>24</v>
      </c>
      <c r="X3" s="28" t="s">
        <v>25</v>
      </c>
    </row>
    <row r="4" spans="1:24" ht="25.5" customHeight="1" x14ac:dyDescent="0.2">
      <c r="A4" s="141" t="s">
        <v>26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</row>
    <row r="5" spans="1:24" ht="18.75" customHeight="1" x14ac:dyDescent="0.2">
      <c r="A5" s="146" t="s">
        <v>27</v>
      </c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</row>
    <row r="6" spans="1:24" ht="21.75" customHeight="1" x14ac:dyDescent="0.2">
      <c r="A6" s="29"/>
      <c r="B6" s="30" t="s">
        <v>28</v>
      </c>
      <c r="C6" s="31" t="s">
        <v>29</v>
      </c>
      <c r="D6" s="32">
        <v>2066121100</v>
      </c>
      <c r="E6" s="32">
        <v>1188989400</v>
      </c>
      <c r="F6" s="32">
        <v>1312859900</v>
      </c>
      <c r="G6" s="32">
        <v>1143461000</v>
      </c>
      <c r="H6" s="32">
        <v>1120777110</v>
      </c>
      <c r="I6" s="32">
        <v>1013822914</v>
      </c>
      <c r="J6" s="32">
        <v>1065005481</v>
      </c>
      <c r="K6" s="32">
        <v>1150227039</v>
      </c>
      <c r="L6" s="32">
        <v>919076055</v>
      </c>
      <c r="M6" s="32">
        <v>1107796009</v>
      </c>
      <c r="N6" s="32">
        <v>1428219997</v>
      </c>
      <c r="O6" s="32">
        <v>1515344239</v>
      </c>
      <c r="P6" s="32">
        <v>1709354641</v>
      </c>
      <c r="Q6" s="32">
        <v>1379397616</v>
      </c>
      <c r="R6" s="32">
        <v>1232733006</v>
      </c>
      <c r="S6" s="32">
        <v>1142329984</v>
      </c>
      <c r="T6" s="32">
        <v>1088024420</v>
      </c>
      <c r="U6" s="33">
        <v>1088741202</v>
      </c>
      <c r="V6" s="33">
        <v>980866532</v>
      </c>
      <c r="W6" s="33">
        <f>IFERROR(SUM('📅 DAILY T8'!C$6:C$36),0)</f>
        <v>0</v>
      </c>
      <c r="X6" s="33">
        <f>IFERROR(SUM('📅 DAILY T9'!C$6:C$35),0)</f>
        <v>0</v>
      </c>
    </row>
    <row r="7" spans="1:24" ht="21.75" customHeight="1" x14ac:dyDescent="0.2">
      <c r="A7" s="29"/>
      <c r="B7" s="34" t="s">
        <v>30</v>
      </c>
      <c r="C7" s="35" t="s">
        <v>31</v>
      </c>
      <c r="D7" s="32">
        <v>3886</v>
      </c>
      <c r="E7" s="32">
        <v>2167</v>
      </c>
      <c r="F7" s="32">
        <v>2462</v>
      </c>
      <c r="G7" s="32">
        <v>2234</v>
      </c>
      <c r="H7" s="32">
        <v>2267</v>
      </c>
      <c r="I7" s="32">
        <v>2033</v>
      </c>
      <c r="J7" s="32">
        <v>2189</v>
      </c>
      <c r="K7" s="32">
        <v>2433</v>
      </c>
      <c r="L7" s="32">
        <v>2025</v>
      </c>
      <c r="M7" s="32">
        <v>2627</v>
      </c>
      <c r="N7" s="32">
        <v>3365</v>
      </c>
      <c r="O7" s="32">
        <v>3425</v>
      </c>
      <c r="P7" s="32">
        <v>3755</v>
      </c>
      <c r="Q7" s="32">
        <v>2953</v>
      </c>
      <c r="R7" s="32">
        <v>2701</v>
      </c>
      <c r="S7" s="32">
        <v>2499</v>
      </c>
      <c r="T7" s="32">
        <v>2401</v>
      </c>
      <c r="U7" s="33">
        <v>2471</v>
      </c>
      <c r="V7" s="33">
        <v>2351</v>
      </c>
      <c r="W7" s="33">
        <f>IFERROR(SUM('📅 DAILY T8'!D$6:D$36),0)</f>
        <v>0</v>
      </c>
      <c r="X7" s="33">
        <f>IFERROR(SUM('📅 DAILY T9'!D$6:D$35),0)</f>
        <v>0</v>
      </c>
    </row>
    <row r="8" spans="1:24" ht="21.75" customHeight="1" x14ac:dyDescent="0.2">
      <c r="A8" s="29"/>
      <c r="B8" s="30" t="s">
        <v>32</v>
      </c>
      <c r="C8" s="31" t="s">
        <v>33</v>
      </c>
      <c r="D8" s="32">
        <v>531683</v>
      </c>
      <c r="E8" s="32">
        <v>548680</v>
      </c>
      <c r="F8" s="32">
        <v>533249</v>
      </c>
      <c r="G8" s="32">
        <v>511845</v>
      </c>
      <c r="H8" s="32">
        <v>494388</v>
      </c>
      <c r="I8" s="32">
        <v>498683</v>
      </c>
      <c r="J8" s="32">
        <v>486526</v>
      </c>
      <c r="K8" s="32">
        <v>472761</v>
      </c>
      <c r="L8" s="32">
        <v>453865</v>
      </c>
      <c r="M8" s="32">
        <v>421696</v>
      </c>
      <c r="N8" s="32">
        <v>424434</v>
      </c>
      <c r="O8" s="32">
        <v>442436</v>
      </c>
      <c r="P8" s="32">
        <v>455221</v>
      </c>
      <c r="Q8" s="32">
        <v>467117</v>
      </c>
      <c r="R8" s="32">
        <v>456399</v>
      </c>
      <c r="S8" s="32">
        <v>457115</v>
      </c>
      <c r="T8" s="32">
        <v>453155</v>
      </c>
      <c r="U8" s="33">
        <v>440607</v>
      </c>
      <c r="V8" s="33">
        <v>417212</v>
      </c>
      <c r="W8" s="33" t="str">
        <f>IFERROR(SUM('📅 DAILY T8'!C$6:C$36)/SUM('📅 DAILY T8'!D$6:D$36),"")</f>
        <v/>
      </c>
      <c r="X8" s="33" t="str">
        <f>IFERROR(SUM('📅 DAILY T9'!C$6:C$35)/SUM('📅 DAILY T9'!D$6:D$35),"")</f>
        <v/>
      </c>
    </row>
    <row r="9" spans="1:24" ht="21.75" customHeight="1" x14ac:dyDescent="0.2">
      <c r="A9" s="29"/>
      <c r="B9" s="34" t="s">
        <v>34</v>
      </c>
      <c r="C9" s="35" t="s">
        <v>35</v>
      </c>
      <c r="D9" s="32">
        <v>9627</v>
      </c>
      <c r="E9" s="32">
        <v>6309</v>
      </c>
      <c r="F9" s="32">
        <v>6503</v>
      </c>
      <c r="G9" s="32">
        <v>6784</v>
      </c>
      <c r="H9" s="32">
        <v>6098</v>
      </c>
      <c r="I9" s="32">
        <v>5749</v>
      </c>
      <c r="J9" s="32">
        <v>6827</v>
      </c>
      <c r="K9" s="32">
        <v>6173</v>
      </c>
      <c r="L9" s="32">
        <v>5668</v>
      </c>
      <c r="M9" s="32">
        <v>6361</v>
      </c>
      <c r="N9" s="32">
        <v>6898</v>
      </c>
      <c r="O9" s="32">
        <v>7275</v>
      </c>
      <c r="P9" s="32">
        <v>9054</v>
      </c>
      <c r="Q9" s="32">
        <v>7364</v>
      </c>
      <c r="R9" s="32">
        <v>5790</v>
      </c>
      <c r="S9" s="32">
        <v>4999</v>
      </c>
      <c r="T9" s="32">
        <v>5231</v>
      </c>
      <c r="U9" s="36">
        <v>5789</v>
      </c>
      <c r="V9" s="36">
        <v>4100</v>
      </c>
      <c r="W9" s="36"/>
      <c r="X9" s="36"/>
    </row>
    <row r="10" spans="1:24" ht="21.75" customHeight="1" x14ac:dyDescent="0.2">
      <c r="A10" s="29"/>
      <c r="B10" s="30"/>
      <c r="C10" s="31" t="s">
        <v>29</v>
      </c>
      <c r="D10" s="31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6"/>
      <c r="V10" s="36"/>
      <c r="W10" s="36"/>
      <c r="X10" s="36"/>
    </row>
    <row r="11" spans="1:24" ht="21.75" customHeight="1" x14ac:dyDescent="0.2">
      <c r="A11" s="29"/>
      <c r="B11" s="34" t="s">
        <v>36</v>
      </c>
      <c r="C11" s="35" t="s">
        <v>37</v>
      </c>
      <c r="D11" s="37">
        <f t="shared" ref="D11:V11" si="0">D7/D9</f>
        <v>0.40365638308922819</v>
      </c>
      <c r="E11" s="37">
        <f t="shared" si="0"/>
        <v>0.34347757172293547</v>
      </c>
      <c r="F11" s="37">
        <f t="shared" si="0"/>
        <v>0.37859449484853147</v>
      </c>
      <c r="G11" s="37">
        <f t="shared" si="0"/>
        <v>0.32930424528301888</v>
      </c>
      <c r="H11" s="37">
        <f t="shared" si="0"/>
        <v>0.37176123319121024</v>
      </c>
      <c r="I11" s="37">
        <f t="shared" si="0"/>
        <v>0.35362671769003307</v>
      </c>
      <c r="J11" s="37">
        <f t="shared" si="0"/>
        <v>0.32063864069137249</v>
      </c>
      <c r="K11" s="37">
        <f t="shared" si="0"/>
        <v>0.39413575247043575</v>
      </c>
      <c r="L11" s="37">
        <f t="shared" si="0"/>
        <v>0.35726887791107975</v>
      </c>
      <c r="M11" s="37">
        <f t="shared" si="0"/>
        <v>0.4129853796572866</v>
      </c>
      <c r="N11" s="37">
        <f t="shared" si="0"/>
        <v>0.4878225572629748</v>
      </c>
      <c r="O11" s="37">
        <f t="shared" si="0"/>
        <v>0.47079037800687284</v>
      </c>
      <c r="P11" s="37">
        <f t="shared" si="0"/>
        <v>0.41473381930638392</v>
      </c>
      <c r="Q11" s="37">
        <f t="shared" si="0"/>
        <v>0.40100488864747419</v>
      </c>
      <c r="R11" s="37">
        <f t="shared" si="0"/>
        <v>0.46649395509499136</v>
      </c>
      <c r="S11" s="37">
        <f t="shared" si="0"/>
        <v>0.49989997999599922</v>
      </c>
      <c r="T11" s="37">
        <f t="shared" si="0"/>
        <v>0.45899445612693557</v>
      </c>
      <c r="U11" s="37">
        <f t="shared" si="0"/>
        <v>0.42684401451027809</v>
      </c>
      <c r="V11" s="37">
        <f t="shared" si="0"/>
        <v>0.57341463414634142</v>
      </c>
      <c r="W11" s="38"/>
      <c r="X11" s="38"/>
    </row>
    <row r="12" spans="1:24" ht="21.75" customHeight="1" x14ac:dyDescent="0.2">
      <c r="A12" s="29"/>
      <c r="B12" s="30"/>
      <c r="C12" s="31" t="s">
        <v>38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9"/>
      <c r="V12" s="39"/>
      <c r="W12" s="39"/>
      <c r="X12" s="39"/>
    </row>
    <row r="13" spans="1:24" ht="18.75" customHeight="1" x14ac:dyDescent="0.2">
      <c r="A13" s="146" t="s">
        <v>39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</row>
    <row r="14" spans="1:24" ht="18.75" customHeight="1" x14ac:dyDescent="0.2">
      <c r="A14" s="140" t="s">
        <v>40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</row>
    <row r="15" spans="1:24" ht="21.75" customHeight="1" x14ac:dyDescent="0.2">
      <c r="A15" s="29"/>
      <c r="B15" s="34" t="s">
        <v>41</v>
      </c>
      <c r="C15" s="35" t="s">
        <v>42</v>
      </c>
      <c r="D15" s="32">
        <v>2099</v>
      </c>
      <c r="E15" s="32">
        <v>1056</v>
      </c>
      <c r="F15" s="32">
        <v>1066</v>
      </c>
      <c r="G15" s="32">
        <v>1003</v>
      </c>
      <c r="H15" s="32">
        <v>982</v>
      </c>
      <c r="I15" s="32">
        <v>918</v>
      </c>
      <c r="J15" s="32">
        <v>940</v>
      </c>
      <c r="K15" s="32">
        <v>992</v>
      </c>
      <c r="L15" s="32">
        <v>834</v>
      </c>
      <c r="M15" s="32">
        <v>1075</v>
      </c>
      <c r="N15" s="32">
        <v>1330</v>
      </c>
      <c r="O15" s="32">
        <v>1269</v>
      </c>
      <c r="P15" s="32">
        <v>1445</v>
      </c>
      <c r="Q15" s="32">
        <v>1028</v>
      </c>
      <c r="R15" s="32">
        <v>910</v>
      </c>
      <c r="S15" s="32">
        <v>727</v>
      </c>
      <c r="T15" s="32">
        <v>642</v>
      </c>
      <c r="U15" s="36">
        <v>676</v>
      </c>
      <c r="V15" s="36">
        <v>725</v>
      </c>
      <c r="W15" s="36"/>
      <c r="X15" s="36"/>
    </row>
    <row r="16" spans="1:24" ht="21.75" customHeight="1" x14ac:dyDescent="0.2">
      <c r="A16" s="29"/>
      <c r="B16" s="40" t="s">
        <v>43</v>
      </c>
      <c r="C16" s="31" t="s">
        <v>33</v>
      </c>
      <c r="D16" s="32">
        <v>529357</v>
      </c>
      <c r="E16" s="32">
        <v>562632</v>
      </c>
      <c r="F16" s="32">
        <v>548814</v>
      </c>
      <c r="G16" s="32">
        <v>517837</v>
      </c>
      <c r="H16" s="32">
        <v>496341</v>
      </c>
      <c r="I16" s="32">
        <v>510097</v>
      </c>
      <c r="J16" s="32">
        <v>474672</v>
      </c>
      <c r="K16" s="32">
        <v>493429</v>
      </c>
      <c r="L16" s="32">
        <v>452535</v>
      </c>
      <c r="M16" s="32">
        <v>407414</v>
      </c>
      <c r="N16" s="32">
        <v>420104</v>
      </c>
      <c r="O16" s="32">
        <v>445144</v>
      </c>
      <c r="P16" s="32">
        <v>444231</v>
      </c>
      <c r="Q16" s="32">
        <v>456560</v>
      </c>
      <c r="R16" s="32">
        <v>468214</v>
      </c>
      <c r="S16" s="32">
        <v>447734</v>
      </c>
      <c r="T16" s="32">
        <v>439787</v>
      </c>
      <c r="U16" s="36">
        <v>410341</v>
      </c>
      <c r="V16" s="36">
        <v>380459</v>
      </c>
      <c r="W16" s="36"/>
      <c r="X16" s="36"/>
    </row>
    <row r="17" spans="1:24" ht="21.75" customHeight="1" x14ac:dyDescent="0.2">
      <c r="A17" s="29"/>
      <c r="B17" s="34" t="s">
        <v>44</v>
      </c>
      <c r="C17" s="35" t="s">
        <v>37</v>
      </c>
      <c r="D17" s="41">
        <v>0.191</v>
      </c>
      <c r="E17" s="41">
        <v>0.17100000000000001</v>
      </c>
      <c r="F17" s="41">
        <v>0.14199999999999999</v>
      </c>
      <c r="G17" s="41">
        <v>0.108</v>
      </c>
      <c r="H17" s="41">
        <v>0.128</v>
      </c>
      <c r="I17" s="41">
        <v>0.14899999999999999</v>
      </c>
      <c r="J17" s="41">
        <v>0.129</v>
      </c>
      <c r="K17" s="41">
        <v>0.13800000000000001</v>
      </c>
      <c r="L17" s="41">
        <v>0.11799999999999999</v>
      </c>
      <c r="M17" s="41">
        <v>0.14000000000000001</v>
      </c>
      <c r="N17" s="41">
        <v>0.157</v>
      </c>
      <c r="O17" s="41">
        <v>0.17</v>
      </c>
      <c r="P17" s="41">
        <v>0.20699999999999999</v>
      </c>
      <c r="Q17" s="41">
        <v>0.19500000000000001</v>
      </c>
      <c r="R17" s="41">
        <v>0.18</v>
      </c>
      <c r="S17" s="41">
        <v>0.16200000000000001</v>
      </c>
      <c r="T17" s="41">
        <v>0.128</v>
      </c>
      <c r="U17" s="38">
        <v>0.1676</v>
      </c>
      <c r="V17" s="38">
        <v>0.189</v>
      </c>
      <c r="W17" s="38"/>
      <c r="X17" s="38"/>
    </row>
    <row r="18" spans="1:24" ht="21.75" customHeight="1" x14ac:dyDescent="0.2">
      <c r="A18" s="29"/>
      <c r="B18" s="30" t="s">
        <v>45</v>
      </c>
      <c r="C18" s="31" t="s">
        <v>37</v>
      </c>
      <c r="D18" s="41">
        <v>5.3999999999999999E-2</v>
      </c>
      <c r="E18" s="41">
        <v>3.7999999999999999E-2</v>
      </c>
      <c r="F18" s="41">
        <v>5.1999999999999998E-2</v>
      </c>
      <c r="G18" s="41">
        <v>5.5E-2</v>
      </c>
      <c r="H18" s="41">
        <v>5.8999999999999997E-2</v>
      </c>
      <c r="I18" s="41">
        <v>0.05</v>
      </c>
      <c r="J18" s="41">
        <v>0.04</v>
      </c>
      <c r="K18" s="41">
        <v>5.0999999999999997E-2</v>
      </c>
      <c r="L18" s="41">
        <v>5.0999999999999997E-2</v>
      </c>
      <c r="M18" s="41">
        <v>6.5000000000000002E-2</v>
      </c>
      <c r="N18" s="41">
        <v>6.9000000000000006E-2</v>
      </c>
      <c r="O18" s="41">
        <v>0.08</v>
      </c>
      <c r="P18" s="41">
        <v>7.1999999999999995E-2</v>
      </c>
      <c r="Q18" s="41">
        <v>5.7000000000000002E-2</v>
      </c>
      <c r="R18" s="41">
        <v>5.0999999999999997E-2</v>
      </c>
      <c r="S18" s="41">
        <v>6.4000000000000001E-2</v>
      </c>
      <c r="T18" s="41">
        <v>6.7000000000000004E-2</v>
      </c>
      <c r="U18" s="38">
        <v>8.1900000000000001E-2</v>
      </c>
      <c r="V18" s="38">
        <v>8.8800000000000004E-2</v>
      </c>
      <c r="W18" s="38"/>
      <c r="X18" s="38"/>
    </row>
    <row r="19" spans="1:24" ht="18.75" customHeight="1" x14ac:dyDescent="0.2">
      <c r="A19" s="140" t="s">
        <v>46</v>
      </c>
      <c r="B19" s="137"/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</row>
    <row r="20" spans="1:24" ht="21.75" customHeight="1" x14ac:dyDescent="0.2">
      <c r="A20" s="29"/>
      <c r="B20" s="30" t="s">
        <v>47</v>
      </c>
      <c r="C20" s="31" t="s">
        <v>42</v>
      </c>
      <c r="D20" s="32">
        <v>1609</v>
      </c>
      <c r="E20" s="32">
        <v>993</v>
      </c>
      <c r="F20" s="32">
        <v>1252</v>
      </c>
      <c r="G20" s="32">
        <v>1112</v>
      </c>
      <c r="H20" s="32">
        <v>1145</v>
      </c>
      <c r="I20" s="32">
        <v>1029</v>
      </c>
      <c r="J20" s="32">
        <v>1124</v>
      </c>
      <c r="K20" s="32">
        <v>1285</v>
      </c>
      <c r="L20" s="32">
        <v>1084</v>
      </c>
      <c r="M20" s="32">
        <v>1370</v>
      </c>
      <c r="N20" s="32">
        <v>1802</v>
      </c>
      <c r="O20" s="32">
        <v>1880</v>
      </c>
      <c r="P20" s="32">
        <v>2038</v>
      </c>
      <c r="Q20" s="32">
        <v>1758</v>
      </c>
      <c r="R20" s="32">
        <v>1578</v>
      </c>
      <c r="S20" s="32">
        <v>1553</v>
      </c>
      <c r="T20" s="32">
        <v>1561</v>
      </c>
      <c r="U20" s="36">
        <v>1584</v>
      </c>
      <c r="V20" s="36">
        <v>1626</v>
      </c>
      <c r="W20" s="36"/>
      <c r="X20" s="36"/>
    </row>
    <row r="21" spans="1:24" ht="21.75" customHeight="1" x14ac:dyDescent="0.2">
      <c r="A21" s="29"/>
      <c r="B21" s="42" t="s">
        <v>48</v>
      </c>
      <c r="C21" s="35" t="s">
        <v>33</v>
      </c>
      <c r="D21" s="32">
        <v>593536</v>
      </c>
      <c r="E21" s="32">
        <v>599022</v>
      </c>
      <c r="F21" s="32">
        <v>581327</v>
      </c>
      <c r="G21" s="32">
        <v>561213</v>
      </c>
      <c r="H21" s="32">
        <v>553161</v>
      </c>
      <c r="I21" s="32">
        <v>530178</v>
      </c>
      <c r="J21" s="32">
        <v>550545</v>
      </c>
      <c r="K21" s="32">
        <v>514198</v>
      </c>
      <c r="L21" s="32">
        <v>499687</v>
      </c>
      <c r="M21" s="32">
        <v>488923</v>
      </c>
      <c r="N21" s="32">
        <v>482509</v>
      </c>
      <c r="O21" s="32">
        <v>505561</v>
      </c>
      <c r="P21" s="32">
        <v>523748</v>
      </c>
      <c r="Q21" s="32">
        <v>517664</v>
      </c>
      <c r="R21" s="32">
        <v>511189</v>
      </c>
      <c r="S21" s="32">
        <v>525722</v>
      </c>
      <c r="T21" s="32">
        <v>516131</v>
      </c>
      <c r="U21" s="36">
        <v>438668</v>
      </c>
      <c r="V21" s="36">
        <v>433600</v>
      </c>
      <c r="W21" s="36"/>
      <c r="X21" s="36"/>
    </row>
    <row r="22" spans="1:24" ht="21.75" customHeight="1" x14ac:dyDescent="0.2">
      <c r="A22" s="29"/>
      <c r="B22" s="30" t="s">
        <v>49</v>
      </c>
      <c r="C22" s="31" t="s">
        <v>37</v>
      </c>
      <c r="D22" s="41">
        <v>0.434</v>
      </c>
      <c r="E22" s="41">
        <v>0.48499999999999999</v>
      </c>
      <c r="F22" s="41">
        <v>0.54</v>
      </c>
      <c r="G22" s="41">
        <v>0.52600000000000002</v>
      </c>
      <c r="H22" s="41">
        <v>0.53800000000000003</v>
      </c>
      <c r="I22" s="41">
        <v>0.52900000000000003</v>
      </c>
      <c r="J22" s="41">
        <v>0.54500000000000004</v>
      </c>
      <c r="K22" s="41">
        <v>0.56399999999999995</v>
      </c>
      <c r="L22" s="41">
        <v>0.56499999999999995</v>
      </c>
      <c r="M22" s="41">
        <v>0.56000000000000005</v>
      </c>
      <c r="N22" s="41">
        <v>0.57499999999999996</v>
      </c>
      <c r="O22" s="41">
        <v>0.59699999999999998</v>
      </c>
      <c r="P22" s="41">
        <v>0.58499999999999996</v>
      </c>
      <c r="Q22" s="41">
        <v>0.63100000000000001</v>
      </c>
      <c r="R22" s="41">
        <v>0.63400000000000001</v>
      </c>
      <c r="S22" s="41">
        <v>0.68100000000000005</v>
      </c>
      <c r="T22" s="41">
        <v>0.70899999999999996</v>
      </c>
      <c r="U22" s="38">
        <v>0.70089999999999997</v>
      </c>
      <c r="V22" s="38">
        <v>0.69159999999999999</v>
      </c>
      <c r="W22" s="38"/>
      <c r="X22" s="38"/>
    </row>
    <row r="23" spans="1:24" ht="21.75" customHeight="1" x14ac:dyDescent="0.2">
      <c r="A23" s="29"/>
      <c r="B23" s="42" t="s">
        <v>50</v>
      </c>
      <c r="C23" s="35" t="s">
        <v>42</v>
      </c>
      <c r="D23" s="32">
        <v>208</v>
      </c>
      <c r="E23" s="32">
        <v>120</v>
      </c>
      <c r="F23" s="32">
        <v>136</v>
      </c>
      <c r="G23" s="32">
        <v>123</v>
      </c>
      <c r="H23" s="32">
        <v>116</v>
      </c>
      <c r="I23" s="32">
        <v>91</v>
      </c>
      <c r="J23" s="32">
        <v>95</v>
      </c>
      <c r="K23" s="32">
        <v>108</v>
      </c>
      <c r="L23" s="32">
        <v>127</v>
      </c>
      <c r="M23" s="32">
        <v>126</v>
      </c>
      <c r="N23" s="32">
        <v>204</v>
      </c>
      <c r="O23" s="32">
        <v>264</v>
      </c>
      <c r="P23" s="32">
        <v>227</v>
      </c>
      <c r="Q23" s="32">
        <v>256</v>
      </c>
      <c r="R23" s="32">
        <v>185</v>
      </c>
      <c r="S23" s="32">
        <v>203</v>
      </c>
      <c r="T23" s="32">
        <v>191</v>
      </c>
      <c r="U23" s="36">
        <v>395</v>
      </c>
      <c r="V23" s="36">
        <v>466</v>
      </c>
      <c r="W23" s="36"/>
      <c r="X23" s="36"/>
    </row>
    <row r="24" spans="1:24" ht="21.75" customHeight="1" x14ac:dyDescent="0.2">
      <c r="A24" s="29"/>
      <c r="B24" s="40" t="s">
        <v>51</v>
      </c>
      <c r="C24" s="31" t="s">
        <v>33</v>
      </c>
      <c r="D24" s="32">
        <v>580443</v>
      </c>
      <c r="E24" s="32">
        <v>516482</v>
      </c>
      <c r="F24" s="32">
        <v>520544</v>
      </c>
      <c r="G24" s="32">
        <v>506154</v>
      </c>
      <c r="H24" s="32">
        <v>444870</v>
      </c>
      <c r="I24" s="32">
        <v>544447</v>
      </c>
      <c r="J24" s="32">
        <v>553412</v>
      </c>
      <c r="K24" s="32">
        <v>551739</v>
      </c>
      <c r="L24" s="32">
        <v>502434</v>
      </c>
      <c r="M24" s="32">
        <v>487008</v>
      </c>
      <c r="N24" s="32">
        <v>515800</v>
      </c>
      <c r="O24" s="32">
        <v>515035</v>
      </c>
      <c r="P24" s="32">
        <v>565363</v>
      </c>
      <c r="Q24" s="32">
        <v>487576</v>
      </c>
      <c r="R24" s="32">
        <v>506915</v>
      </c>
      <c r="S24" s="32">
        <v>579616</v>
      </c>
      <c r="T24" s="32">
        <v>498816</v>
      </c>
      <c r="U24" s="36">
        <v>427919</v>
      </c>
      <c r="V24" s="36">
        <v>377650</v>
      </c>
      <c r="W24" s="36"/>
      <c r="X24" s="36"/>
    </row>
    <row r="25" spans="1:24" ht="21.75" customHeight="1" x14ac:dyDescent="0.2">
      <c r="A25" s="29"/>
      <c r="B25" s="42" t="s">
        <v>52</v>
      </c>
      <c r="C25" s="35" t="s">
        <v>42</v>
      </c>
      <c r="D25" s="32">
        <v>704</v>
      </c>
      <c r="E25" s="32">
        <v>459</v>
      </c>
      <c r="F25" s="32">
        <v>550</v>
      </c>
      <c r="G25" s="32">
        <v>374</v>
      </c>
      <c r="H25" s="32">
        <v>412</v>
      </c>
      <c r="I25" s="32">
        <v>338</v>
      </c>
      <c r="J25" s="32">
        <v>394</v>
      </c>
      <c r="K25" s="32">
        <v>393</v>
      </c>
      <c r="L25" s="32">
        <v>355</v>
      </c>
      <c r="M25" s="32">
        <v>478</v>
      </c>
      <c r="N25" s="32">
        <v>593</v>
      </c>
      <c r="O25" s="32">
        <v>654</v>
      </c>
      <c r="P25" s="32">
        <v>777</v>
      </c>
      <c r="Q25" s="32">
        <v>682</v>
      </c>
      <c r="R25" s="32">
        <v>681</v>
      </c>
      <c r="S25" s="32">
        <v>650</v>
      </c>
      <c r="T25" s="32">
        <v>584</v>
      </c>
      <c r="U25" s="36">
        <v>491</v>
      </c>
      <c r="V25" s="36">
        <v>476</v>
      </c>
      <c r="W25" s="36"/>
      <c r="X25" s="36"/>
    </row>
    <row r="26" spans="1:24" ht="21.75" customHeight="1" x14ac:dyDescent="0.2">
      <c r="A26" s="29"/>
      <c r="B26" s="40" t="s">
        <v>51</v>
      </c>
      <c r="C26" s="31" t="s">
        <v>33</v>
      </c>
      <c r="D26" s="32">
        <v>584820</v>
      </c>
      <c r="E26" s="32">
        <v>571884</v>
      </c>
      <c r="F26" s="32">
        <v>580070</v>
      </c>
      <c r="G26" s="32">
        <v>536181</v>
      </c>
      <c r="H26" s="32">
        <v>562449</v>
      </c>
      <c r="I26" s="32">
        <v>499206</v>
      </c>
      <c r="J26" s="32">
        <v>537405</v>
      </c>
      <c r="K26" s="32">
        <v>489004</v>
      </c>
      <c r="L26" s="32">
        <v>479740</v>
      </c>
      <c r="M26" s="32">
        <v>498779</v>
      </c>
      <c r="N26" s="32">
        <v>473184</v>
      </c>
      <c r="O26" s="32">
        <v>496771</v>
      </c>
      <c r="P26" s="32">
        <v>507713</v>
      </c>
      <c r="Q26" s="32">
        <v>521206</v>
      </c>
      <c r="R26" s="32">
        <v>507917</v>
      </c>
      <c r="S26" s="32">
        <v>512198</v>
      </c>
      <c r="T26" s="32">
        <v>532485</v>
      </c>
      <c r="U26" s="36">
        <v>450680</v>
      </c>
      <c r="V26" s="36">
        <v>448856</v>
      </c>
      <c r="W26" s="36"/>
      <c r="X26" s="36"/>
    </row>
    <row r="27" spans="1:24" ht="21.75" customHeight="1" x14ac:dyDescent="0.2">
      <c r="A27" s="29"/>
      <c r="B27" s="42" t="s">
        <v>53</v>
      </c>
      <c r="C27" s="35" t="s">
        <v>42</v>
      </c>
      <c r="D27" s="32">
        <v>697</v>
      </c>
      <c r="E27" s="32">
        <v>414</v>
      </c>
      <c r="F27" s="32">
        <v>566</v>
      </c>
      <c r="G27" s="32">
        <v>615</v>
      </c>
      <c r="H27" s="32">
        <v>617</v>
      </c>
      <c r="I27" s="32">
        <v>600</v>
      </c>
      <c r="J27" s="32">
        <v>635</v>
      </c>
      <c r="K27" s="32">
        <v>784</v>
      </c>
      <c r="L27" s="32">
        <v>602</v>
      </c>
      <c r="M27" s="32">
        <v>766</v>
      </c>
      <c r="N27" s="32">
        <v>1005</v>
      </c>
      <c r="O27" s="32">
        <v>962</v>
      </c>
      <c r="P27" s="32">
        <v>1034</v>
      </c>
      <c r="Q27" s="32">
        <v>820</v>
      </c>
      <c r="R27" s="32">
        <v>712</v>
      </c>
      <c r="S27" s="32">
        <v>700</v>
      </c>
      <c r="T27" s="32">
        <v>786</v>
      </c>
      <c r="U27" s="36">
        <v>698</v>
      </c>
      <c r="V27" s="36">
        <v>684</v>
      </c>
      <c r="W27" s="36"/>
      <c r="X27" s="36"/>
    </row>
    <row r="28" spans="1:24" ht="21.75" customHeight="1" x14ac:dyDescent="0.2">
      <c r="A28" s="29"/>
      <c r="B28" s="40" t="s">
        <v>51</v>
      </c>
      <c r="C28" s="31" t="s">
        <v>33</v>
      </c>
      <c r="D28" s="32">
        <v>606306</v>
      </c>
      <c r="E28" s="32">
        <v>636101</v>
      </c>
      <c r="F28" s="32">
        <v>593665</v>
      </c>
      <c r="G28" s="32">
        <v>587223</v>
      </c>
      <c r="H28" s="32">
        <v>566389</v>
      </c>
      <c r="I28" s="32">
        <v>543742</v>
      </c>
      <c r="J28" s="32">
        <v>554666</v>
      </c>
      <c r="K28" s="32">
        <v>521419</v>
      </c>
      <c r="L28" s="32">
        <v>510631</v>
      </c>
      <c r="M28" s="32">
        <v>481273</v>
      </c>
      <c r="N28" s="32">
        <v>480211</v>
      </c>
      <c r="O28" s="32">
        <v>506887</v>
      </c>
      <c r="P28" s="32">
        <v>525092</v>
      </c>
      <c r="Q28" s="32">
        <v>523625</v>
      </c>
      <c r="R28" s="32">
        <v>513235</v>
      </c>
      <c r="S28" s="32">
        <v>514169</v>
      </c>
      <c r="T28" s="32">
        <v>504044</v>
      </c>
      <c r="U28" s="36">
        <v>436911</v>
      </c>
      <c r="V28" s="36">
        <v>461102</v>
      </c>
      <c r="W28" s="36"/>
      <c r="X28" s="36"/>
    </row>
    <row r="29" spans="1:24" ht="18.75" customHeight="1" x14ac:dyDescent="0.2">
      <c r="A29" s="140" t="s">
        <v>54</v>
      </c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</row>
    <row r="30" spans="1:24" ht="21.75" customHeight="1" x14ac:dyDescent="0.2">
      <c r="A30" s="29"/>
      <c r="B30" s="30" t="s">
        <v>55</v>
      </c>
      <c r="C30" s="31" t="s">
        <v>42</v>
      </c>
      <c r="D30" s="32">
        <v>893</v>
      </c>
      <c r="E30" s="32">
        <v>635</v>
      </c>
      <c r="F30" s="32">
        <v>807</v>
      </c>
      <c r="G30" s="32">
        <v>744</v>
      </c>
      <c r="H30" s="32">
        <v>754</v>
      </c>
      <c r="I30" s="32">
        <v>670</v>
      </c>
      <c r="J30" s="32">
        <v>758</v>
      </c>
      <c r="K30" s="32">
        <v>917</v>
      </c>
      <c r="L30" s="32">
        <v>769</v>
      </c>
      <c r="M30" s="32">
        <v>970</v>
      </c>
      <c r="N30" s="32">
        <v>1295</v>
      </c>
      <c r="O30" s="32">
        <v>1335</v>
      </c>
      <c r="P30" s="32">
        <v>1434</v>
      </c>
      <c r="Q30" s="32">
        <v>1297</v>
      </c>
      <c r="R30" s="32">
        <v>1196</v>
      </c>
      <c r="S30" s="32">
        <v>1215</v>
      </c>
      <c r="T30" s="32">
        <v>1252</v>
      </c>
      <c r="U30" s="36">
        <v>1258</v>
      </c>
      <c r="V30" s="36">
        <v>1280</v>
      </c>
      <c r="W30" s="36"/>
      <c r="X30" s="36"/>
    </row>
    <row r="31" spans="1:24" ht="21.75" customHeight="1" x14ac:dyDescent="0.2">
      <c r="A31" s="29"/>
      <c r="B31" s="42" t="s">
        <v>56</v>
      </c>
      <c r="C31" s="35" t="s">
        <v>33</v>
      </c>
      <c r="D31" s="32">
        <v>626962</v>
      </c>
      <c r="E31" s="32">
        <v>629182</v>
      </c>
      <c r="F31" s="32">
        <v>598611</v>
      </c>
      <c r="G31" s="32">
        <v>590223</v>
      </c>
      <c r="H31" s="32">
        <v>585425</v>
      </c>
      <c r="I31" s="32">
        <v>555392</v>
      </c>
      <c r="J31" s="32">
        <v>578566</v>
      </c>
      <c r="K31" s="32">
        <v>559770</v>
      </c>
      <c r="L31" s="32">
        <v>515849</v>
      </c>
      <c r="M31" s="32">
        <v>518969</v>
      </c>
      <c r="N31" s="32">
        <v>505307</v>
      </c>
      <c r="O31" s="32">
        <v>538580</v>
      </c>
      <c r="P31" s="32">
        <v>559364</v>
      </c>
      <c r="Q31" s="32">
        <v>544671</v>
      </c>
      <c r="R31" s="32">
        <v>541038</v>
      </c>
      <c r="S31" s="32">
        <v>553226</v>
      </c>
      <c r="T31" s="32">
        <v>534522</v>
      </c>
      <c r="U31" s="36">
        <v>443642</v>
      </c>
      <c r="V31" s="36">
        <v>440961</v>
      </c>
      <c r="W31" s="36"/>
      <c r="X31" s="36"/>
    </row>
    <row r="32" spans="1:24" ht="21.75" customHeight="1" x14ac:dyDescent="0.2">
      <c r="A32" s="29"/>
      <c r="B32" s="30" t="s">
        <v>57</v>
      </c>
      <c r="C32" s="31" t="s">
        <v>58</v>
      </c>
      <c r="D32" s="32">
        <v>720380</v>
      </c>
      <c r="E32" s="32">
        <v>736036</v>
      </c>
      <c r="F32" s="32">
        <v>755899</v>
      </c>
      <c r="G32" s="32">
        <v>767863</v>
      </c>
      <c r="H32" s="32">
        <v>780860</v>
      </c>
      <c r="I32" s="32">
        <v>773057</v>
      </c>
      <c r="J32" s="32">
        <v>767234</v>
      </c>
      <c r="K32" s="32">
        <v>758348</v>
      </c>
      <c r="L32" s="32">
        <v>751369</v>
      </c>
      <c r="M32" s="32">
        <v>745530</v>
      </c>
      <c r="N32" s="32">
        <v>746054</v>
      </c>
      <c r="O32" s="32">
        <v>751135</v>
      </c>
      <c r="P32" s="32">
        <v>748857</v>
      </c>
      <c r="Q32" s="32">
        <v>748498</v>
      </c>
      <c r="R32" s="32">
        <v>745025</v>
      </c>
      <c r="S32" s="32">
        <v>751102</v>
      </c>
      <c r="T32" s="32">
        <v>756186</v>
      </c>
      <c r="U32" s="36">
        <v>804514</v>
      </c>
      <c r="V32" s="36">
        <v>804884</v>
      </c>
      <c r="W32" s="36"/>
      <c r="X32" s="36"/>
    </row>
    <row r="33" spans="1:24" ht="25.5" customHeight="1" x14ac:dyDescent="0.2">
      <c r="A33" s="145" t="s">
        <v>59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</row>
    <row r="34" spans="1:24" ht="18.75" customHeight="1" x14ac:dyDescent="0.2">
      <c r="A34" s="139" t="s">
        <v>60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</row>
    <row r="35" spans="1:24" ht="21.75" customHeight="1" x14ac:dyDescent="0.2">
      <c r="A35" s="45"/>
      <c r="B35" s="34" t="s">
        <v>61</v>
      </c>
      <c r="C35" s="35" t="s">
        <v>29</v>
      </c>
      <c r="D35" s="32">
        <v>1089475316</v>
      </c>
      <c r="E35" s="32">
        <v>499607370</v>
      </c>
      <c r="F35" s="32">
        <v>567134028</v>
      </c>
      <c r="G35" s="32">
        <v>528594128</v>
      </c>
      <c r="H35" s="32">
        <v>498208343</v>
      </c>
      <c r="I35" s="32">
        <v>543406694</v>
      </c>
      <c r="J35" s="32">
        <v>582713951</v>
      </c>
      <c r="K35" s="32">
        <v>511104206</v>
      </c>
      <c r="L35" s="32">
        <v>450806016</v>
      </c>
      <c r="M35" s="32">
        <v>563065588</v>
      </c>
      <c r="N35" s="32">
        <v>617168731</v>
      </c>
      <c r="O35" s="32">
        <v>797994010</v>
      </c>
      <c r="P35" s="32">
        <v>925450315</v>
      </c>
      <c r="Q35" s="32">
        <v>971109989</v>
      </c>
      <c r="R35" s="32">
        <v>549533678</v>
      </c>
      <c r="S35" s="32">
        <v>582438107</v>
      </c>
      <c r="T35" s="32">
        <v>504185071</v>
      </c>
      <c r="U35" s="33">
        <v>504778392</v>
      </c>
      <c r="V35" s="33">
        <v>451501662</v>
      </c>
      <c r="W35" s="33">
        <f>IFERROR(SUM('📅 DAILY T8'!G$6:I$36),0)</f>
        <v>0</v>
      </c>
      <c r="X35" s="33">
        <f>IFERROR(SUM('📅 DAILY T9'!G$6:I$35),0)</f>
        <v>0</v>
      </c>
    </row>
    <row r="36" spans="1:24" ht="21.75" customHeight="1" x14ac:dyDescent="0.2">
      <c r="A36" s="45"/>
      <c r="B36" s="40" t="s">
        <v>62</v>
      </c>
      <c r="C36" s="31" t="s">
        <v>29</v>
      </c>
      <c r="D36" s="32">
        <v>540944566</v>
      </c>
      <c r="E36" s="32">
        <v>268103870</v>
      </c>
      <c r="F36" s="32">
        <v>290563128</v>
      </c>
      <c r="G36" s="32">
        <v>254830500</v>
      </c>
      <c r="H36" s="32">
        <v>256470352</v>
      </c>
      <c r="I36" s="32">
        <v>260893480</v>
      </c>
      <c r="J36" s="32">
        <v>301482693</v>
      </c>
      <c r="K36" s="32">
        <v>261515520</v>
      </c>
      <c r="L36" s="32">
        <v>234853685</v>
      </c>
      <c r="M36" s="32">
        <v>292613845</v>
      </c>
      <c r="N36" s="32">
        <v>315279874</v>
      </c>
      <c r="O36" s="32">
        <v>425053629</v>
      </c>
      <c r="P36" s="32">
        <v>498976878</v>
      </c>
      <c r="Q36" s="32">
        <v>466415524</v>
      </c>
      <c r="R36" s="32">
        <v>273260815</v>
      </c>
      <c r="S36" s="32">
        <v>339489341</v>
      </c>
      <c r="T36" s="32">
        <v>266591829</v>
      </c>
      <c r="U36" s="33">
        <v>255247175</v>
      </c>
      <c r="V36" s="33">
        <v>228769573</v>
      </c>
      <c r="W36" s="33">
        <f>IFERROR(SUM('📅 DAILY T8'!G$6:G$36),0)</f>
        <v>0</v>
      </c>
      <c r="X36" s="33">
        <f>IFERROR(SUM('📅 DAILY T9'!G$6:G$35),0)</f>
        <v>0</v>
      </c>
    </row>
    <row r="37" spans="1:24" ht="21.75" customHeight="1" x14ac:dyDescent="0.2">
      <c r="A37" s="45"/>
      <c r="B37" s="42" t="s">
        <v>63</v>
      </c>
      <c r="C37" s="35" t="s">
        <v>29</v>
      </c>
      <c r="D37" s="32">
        <v>356945800</v>
      </c>
      <c r="E37" s="32">
        <v>145126500</v>
      </c>
      <c r="F37" s="32">
        <v>172657900</v>
      </c>
      <c r="G37" s="32">
        <v>176377128</v>
      </c>
      <c r="H37" s="32">
        <v>152411750</v>
      </c>
      <c r="I37" s="32">
        <v>181624920</v>
      </c>
      <c r="J37" s="32">
        <v>159269196</v>
      </c>
      <c r="K37" s="32">
        <v>153183571</v>
      </c>
      <c r="L37" s="32">
        <v>141817617</v>
      </c>
      <c r="M37" s="32">
        <v>176059491</v>
      </c>
      <c r="N37" s="32">
        <v>178778384</v>
      </c>
      <c r="O37" s="32">
        <v>210046402</v>
      </c>
      <c r="P37" s="32">
        <v>212730879</v>
      </c>
      <c r="Q37" s="32">
        <v>299922606</v>
      </c>
      <c r="R37" s="32">
        <v>150994415</v>
      </c>
      <c r="S37" s="32">
        <v>119328315</v>
      </c>
      <c r="T37" s="32">
        <v>125042886</v>
      </c>
      <c r="U37" s="33">
        <v>125740056</v>
      </c>
      <c r="V37" s="33">
        <v>114081091</v>
      </c>
      <c r="W37" s="33">
        <f>IFERROR(SUM('📅 DAILY T8'!H$6:H$36),0)</f>
        <v>0</v>
      </c>
      <c r="X37" s="33">
        <f>IFERROR(SUM('📅 DAILY T9'!H$6:H$35),0)</f>
        <v>0</v>
      </c>
    </row>
    <row r="38" spans="1:24" ht="21.75" customHeight="1" x14ac:dyDescent="0.2">
      <c r="A38" s="45"/>
      <c r="B38" s="40" t="s">
        <v>64</v>
      </c>
      <c r="C38" s="31" t="s">
        <v>29</v>
      </c>
      <c r="D38" s="32">
        <v>191584950</v>
      </c>
      <c r="E38" s="32">
        <v>86377000</v>
      </c>
      <c r="F38" s="32">
        <v>103913000</v>
      </c>
      <c r="G38" s="32">
        <v>97386500</v>
      </c>
      <c r="H38" s="32">
        <v>89326241</v>
      </c>
      <c r="I38" s="32">
        <v>100888294</v>
      </c>
      <c r="J38" s="32">
        <v>121962062</v>
      </c>
      <c r="K38" s="32">
        <v>96405115</v>
      </c>
      <c r="L38" s="32">
        <v>74134714</v>
      </c>
      <c r="M38" s="32">
        <v>94392252</v>
      </c>
      <c r="N38" s="32">
        <v>123110473</v>
      </c>
      <c r="O38" s="32">
        <v>162893979</v>
      </c>
      <c r="P38" s="32">
        <v>213742558</v>
      </c>
      <c r="Q38" s="32">
        <v>204771859</v>
      </c>
      <c r="R38" s="32">
        <v>125278448</v>
      </c>
      <c r="S38" s="32">
        <v>123620451</v>
      </c>
      <c r="T38" s="32">
        <v>112550356</v>
      </c>
      <c r="U38" s="33">
        <v>123791161</v>
      </c>
      <c r="V38" s="33">
        <v>108650998</v>
      </c>
      <c r="W38" s="33">
        <f>IFERROR(SUM('📅 DAILY T8'!I$6:I$36),0)</f>
        <v>0</v>
      </c>
      <c r="X38" s="33">
        <f>IFERROR(SUM('📅 DAILY T9'!I$6:I$35),0)</f>
        <v>0</v>
      </c>
    </row>
    <row r="39" spans="1:24" ht="21.75" customHeight="1" x14ac:dyDescent="0.2">
      <c r="A39" s="45"/>
      <c r="B39" s="34" t="s">
        <v>65</v>
      </c>
      <c r="C39" s="35" t="s">
        <v>31</v>
      </c>
      <c r="D39" s="32">
        <v>2635</v>
      </c>
      <c r="E39" s="32">
        <v>1242</v>
      </c>
      <c r="F39" s="32">
        <v>1571</v>
      </c>
      <c r="G39" s="32">
        <v>1512</v>
      </c>
      <c r="H39" s="32">
        <v>1566</v>
      </c>
      <c r="I39" s="32">
        <v>1602</v>
      </c>
      <c r="J39" s="32">
        <v>1752</v>
      </c>
      <c r="K39" s="32">
        <v>1643</v>
      </c>
      <c r="L39" s="32">
        <v>1510</v>
      </c>
      <c r="M39" s="32">
        <v>2061</v>
      </c>
      <c r="N39" s="32">
        <v>2296</v>
      </c>
      <c r="O39" s="32">
        <v>2690</v>
      </c>
      <c r="P39" s="32">
        <v>3020</v>
      </c>
      <c r="Q39" s="32">
        <v>2950</v>
      </c>
      <c r="R39" s="32">
        <v>1851</v>
      </c>
      <c r="S39" s="32">
        <v>1843</v>
      </c>
      <c r="T39" s="32">
        <v>1718</v>
      </c>
      <c r="U39" s="33">
        <v>1642</v>
      </c>
      <c r="V39" s="33">
        <v>1465</v>
      </c>
      <c r="W39" s="33">
        <f>IFERROR(SUM('📅 DAILY T8'!J$6:J$36),0)</f>
        <v>0</v>
      </c>
      <c r="X39" s="33">
        <f>IFERROR(SUM('📅 DAILY T9'!J$6:J$35),0)</f>
        <v>0</v>
      </c>
    </row>
    <row r="40" spans="1:24" ht="21.75" customHeight="1" x14ac:dyDescent="0.2">
      <c r="A40" s="45"/>
      <c r="B40" s="30" t="s">
        <v>66</v>
      </c>
      <c r="C40" s="31" t="s">
        <v>33</v>
      </c>
      <c r="D40" s="32">
        <v>413463</v>
      </c>
      <c r="E40" s="32">
        <v>402260</v>
      </c>
      <c r="F40" s="32">
        <v>361002</v>
      </c>
      <c r="G40" s="32">
        <v>349599</v>
      </c>
      <c r="H40" s="32">
        <v>318141</v>
      </c>
      <c r="I40" s="32">
        <v>339205</v>
      </c>
      <c r="J40" s="32">
        <v>332599</v>
      </c>
      <c r="K40" s="32">
        <v>311080</v>
      </c>
      <c r="L40" s="32">
        <v>298547</v>
      </c>
      <c r="M40" s="32">
        <v>273200</v>
      </c>
      <c r="N40" s="32">
        <v>268802</v>
      </c>
      <c r="O40" s="32">
        <v>296652</v>
      </c>
      <c r="P40" s="32">
        <v>306441</v>
      </c>
      <c r="Q40" s="32">
        <v>329190</v>
      </c>
      <c r="R40" s="32">
        <v>296885</v>
      </c>
      <c r="S40" s="32">
        <v>316027</v>
      </c>
      <c r="T40" s="32">
        <v>293472</v>
      </c>
      <c r="U40" s="33">
        <v>307417</v>
      </c>
      <c r="V40" s="33">
        <v>308192</v>
      </c>
      <c r="W40" s="33" t="str">
        <f>IFERROR(SUM('📅 DAILY T8'!M$6:M$36)/SUM('📅 DAILY T8'!J$6:J$36),"")</f>
        <v/>
      </c>
      <c r="X40" s="33" t="str">
        <f>IFERROR(SUM('📅 DAILY T9'!M$6:M$35)/SUM('📅 DAILY T9'!J$6:J$35),"")</f>
        <v/>
      </c>
    </row>
    <row r="41" spans="1:24" ht="18.75" customHeight="1" x14ac:dyDescent="0.2">
      <c r="A41" s="144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8"/>
    </row>
    <row r="42" spans="1:24" ht="18.75" customHeight="1" x14ac:dyDescent="0.2">
      <c r="A42" s="144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8"/>
    </row>
    <row r="43" spans="1:24" ht="21.75" customHeight="1" x14ac:dyDescent="0.2">
      <c r="A43" s="45"/>
      <c r="B43" s="34" t="s">
        <v>67</v>
      </c>
      <c r="C43" s="35" t="s">
        <v>42</v>
      </c>
      <c r="D43" s="32">
        <v>1636</v>
      </c>
      <c r="E43" s="32">
        <v>686</v>
      </c>
      <c r="F43" s="32">
        <v>795</v>
      </c>
      <c r="G43" s="32">
        <v>791</v>
      </c>
      <c r="H43" s="32">
        <v>776</v>
      </c>
      <c r="I43" s="32">
        <v>779</v>
      </c>
      <c r="J43" s="32">
        <v>832</v>
      </c>
      <c r="K43" s="32">
        <v>742</v>
      </c>
      <c r="L43" s="32">
        <v>743</v>
      </c>
      <c r="M43" s="32">
        <v>962</v>
      </c>
      <c r="N43" s="32">
        <v>1092</v>
      </c>
      <c r="O43" s="32">
        <v>1200</v>
      </c>
      <c r="P43" s="32">
        <v>1361</v>
      </c>
      <c r="Q43" s="32">
        <v>1339</v>
      </c>
      <c r="R43" s="32">
        <v>787</v>
      </c>
      <c r="S43" s="32">
        <v>726</v>
      </c>
      <c r="T43" s="32">
        <v>621</v>
      </c>
      <c r="U43" s="36">
        <v>576</v>
      </c>
      <c r="V43" s="36">
        <v>682</v>
      </c>
      <c r="W43" s="36"/>
      <c r="X43" s="36"/>
    </row>
    <row r="44" spans="1:24" ht="21.75" customHeight="1" x14ac:dyDescent="0.2">
      <c r="A44" s="45"/>
      <c r="B44" s="40" t="s">
        <v>68</v>
      </c>
      <c r="C44" s="31" t="s">
        <v>33</v>
      </c>
      <c r="D44" s="32">
        <v>449589</v>
      </c>
      <c r="E44" s="32">
        <v>441880</v>
      </c>
      <c r="F44" s="32">
        <v>382278</v>
      </c>
      <c r="G44" s="32">
        <v>371155</v>
      </c>
      <c r="H44" s="32">
        <v>330375</v>
      </c>
      <c r="I44" s="32">
        <v>370611</v>
      </c>
      <c r="J44" s="32">
        <v>369024</v>
      </c>
      <c r="K44" s="32">
        <v>342281</v>
      </c>
      <c r="L44" s="32">
        <v>315347</v>
      </c>
      <c r="M44" s="32">
        <v>315815</v>
      </c>
      <c r="N44" s="32">
        <v>298539</v>
      </c>
      <c r="O44" s="32">
        <v>334995</v>
      </c>
      <c r="P44" s="32">
        <v>328549</v>
      </c>
      <c r="Q44" s="32">
        <v>353965</v>
      </c>
      <c r="R44" s="32">
        <v>317978</v>
      </c>
      <c r="S44" s="32">
        <v>336963</v>
      </c>
      <c r="T44" s="32">
        <v>306399</v>
      </c>
      <c r="U44" s="36">
        <v>345626</v>
      </c>
      <c r="V44" s="36">
        <v>290440</v>
      </c>
      <c r="W44" s="36"/>
      <c r="X44" s="36"/>
    </row>
    <row r="45" spans="1:24" ht="21.75" customHeight="1" x14ac:dyDescent="0.2">
      <c r="A45" s="45"/>
      <c r="B45" s="34" t="s">
        <v>44</v>
      </c>
      <c r="C45" s="35" t="s">
        <v>37</v>
      </c>
      <c r="D45" s="41">
        <v>0.16</v>
      </c>
      <c r="E45" s="41">
        <v>0.14599999999999999</v>
      </c>
      <c r="F45" s="41">
        <v>0.14699999999999999</v>
      </c>
      <c r="G45" s="41">
        <v>0.123</v>
      </c>
      <c r="H45" s="41">
        <v>0.14299999999999999</v>
      </c>
      <c r="I45" s="41">
        <v>0.17199999999999999</v>
      </c>
      <c r="J45" s="41">
        <v>0.17799999999999999</v>
      </c>
      <c r="K45" s="41">
        <v>0.17699999999999999</v>
      </c>
      <c r="L45" s="41">
        <v>0.19500000000000001</v>
      </c>
      <c r="M45" s="41">
        <v>0.19400000000000001</v>
      </c>
      <c r="N45" s="41">
        <v>0.216</v>
      </c>
      <c r="O45" s="41">
        <v>0.25800000000000001</v>
      </c>
      <c r="P45" s="41">
        <v>0.222</v>
      </c>
      <c r="Q45" s="41">
        <v>0.26100000000000001</v>
      </c>
      <c r="R45" s="41">
        <v>0.23899999999999999</v>
      </c>
      <c r="S45" s="41">
        <v>0.17100000000000001</v>
      </c>
      <c r="T45" s="41">
        <v>0.14799999999999999</v>
      </c>
      <c r="U45" s="38">
        <v>0.17660000000000001</v>
      </c>
      <c r="V45" s="38">
        <v>0.18870000000000001</v>
      </c>
      <c r="W45" s="38"/>
      <c r="X45" s="38"/>
    </row>
    <row r="46" spans="1:24" ht="21.75" customHeight="1" x14ac:dyDescent="0.2">
      <c r="A46" s="45"/>
      <c r="B46" s="30" t="s">
        <v>45</v>
      </c>
      <c r="C46" s="31" t="s">
        <v>37</v>
      </c>
      <c r="D46" s="41">
        <v>6.2E-2</v>
      </c>
      <c r="E46" s="41">
        <v>2.9000000000000001E-2</v>
      </c>
      <c r="F46" s="41">
        <v>5.1999999999999998E-2</v>
      </c>
      <c r="G46" s="41">
        <v>5.5E-2</v>
      </c>
      <c r="H46" s="41">
        <v>4.5999999999999999E-2</v>
      </c>
      <c r="I46" s="41">
        <v>6.4000000000000001E-2</v>
      </c>
      <c r="J46" s="41">
        <v>7.1999999999999995E-2</v>
      </c>
      <c r="K46" s="41">
        <v>7.6999999999999999E-2</v>
      </c>
      <c r="L46" s="41">
        <v>7.0000000000000007E-2</v>
      </c>
      <c r="M46" s="41">
        <v>9.2999999999999999E-2</v>
      </c>
      <c r="N46" s="41">
        <v>0.08</v>
      </c>
      <c r="O46" s="41">
        <v>8.2000000000000003E-2</v>
      </c>
      <c r="P46" s="41">
        <v>8.2000000000000003E-2</v>
      </c>
      <c r="Q46" s="41">
        <v>5.1999999999999998E-2</v>
      </c>
      <c r="R46" s="41">
        <v>4.5999999999999999E-2</v>
      </c>
      <c r="S46" s="41">
        <v>8.3000000000000004E-2</v>
      </c>
      <c r="T46" s="41">
        <v>6.7000000000000004E-2</v>
      </c>
      <c r="U46" s="38">
        <v>6.4399999999999999E-2</v>
      </c>
      <c r="V46" s="38">
        <v>5.5599999999999997E-2</v>
      </c>
      <c r="W46" s="38"/>
      <c r="X46" s="38"/>
    </row>
    <row r="47" spans="1:24" ht="18.75" customHeight="1" x14ac:dyDescent="0.2">
      <c r="A47" s="140" t="s">
        <v>46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</row>
    <row r="48" spans="1:24" ht="21.75" customHeight="1" x14ac:dyDescent="0.2">
      <c r="A48" s="45"/>
      <c r="B48" s="30" t="s">
        <v>69</v>
      </c>
      <c r="C48" s="31" t="s">
        <v>42</v>
      </c>
      <c r="D48" s="32">
        <v>698</v>
      </c>
      <c r="E48" s="32">
        <v>360</v>
      </c>
      <c r="F48" s="32">
        <v>517</v>
      </c>
      <c r="G48" s="32">
        <v>490</v>
      </c>
      <c r="H48" s="32">
        <v>522</v>
      </c>
      <c r="I48" s="32">
        <v>571</v>
      </c>
      <c r="J48" s="32">
        <v>606</v>
      </c>
      <c r="K48" s="32">
        <v>615</v>
      </c>
      <c r="L48" s="32">
        <v>521</v>
      </c>
      <c r="M48" s="32">
        <v>687</v>
      </c>
      <c r="N48" s="32">
        <v>797</v>
      </c>
      <c r="O48" s="32">
        <v>982</v>
      </c>
      <c r="P48" s="32">
        <v>1108</v>
      </c>
      <c r="Q48" s="32">
        <v>1188</v>
      </c>
      <c r="R48" s="32">
        <v>764</v>
      </c>
      <c r="S48" s="32">
        <v>861</v>
      </c>
      <c r="T48" s="32">
        <v>809</v>
      </c>
      <c r="U48" s="36">
        <v>818</v>
      </c>
      <c r="V48" s="36">
        <v>783</v>
      </c>
      <c r="W48" s="36"/>
      <c r="X48" s="36"/>
    </row>
    <row r="49" spans="1:24" ht="21.75" customHeight="1" x14ac:dyDescent="0.2">
      <c r="A49" s="45"/>
      <c r="B49" s="42" t="s">
        <v>70</v>
      </c>
      <c r="C49" s="35" t="s">
        <v>33</v>
      </c>
      <c r="D49" s="32">
        <v>502669</v>
      </c>
      <c r="E49" s="32">
        <v>493986</v>
      </c>
      <c r="F49" s="32">
        <v>489091</v>
      </c>
      <c r="G49" s="32">
        <v>454087</v>
      </c>
      <c r="H49" s="32">
        <v>431867</v>
      </c>
      <c r="I49" s="32">
        <v>415129</v>
      </c>
      <c r="J49" s="32">
        <v>420144</v>
      </c>
      <c r="K49" s="32">
        <v>382586</v>
      </c>
      <c r="L49" s="32">
        <v>390207</v>
      </c>
      <c r="M49" s="32">
        <v>353715</v>
      </c>
      <c r="N49" s="32">
        <v>338830</v>
      </c>
      <c r="O49" s="32">
        <v>376777</v>
      </c>
      <c r="P49" s="32">
        <v>391634</v>
      </c>
      <c r="Q49" s="32">
        <v>402560</v>
      </c>
      <c r="R49" s="32">
        <v>369696</v>
      </c>
      <c r="S49" s="32">
        <v>381044</v>
      </c>
      <c r="T49" s="32">
        <v>366228</v>
      </c>
      <c r="U49" s="36">
        <v>327838</v>
      </c>
      <c r="V49" s="36">
        <v>323655</v>
      </c>
      <c r="W49" s="36"/>
      <c r="X49" s="36"/>
    </row>
    <row r="50" spans="1:24" ht="21.75" customHeight="1" x14ac:dyDescent="0.2">
      <c r="A50" s="45"/>
      <c r="B50" s="30" t="s">
        <v>71</v>
      </c>
      <c r="C50" s="31" t="s">
        <v>37</v>
      </c>
      <c r="D50" s="41">
        <v>0.29899999999999999</v>
      </c>
      <c r="E50" s="41">
        <v>0.34399999999999997</v>
      </c>
      <c r="F50" s="41">
        <v>0.39400000000000002</v>
      </c>
      <c r="G50" s="41">
        <v>0.38300000000000001</v>
      </c>
      <c r="H50" s="41">
        <v>0.40200000000000002</v>
      </c>
      <c r="I50" s="41">
        <v>0.42299999999999999</v>
      </c>
      <c r="J50" s="41">
        <v>0.42099999999999999</v>
      </c>
      <c r="K50" s="41">
        <v>0.45300000000000001</v>
      </c>
      <c r="L50" s="41">
        <v>0.41199999999999998</v>
      </c>
      <c r="M50" s="41">
        <v>0.41699999999999998</v>
      </c>
      <c r="N50" s="41">
        <v>0.42199999999999999</v>
      </c>
      <c r="O50" s="41">
        <v>0.45</v>
      </c>
      <c r="P50" s="41">
        <v>0.44900000000000001</v>
      </c>
      <c r="Q50" s="41">
        <v>0.47</v>
      </c>
      <c r="R50" s="41">
        <v>0.49299999999999999</v>
      </c>
      <c r="S50" s="41">
        <v>0.54300000000000004</v>
      </c>
      <c r="T50" s="41">
        <v>0.56599999999999995</v>
      </c>
      <c r="U50" s="38">
        <v>0.58679999999999999</v>
      </c>
      <c r="V50" s="38">
        <v>0.53449999999999998</v>
      </c>
      <c r="W50" s="38"/>
      <c r="X50" s="38"/>
    </row>
    <row r="51" spans="1:24" ht="21.75" customHeight="1" x14ac:dyDescent="0.2">
      <c r="A51" s="45"/>
      <c r="B51" s="42" t="s">
        <v>50</v>
      </c>
      <c r="C51" s="35" t="s">
        <v>42</v>
      </c>
      <c r="D51" s="32">
        <v>77</v>
      </c>
      <c r="E51" s="32">
        <v>66</v>
      </c>
      <c r="F51" s="32">
        <v>50</v>
      </c>
      <c r="G51" s="32">
        <v>58</v>
      </c>
      <c r="H51" s="32">
        <v>68</v>
      </c>
      <c r="I51" s="32">
        <v>81</v>
      </c>
      <c r="J51" s="32">
        <v>84</v>
      </c>
      <c r="K51" s="32">
        <v>99</v>
      </c>
      <c r="L51" s="32">
        <v>78</v>
      </c>
      <c r="M51" s="32">
        <v>91</v>
      </c>
      <c r="N51" s="32">
        <v>93</v>
      </c>
      <c r="O51" s="32">
        <v>135</v>
      </c>
      <c r="P51" s="32">
        <v>159</v>
      </c>
      <c r="Q51" s="32">
        <v>204</v>
      </c>
      <c r="R51" s="32">
        <v>85</v>
      </c>
      <c r="S51" s="32">
        <v>109</v>
      </c>
      <c r="T51" s="32">
        <v>93</v>
      </c>
      <c r="U51" s="36">
        <v>168</v>
      </c>
      <c r="V51" s="36">
        <v>188</v>
      </c>
      <c r="W51" s="36"/>
      <c r="X51" s="36"/>
    </row>
    <row r="52" spans="1:24" ht="21.75" customHeight="1" x14ac:dyDescent="0.2">
      <c r="A52" s="45"/>
      <c r="B52" s="40" t="s">
        <v>51</v>
      </c>
      <c r="C52" s="31" t="s">
        <v>33</v>
      </c>
      <c r="D52" s="32">
        <v>772562</v>
      </c>
      <c r="E52" s="32">
        <v>626734</v>
      </c>
      <c r="F52" s="32">
        <v>343740</v>
      </c>
      <c r="G52" s="32">
        <v>474534</v>
      </c>
      <c r="H52" s="32">
        <v>377264</v>
      </c>
      <c r="I52" s="32">
        <v>320401</v>
      </c>
      <c r="J52" s="32">
        <v>432409</v>
      </c>
      <c r="K52" s="32">
        <v>483220</v>
      </c>
      <c r="L52" s="32">
        <v>422123</v>
      </c>
      <c r="M52" s="32">
        <v>482900</v>
      </c>
      <c r="N52" s="32">
        <v>354030</v>
      </c>
      <c r="O52" s="32">
        <v>400730</v>
      </c>
      <c r="P52" s="32">
        <v>414917</v>
      </c>
      <c r="Q52" s="32">
        <v>333905</v>
      </c>
      <c r="R52" s="32">
        <v>462217</v>
      </c>
      <c r="S52" s="32">
        <v>422537</v>
      </c>
      <c r="T52" s="32">
        <v>349056</v>
      </c>
      <c r="U52" s="36">
        <v>306908</v>
      </c>
      <c r="V52" s="36">
        <v>297145</v>
      </c>
      <c r="W52" s="36"/>
      <c r="X52" s="36"/>
    </row>
    <row r="53" spans="1:24" ht="21.75" customHeight="1" x14ac:dyDescent="0.2">
      <c r="A53" s="45"/>
      <c r="B53" s="42" t="s">
        <v>52</v>
      </c>
      <c r="C53" s="35" t="s">
        <v>42</v>
      </c>
      <c r="D53" s="32">
        <v>286</v>
      </c>
      <c r="E53" s="32">
        <v>146</v>
      </c>
      <c r="F53" s="32">
        <v>234</v>
      </c>
      <c r="G53" s="32">
        <v>191</v>
      </c>
      <c r="H53" s="32">
        <v>182</v>
      </c>
      <c r="I53" s="32">
        <v>173</v>
      </c>
      <c r="J53" s="32">
        <v>203</v>
      </c>
      <c r="K53" s="32">
        <v>220</v>
      </c>
      <c r="L53" s="32">
        <v>198</v>
      </c>
      <c r="M53" s="32">
        <v>243</v>
      </c>
      <c r="N53" s="32">
        <v>287</v>
      </c>
      <c r="O53" s="32">
        <v>341</v>
      </c>
      <c r="P53" s="32">
        <v>406</v>
      </c>
      <c r="Q53" s="32">
        <v>413</v>
      </c>
      <c r="R53" s="32">
        <v>344</v>
      </c>
      <c r="S53" s="32">
        <v>359</v>
      </c>
      <c r="T53" s="32">
        <v>275</v>
      </c>
      <c r="U53" s="36">
        <v>252</v>
      </c>
      <c r="V53" s="36">
        <v>224</v>
      </c>
      <c r="W53" s="36"/>
      <c r="X53" s="36"/>
    </row>
    <row r="54" spans="1:24" ht="21.75" customHeight="1" x14ac:dyDescent="0.2">
      <c r="A54" s="45"/>
      <c r="B54" s="40" t="s">
        <v>51</v>
      </c>
      <c r="C54" s="31" t="s">
        <v>33</v>
      </c>
      <c r="D54" s="32">
        <v>448317</v>
      </c>
      <c r="E54" s="32">
        <v>416325</v>
      </c>
      <c r="F54" s="32">
        <v>430083</v>
      </c>
      <c r="G54" s="32">
        <v>413732</v>
      </c>
      <c r="H54" s="32">
        <v>349670</v>
      </c>
      <c r="I54" s="32">
        <v>328541</v>
      </c>
      <c r="J54" s="32">
        <v>341310</v>
      </c>
      <c r="K54" s="32">
        <v>328074</v>
      </c>
      <c r="L54" s="32">
        <v>336192</v>
      </c>
      <c r="M54" s="32">
        <v>304778</v>
      </c>
      <c r="N54" s="32">
        <v>282490</v>
      </c>
      <c r="O54" s="32">
        <v>326296</v>
      </c>
      <c r="P54" s="32">
        <v>340607</v>
      </c>
      <c r="Q54" s="32">
        <v>359946</v>
      </c>
      <c r="R54" s="32">
        <v>311915</v>
      </c>
      <c r="S54" s="32">
        <v>336999</v>
      </c>
      <c r="T54" s="32">
        <v>339629</v>
      </c>
      <c r="U54" s="36">
        <v>329485</v>
      </c>
      <c r="V54" s="36">
        <v>312768</v>
      </c>
      <c r="W54" s="36"/>
      <c r="X54" s="36"/>
    </row>
    <row r="55" spans="1:24" ht="21.75" customHeight="1" x14ac:dyDescent="0.2">
      <c r="A55" s="45"/>
      <c r="B55" s="42" t="s">
        <v>53</v>
      </c>
      <c r="C55" s="35" t="s">
        <v>42</v>
      </c>
      <c r="D55" s="32">
        <v>335</v>
      </c>
      <c r="E55" s="32">
        <v>148</v>
      </c>
      <c r="F55" s="32">
        <v>233</v>
      </c>
      <c r="G55" s="32">
        <v>241</v>
      </c>
      <c r="H55" s="32">
        <v>272</v>
      </c>
      <c r="I55" s="32">
        <v>317</v>
      </c>
      <c r="J55" s="32">
        <v>319</v>
      </c>
      <c r="K55" s="32">
        <v>296</v>
      </c>
      <c r="L55" s="32">
        <v>245</v>
      </c>
      <c r="M55" s="32">
        <v>353</v>
      </c>
      <c r="N55" s="32">
        <v>417</v>
      </c>
      <c r="O55" s="32">
        <v>506</v>
      </c>
      <c r="P55" s="32">
        <v>543</v>
      </c>
      <c r="Q55" s="32">
        <v>571</v>
      </c>
      <c r="R55" s="32">
        <v>335</v>
      </c>
      <c r="S55" s="32">
        <v>393</v>
      </c>
      <c r="T55" s="32">
        <v>441</v>
      </c>
      <c r="U55" s="36">
        <v>398</v>
      </c>
      <c r="V55" s="36">
        <v>371</v>
      </c>
      <c r="W55" s="36"/>
      <c r="X55" s="36"/>
    </row>
    <row r="56" spans="1:24" ht="21.75" customHeight="1" x14ac:dyDescent="0.2">
      <c r="A56" s="45"/>
      <c r="B56" s="40" t="s">
        <v>51</v>
      </c>
      <c r="C56" s="31" t="s">
        <v>33</v>
      </c>
      <c r="D56" s="32">
        <v>487036</v>
      </c>
      <c r="E56" s="32">
        <v>511400</v>
      </c>
      <c r="F56" s="32">
        <v>493220</v>
      </c>
      <c r="G56" s="32">
        <v>426108</v>
      </c>
      <c r="H56" s="32">
        <v>429441</v>
      </c>
      <c r="I56" s="32">
        <v>428227</v>
      </c>
      <c r="J56" s="32">
        <v>402582</v>
      </c>
      <c r="K56" s="32">
        <v>389444</v>
      </c>
      <c r="L56" s="32">
        <v>366995</v>
      </c>
      <c r="M56" s="32">
        <v>354100</v>
      </c>
      <c r="N56" s="32">
        <v>329327</v>
      </c>
      <c r="O56" s="32">
        <v>356382</v>
      </c>
      <c r="P56" s="32">
        <v>369487</v>
      </c>
      <c r="Q56" s="32">
        <v>393484</v>
      </c>
      <c r="R56" s="32">
        <v>346001</v>
      </c>
      <c r="S56" s="32">
        <v>373400</v>
      </c>
      <c r="T56" s="32">
        <v>335357</v>
      </c>
      <c r="U56" s="36">
        <v>336422</v>
      </c>
      <c r="V56" s="36">
        <v>343662</v>
      </c>
      <c r="W56" s="36"/>
      <c r="X56" s="36"/>
    </row>
    <row r="57" spans="1:24" ht="18.75" customHeight="1" x14ac:dyDescent="0.2">
      <c r="A57" s="140" t="s">
        <v>54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</row>
    <row r="58" spans="1:24" ht="21.75" customHeight="1" x14ac:dyDescent="0.2">
      <c r="A58" s="45"/>
      <c r="B58" s="30" t="s">
        <v>72</v>
      </c>
      <c r="C58" s="31" t="s">
        <v>42</v>
      </c>
      <c r="D58" s="32">
        <v>316</v>
      </c>
      <c r="E58" s="32">
        <v>174</v>
      </c>
      <c r="F58" s="32">
        <v>263</v>
      </c>
      <c r="G58" s="32">
        <v>282</v>
      </c>
      <c r="H58" s="32">
        <v>294</v>
      </c>
      <c r="I58" s="32">
        <v>326</v>
      </c>
      <c r="J58" s="32">
        <v>356</v>
      </c>
      <c r="K58" s="32">
        <v>380</v>
      </c>
      <c r="L58" s="32">
        <v>321</v>
      </c>
      <c r="M58" s="32">
        <v>423</v>
      </c>
      <c r="N58" s="32">
        <v>466</v>
      </c>
      <c r="O58" s="32">
        <v>616</v>
      </c>
      <c r="P58" s="32">
        <v>660</v>
      </c>
      <c r="Q58" s="32">
        <v>728</v>
      </c>
      <c r="R58" s="32">
        <v>487</v>
      </c>
      <c r="S58" s="32">
        <v>561</v>
      </c>
      <c r="T58" s="32">
        <v>545</v>
      </c>
      <c r="U58" s="36">
        <v>579</v>
      </c>
      <c r="V58" s="36">
        <v>548</v>
      </c>
      <c r="W58" s="36"/>
      <c r="X58" s="36"/>
    </row>
    <row r="59" spans="1:24" ht="21.75" customHeight="1" x14ac:dyDescent="0.2">
      <c r="A59" s="45"/>
      <c r="B59" s="42" t="s">
        <v>56</v>
      </c>
      <c r="C59" s="35" t="s">
        <v>33</v>
      </c>
      <c r="D59" s="32">
        <v>568478</v>
      </c>
      <c r="E59" s="32">
        <v>560642</v>
      </c>
      <c r="F59" s="32">
        <v>576787</v>
      </c>
      <c r="G59" s="32">
        <v>508265</v>
      </c>
      <c r="H59" s="32">
        <v>495984</v>
      </c>
      <c r="I59" s="32">
        <v>493393</v>
      </c>
      <c r="J59" s="32">
        <v>499735</v>
      </c>
      <c r="K59" s="32">
        <v>436487</v>
      </c>
      <c r="L59" s="32">
        <v>438104</v>
      </c>
      <c r="M59" s="32">
        <v>412222</v>
      </c>
      <c r="N59" s="32">
        <v>387999</v>
      </c>
      <c r="O59" s="32">
        <v>435587</v>
      </c>
      <c r="P59" s="32">
        <v>444641</v>
      </c>
      <c r="Q59" s="32">
        <v>442207</v>
      </c>
      <c r="R59" s="32">
        <v>403039</v>
      </c>
      <c r="S59" s="32">
        <v>418389</v>
      </c>
      <c r="T59" s="32">
        <v>404222</v>
      </c>
      <c r="U59" s="36">
        <v>331118</v>
      </c>
      <c r="V59" s="36">
        <v>319550</v>
      </c>
      <c r="W59" s="36"/>
      <c r="X59" s="36"/>
    </row>
    <row r="60" spans="1:24" ht="21.75" customHeight="1" x14ac:dyDescent="0.2">
      <c r="A60" s="45"/>
      <c r="B60" s="30" t="s">
        <v>73</v>
      </c>
      <c r="C60" s="31" t="s">
        <v>58</v>
      </c>
      <c r="D60" s="32">
        <v>641895</v>
      </c>
      <c r="E60" s="32">
        <v>643908</v>
      </c>
      <c r="F60" s="32">
        <v>646403</v>
      </c>
      <c r="G60" s="32">
        <v>646525</v>
      </c>
      <c r="H60" s="32">
        <v>643954</v>
      </c>
      <c r="I60" s="32">
        <v>625594</v>
      </c>
      <c r="J60" s="32">
        <v>609044</v>
      </c>
      <c r="K60" s="32">
        <v>592216</v>
      </c>
      <c r="L60" s="32">
        <v>577597</v>
      </c>
      <c r="M60" s="32">
        <v>560469</v>
      </c>
      <c r="N60" s="32">
        <v>543210</v>
      </c>
      <c r="O60" s="32">
        <v>533502</v>
      </c>
      <c r="P60" s="32">
        <v>518249</v>
      </c>
      <c r="Q60" s="32">
        <v>518879</v>
      </c>
      <c r="R60" s="32">
        <v>512503</v>
      </c>
      <c r="S60" s="32">
        <v>512762</v>
      </c>
      <c r="T60" s="32">
        <v>513456</v>
      </c>
      <c r="U60" s="36">
        <v>496795</v>
      </c>
      <c r="V60" s="36">
        <v>495113</v>
      </c>
      <c r="W60" s="36"/>
      <c r="X60" s="36"/>
    </row>
    <row r="61" spans="1:24" ht="49.5" customHeight="1" x14ac:dyDescent="0.2">
      <c r="A61" s="43" t="s">
        <v>74</v>
      </c>
    </row>
    <row r="62" spans="1:24" ht="33" customHeight="1" x14ac:dyDescent="0.2">
      <c r="A62" s="44" t="s">
        <v>75</v>
      </c>
    </row>
    <row r="63" spans="1:24" ht="21.75" customHeight="1" x14ac:dyDescent="0.2">
      <c r="A63" s="45"/>
      <c r="B63" s="34" t="s">
        <v>76</v>
      </c>
      <c r="C63" s="35" t="s">
        <v>29</v>
      </c>
      <c r="D63" s="32">
        <v>87240654</v>
      </c>
      <c r="E63" s="32">
        <v>65243000</v>
      </c>
      <c r="F63" s="32">
        <v>62782000</v>
      </c>
      <c r="G63" s="32">
        <v>43304000</v>
      </c>
      <c r="H63" s="32">
        <v>39079544</v>
      </c>
      <c r="I63" s="32">
        <v>52499000</v>
      </c>
      <c r="J63" s="32">
        <v>22881034</v>
      </c>
      <c r="K63" s="32">
        <v>51224832</v>
      </c>
      <c r="L63" s="32">
        <v>34352665</v>
      </c>
      <c r="M63" s="32">
        <v>77261699</v>
      </c>
      <c r="N63" s="32">
        <v>130425056</v>
      </c>
      <c r="O63" s="32">
        <v>122721120</v>
      </c>
      <c r="P63" s="32">
        <v>71258374</v>
      </c>
      <c r="Q63" s="32">
        <v>57202615</v>
      </c>
      <c r="R63" s="32">
        <v>65655752</v>
      </c>
      <c r="S63" s="32">
        <v>29404244</v>
      </c>
      <c r="T63" s="32">
        <v>22943316</v>
      </c>
      <c r="U63" s="33">
        <v>27162334</v>
      </c>
      <c r="V63" s="33">
        <v>34646799</v>
      </c>
      <c r="W63" s="33"/>
      <c r="X63" s="33"/>
    </row>
    <row r="64" spans="1:24" ht="21.75" customHeight="1" x14ac:dyDescent="0.2">
      <c r="A64" s="45"/>
      <c r="B64" s="34" t="s">
        <v>77</v>
      </c>
      <c r="C64" s="35" t="s">
        <v>37</v>
      </c>
      <c r="D64" s="41">
        <v>2.76E-2</v>
      </c>
      <c r="E64" s="41">
        <v>3.8600000000000002E-2</v>
      </c>
      <c r="F64" s="41">
        <v>3.3399999999999999E-2</v>
      </c>
      <c r="G64" s="41">
        <v>2.5899999999999999E-2</v>
      </c>
      <c r="H64" s="41">
        <v>2.41E-2</v>
      </c>
      <c r="I64" s="41">
        <v>3.3700000000000001E-2</v>
      </c>
      <c r="J64" s="41">
        <v>1.3899999999999999E-2</v>
      </c>
      <c r="K64" s="41">
        <v>3.0800000000000001E-2</v>
      </c>
      <c r="L64" s="41">
        <v>2.5100000000000001E-2</v>
      </c>
      <c r="M64" s="41">
        <v>4.6199999999999998E-2</v>
      </c>
      <c r="N64" s="41">
        <v>6.3799999999999996E-2</v>
      </c>
      <c r="O64" s="41">
        <v>5.2999999999999999E-2</v>
      </c>
      <c r="P64" s="41">
        <v>2.7E-2</v>
      </c>
      <c r="Q64" s="41">
        <v>2.4299999999999999E-2</v>
      </c>
      <c r="R64" s="41">
        <v>3.6799999999999999E-2</v>
      </c>
      <c r="S64" s="41">
        <v>1.7000000000000001E-2</v>
      </c>
      <c r="T64" s="41">
        <v>1.44E-2</v>
      </c>
      <c r="U64" s="46">
        <v>1.7000000000000001E-2</v>
      </c>
      <c r="V64" s="46">
        <v>2.4199999999999999E-2</v>
      </c>
      <c r="W64" s="33"/>
      <c r="X64" s="33"/>
    </row>
    <row r="65" spans="1:24" ht="21.75" customHeight="1" x14ac:dyDescent="0.2"/>
    <row r="66" spans="1:24" ht="21.75" customHeight="1" x14ac:dyDescent="0.2">
      <c r="A66" s="47" t="s">
        <v>78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</row>
    <row r="67" spans="1:24" ht="21.75" customHeight="1" x14ac:dyDescent="0.2">
      <c r="A67" s="49" t="s">
        <v>79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</row>
    <row r="68" spans="1:24" ht="21.75" customHeight="1" x14ac:dyDescent="0.2">
      <c r="A68" s="50"/>
      <c r="B68" s="34" t="s">
        <v>80</v>
      </c>
      <c r="C68" s="35" t="s">
        <v>29</v>
      </c>
      <c r="D68" s="32">
        <v>3155596416</v>
      </c>
      <c r="E68" s="32">
        <v>1688596770</v>
      </c>
      <c r="F68" s="32">
        <v>1879993928</v>
      </c>
      <c r="G68" s="32">
        <v>1672055128</v>
      </c>
      <c r="H68" s="32">
        <v>1618985453</v>
      </c>
      <c r="I68" s="32">
        <v>1557229608</v>
      </c>
      <c r="J68" s="32">
        <v>1647719432</v>
      </c>
      <c r="K68" s="32">
        <v>1661331245</v>
      </c>
      <c r="L68" s="32">
        <v>1369882071</v>
      </c>
      <c r="M68" s="32">
        <v>1670861597</v>
      </c>
      <c r="N68" s="32">
        <v>2045388728</v>
      </c>
      <c r="O68" s="32">
        <v>2313338249</v>
      </c>
      <c r="P68" s="32">
        <v>2634804956</v>
      </c>
      <c r="Q68" s="32">
        <v>2350507605</v>
      </c>
      <c r="R68" s="32">
        <v>1782266684</v>
      </c>
      <c r="S68" s="32">
        <v>1724768091</v>
      </c>
      <c r="T68" s="32">
        <v>1592209491</v>
      </c>
      <c r="U68" s="33">
        <v>1593519594</v>
      </c>
      <c r="V68" s="33">
        <v>1432368194</v>
      </c>
      <c r="W68" s="33">
        <f>IFERROR(SUM('📅 DAILY T8'!C$6:C$36)+SUM('📅 DAILY T8'!G$6:I$36),0)</f>
        <v>0</v>
      </c>
      <c r="X68" s="33">
        <f>IFERROR(SUM('📅 DAILY T9'!C$6:C$35)+SUM('📅 DAILY T9'!G$6:I$35),0)</f>
        <v>0</v>
      </c>
    </row>
    <row r="69" spans="1:24" ht="18.75" customHeight="1" x14ac:dyDescent="0.2">
      <c r="A69" s="136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8"/>
    </row>
    <row r="70" spans="1:24" ht="21.75" customHeight="1" x14ac:dyDescent="0.2">
      <c r="A70" s="50"/>
      <c r="B70" s="34" t="s">
        <v>81</v>
      </c>
      <c r="C70" s="35" t="s">
        <v>38</v>
      </c>
      <c r="D70" s="51">
        <v>1.1000000000000001</v>
      </c>
      <c r="E70" s="51">
        <v>1.1100000000000001</v>
      </c>
      <c r="F70" s="51">
        <v>1.1299999999999999</v>
      </c>
      <c r="G70" s="51">
        <v>1.1200000000000001</v>
      </c>
      <c r="H70" s="51">
        <v>1.1299999999999999</v>
      </c>
      <c r="I70" s="51">
        <v>1.1200000000000001</v>
      </c>
      <c r="J70" s="51">
        <v>1.1299999999999999</v>
      </c>
      <c r="K70" s="51">
        <v>1.1299999999999999</v>
      </c>
      <c r="L70" s="51">
        <v>1.1200000000000001</v>
      </c>
      <c r="M70" s="51">
        <v>1.1499999999999999</v>
      </c>
      <c r="N70" s="51">
        <v>1.1399999999999999</v>
      </c>
      <c r="O70" s="51">
        <v>1.1499999999999999</v>
      </c>
      <c r="P70" s="51">
        <v>1.1299999999999999</v>
      </c>
      <c r="Q70" s="51">
        <v>1.1200000000000001</v>
      </c>
      <c r="R70" s="51">
        <v>1.1399999999999999</v>
      </c>
      <c r="S70" s="51">
        <v>1.1299999999999999</v>
      </c>
      <c r="T70" s="51">
        <v>1.1299999999999999</v>
      </c>
      <c r="U70" s="39">
        <v>1.1299999999999999</v>
      </c>
      <c r="V70" s="39">
        <v>1.1399999999999999</v>
      </c>
      <c r="W70" s="39"/>
      <c r="X70" s="39"/>
    </row>
    <row r="71" spans="1:24" ht="21.75" customHeight="1" x14ac:dyDescent="0.2">
      <c r="A71" s="50"/>
      <c r="B71" s="30" t="s">
        <v>82</v>
      </c>
      <c r="C71" s="31" t="s">
        <v>42</v>
      </c>
      <c r="D71" s="32">
        <v>3764</v>
      </c>
      <c r="E71" s="32">
        <v>5005</v>
      </c>
      <c r="F71" s="32">
        <v>6609</v>
      </c>
      <c r="G71" s="32">
        <v>7096</v>
      </c>
      <c r="H71" s="32">
        <v>7928</v>
      </c>
      <c r="I71" s="32">
        <v>8606</v>
      </c>
      <c r="J71" s="32">
        <v>9262</v>
      </c>
      <c r="K71" s="32">
        <v>9813</v>
      </c>
      <c r="L71" s="32">
        <v>10509</v>
      </c>
      <c r="M71" s="32">
        <v>11154</v>
      </c>
      <c r="N71" s="32">
        <v>11228</v>
      </c>
      <c r="O71" s="32">
        <v>11608</v>
      </c>
      <c r="P71" s="32">
        <v>12361</v>
      </c>
      <c r="Q71" s="32">
        <v>13046</v>
      </c>
      <c r="R71" s="32">
        <v>14587</v>
      </c>
      <c r="S71" s="32">
        <v>16222</v>
      </c>
      <c r="T71" s="32">
        <v>16877</v>
      </c>
      <c r="U71" s="36">
        <v>19281</v>
      </c>
      <c r="V71" s="36">
        <v>18356</v>
      </c>
      <c r="W71" s="36"/>
      <c r="X71" s="36"/>
    </row>
    <row r="72" spans="1:24" ht="21.75" customHeight="1" x14ac:dyDescent="0.2">
      <c r="A72" s="50"/>
      <c r="B72" s="34" t="s">
        <v>83</v>
      </c>
      <c r="C72" s="35" t="s">
        <v>42</v>
      </c>
      <c r="D72" s="32">
        <v>0</v>
      </c>
      <c r="E72" s="32">
        <v>354</v>
      </c>
      <c r="F72" s="32">
        <v>552</v>
      </c>
      <c r="G72" s="32">
        <v>670</v>
      </c>
      <c r="H72" s="32">
        <v>628</v>
      </c>
      <c r="I72" s="32">
        <v>659</v>
      </c>
      <c r="J72" s="32">
        <v>703</v>
      </c>
      <c r="K72" s="32">
        <v>822</v>
      </c>
      <c r="L72" s="32">
        <v>640</v>
      </c>
      <c r="M72" s="32">
        <v>839</v>
      </c>
      <c r="N72" s="32">
        <v>1043</v>
      </c>
      <c r="O72" s="32">
        <v>1045</v>
      </c>
      <c r="P72" s="32">
        <v>1104</v>
      </c>
      <c r="Q72" s="32">
        <v>1117</v>
      </c>
      <c r="R72" s="32">
        <v>823</v>
      </c>
      <c r="S72" s="32">
        <v>895</v>
      </c>
      <c r="T72" s="32">
        <v>1020</v>
      </c>
      <c r="U72" s="36">
        <v>984</v>
      </c>
      <c r="V72" s="36">
        <v>1320</v>
      </c>
      <c r="W72" s="36"/>
      <c r="X72" s="36"/>
    </row>
    <row r="73" spans="1:24" ht="21.75" customHeight="1" x14ac:dyDescent="0.2">
      <c r="A73" s="50"/>
      <c r="B73" s="30" t="s">
        <v>84</v>
      </c>
      <c r="C73" s="31" t="s">
        <v>85</v>
      </c>
      <c r="D73" s="52">
        <v>58</v>
      </c>
      <c r="E73" s="52">
        <v>60</v>
      </c>
      <c r="F73" s="52">
        <v>62</v>
      </c>
      <c r="G73" s="52">
        <v>65</v>
      </c>
      <c r="H73" s="52">
        <v>68</v>
      </c>
      <c r="I73" s="52">
        <v>71</v>
      </c>
      <c r="J73" s="52">
        <v>74</v>
      </c>
      <c r="K73" s="52">
        <v>77</v>
      </c>
      <c r="L73" s="52">
        <v>80</v>
      </c>
      <c r="M73" s="52">
        <v>83</v>
      </c>
      <c r="N73" s="52">
        <v>86</v>
      </c>
      <c r="O73" s="52">
        <v>89</v>
      </c>
      <c r="P73" s="52">
        <v>93</v>
      </c>
      <c r="Q73" s="52">
        <v>95</v>
      </c>
      <c r="R73" s="52">
        <v>96</v>
      </c>
      <c r="S73" s="52">
        <v>97</v>
      </c>
      <c r="T73" s="52">
        <v>98</v>
      </c>
      <c r="U73" s="53">
        <v>99</v>
      </c>
      <c r="V73" s="53">
        <v>101</v>
      </c>
      <c r="W73" s="53"/>
      <c r="X73" s="53"/>
    </row>
    <row r="74" spans="1:24" ht="25.5" customHeight="1" x14ac:dyDescent="0.2">
      <c r="A74" s="148" t="s">
        <v>86</v>
      </c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</row>
    <row r="75" spans="1:24" ht="21.75" customHeight="1" x14ac:dyDescent="0.2">
      <c r="A75" s="50"/>
      <c r="B75" s="40" t="s">
        <v>87</v>
      </c>
      <c r="C75" s="31" t="s">
        <v>58</v>
      </c>
      <c r="D75" s="32">
        <v>854166</v>
      </c>
      <c r="E75" s="32">
        <v>867740</v>
      </c>
      <c r="F75" s="32">
        <v>885205</v>
      </c>
      <c r="G75" s="32">
        <v>896218</v>
      </c>
      <c r="H75" s="32">
        <v>906167</v>
      </c>
      <c r="I75" s="32">
        <v>913413</v>
      </c>
      <c r="J75" s="32">
        <v>921336</v>
      </c>
      <c r="K75" s="32">
        <v>930073</v>
      </c>
      <c r="L75" s="32">
        <v>935217</v>
      </c>
      <c r="M75" s="32">
        <v>938756</v>
      </c>
      <c r="N75" s="32">
        <v>944689</v>
      </c>
      <c r="O75" s="32">
        <v>954722</v>
      </c>
      <c r="P75" s="32">
        <v>964715</v>
      </c>
      <c r="Q75" s="32">
        <v>976110</v>
      </c>
      <c r="R75" s="32">
        <v>985971</v>
      </c>
      <c r="S75" s="32">
        <v>997893</v>
      </c>
      <c r="T75" s="32">
        <v>1010217</v>
      </c>
      <c r="U75" s="36">
        <v>1014219</v>
      </c>
      <c r="V75" s="36">
        <v>1021853</v>
      </c>
      <c r="W75" s="36"/>
      <c r="X75" s="36"/>
    </row>
    <row r="76" spans="1:24" ht="21.75" customHeight="1" x14ac:dyDescent="0.2">
      <c r="A76" s="50"/>
      <c r="B76" s="42" t="s">
        <v>88</v>
      </c>
      <c r="C76" s="35" t="s">
        <v>58</v>
      </c>
      <c r="D76" s="32">
        <v>649776</v>
      </c>
      <c r="E76" s="32">
        <v>653034</v>
      </c>
      <c r="F76" s="32">
        <v>656527</v>
      </c>
      <c r="G76" s="32">
        <v>656372</v>
      </c>
      <c r="H76" s="32">
        <v>654539</v>
      </c>
      <c r="I76" s="32">
        <v>655579</v>
      </c>
      <c r="J76" s="32">
        <v>656930</v>
      </c>
      <c r="K76" s="32">
        <v>657134</v>
      </c>
      <c r="L76" s="32">
        <v>654379</v>
      </c>
      <c r="M76" s="32">
        <v>649380</v>
      </c>
      <c r="N76" s="32">
        <v>643032</v>
      </c>
      <c r="O76" s="32">
        <v>643077</v>
      </c>
      <c r="P76" s="32">
        <v>643489</v>
      </c>
      <c r="Q76" s="32">
        <v>647444</v>
      </c>
      <c r="R76" s="32">
        <v>648524</v>
      </c>
      <c r="S76" s="32">
        <v>652853</v>
      </c>
      <c r="T76" s="32">
        <v>656021</v>
      </c>
      <c r="U76" s="36">
        <v>647229</v>
      </c>
      <c r="V76" s="36">
        <v>651168</v>
      </c>
      <c r="W76" s="36"/>
      <c r="X76" s="36"/>
    </row>
    <row r="77" spans="1:24" ht="21.75" customHeight="1" x14ac:dyDescent="0.2">
      <c r="A77" s="50"/>
      <c r="B77" s="40" t="s">
        <v>89</v>
      </c>
      <c r="C77" s="31" t="s">
        <v>58</v>
      </c>
      <c r="D77" s="32">
        <v>854166</v>
      </c>
      <c r="E77" s="32">
        <v>867740</v>
      </c>
      <c r="F77" s="32">
        <v>885205</v>
      </c>
      <c r="G77" s="32">
        <v>896218</v>
      </c>
      <c r="H77" s="32">
        <v>906167</v>
      </c>
      <c r="I77" s="32">
        <v>880436</v>
      </c>
      <c r="J77" s="32">
        <v>858858</v>
      </c>
      <c r="K77" s="32">
        <v>834925</v>
      </c>
      <c r="L77" s="32">
        <v>815142</v>
      </c>
      <c r="M77" s="32">
        <v>798971</v>
      </c>
      <c r="N77" s="32">
        <v>787161</v>
      </c>
      <c r="O77" s="32">
        <v>781719</v>
      </c>
      <c r="P77" s="32">
        <v>777311</v>
      </c>
      <c r="Q77" s="32">
        <v>781068</v>
      </c>
      <c r="R77" s="32">
        <v>778576</v>
      </c>
      <c r="S77" s="32">
        <v>785070</v>
      </c>
      <c r="T77" s="32">
        <v>793187</v>
      </c>
      <c r="U77" s="36">
        <v>804514</v>
      </c>
      <c r="V77" s="36">
        <v>804884</v>
      </c>
      <c r="W77" s="36"/>
      <c r="X77" s="36"/>
    </row>
    <row r="78" spans="1:24" ht="21.75" customHeight="1" x14ac:dyDescent="0.2">
      <c r="A78" s="50"/>
      <c r="B78" s="42" t="s">
        <v>90</v>
      </c>
      <c r="C78" s="35" t="s">
        <v>58</v>
      </c>
      <c r="D78" s="32">
        <v>649776</v>
      </c>
      <c r="E78" s="32">
        <v>653034</v>
      </c>
      <c r="F78" s="32">
        <v>656527</v>
      </c>
      <c r="G78" s="32">
        <v>656372</v>
      </c>
      <c r="H78" s="32">
        <v>654539</v>
      </c>
      <c r="I78" s="32">
        <v>634626</v>
      </c>
      <c r="J78" s="32">
        <v>617933</v>
      </c>
      <c r="K78" s="32">
        <v>599967</v>
      </c>
      <c r="L78" s="32">
        <v>584496</v>
      </c>
      <c r="M78" s="32">
        <v>565801</v>
      </c>
      <c r="N78" s="32">
        <v>544704</v>
      </c>
      <c r="O78" s="32">
        <v>531895</v>
      </c>
      <c r="P78" s="32">
        <v>516683</v>
      </c>
      <c r="Q78" s="32">
        <v>518311</v>
      </c>
      <c r="R78" s="32">
        <v>512897</v>
      </c>
      <c r="S78" s="32">
        <v>514213</v>
      </c>
      <c r="T78" s="32">
        <v>514850</v>
      </c>
      <c r="U78" s="36">
        <v>496795</v>
      </c>
      <c r="V78" s="36">
        <v>495113</v>
      </c>
      <c r="W78" s="36"/>
      <c r="X78" s="36"/>
    </row>
    <row r="79" spans="1:24" ht="21.75" customHeight="1" x14ac:dyDescent="0.2">
      <c r="A79" s="54" t="s">
        <v>91</v>
      </c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</row>
    <row r="80" spans="1:24" ht="21.75" customHeight="1" x14ac:dyDescent="0.2">
      <c r="A80" s="55"/>
      <c r="B80" s="34"/>
      <c r="C80" s="35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6"/>
      <c r="V80" s="36"/>
      <c r="W80" s="36"/>
      <c r="X80" s="36"/>
    </row>
    <row r="81" spans="1:24" ht="21.75" customHeight="1" x14ac:dyDescent="0.2">
      <c r="A81" s="142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8"/>
    </row>
    <row r="82" spans="1:24" ht="18.75" customHeight="1" x14ac:dyDescent="0.2">
      <c r="A82" s="55"/>
      <c r="B82" s="34"/>
      <c r="C82" s="35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8"/>
      <c r="V82" s="38"/>
      <c r="W82" s="38"/>
      <c r="X82" s="38"/>
    </row>
    <row r="83" spans="1:24" ht="18.75" customHeight="1" x14ac:dyDescent="0.2">
      <c r="A83" s="55"/>
      <c r="B83" s="30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6"/>
      <c r="V83" s="36"/>
      <c r="W83" s="36"/>
      <c r="X83" s="36"/>
    </row>
    <row r="84" spans="1:24" ht="18.75" customHeight="1" x14ac:dyDescent="0.2">
      <c r="A84" s="55"/>
      <c r="B84" s="34"/>
      <c r="C84" s="35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6"/>
      <c r="V84" s="36"/>
      <c r="W84" s="36"/>
      <c r="X84" s="36"/>
    </row>
    <row r="85" spans="1:24" ht="18.75" customHeight="1" x14ac:dyDescent="0.2">
      <c r="A85" s="55"/>
      <c r="B85" s="30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6"/>
      <c r="V85" s="36"/>
      <c r="W85" s="36"/>
      <c r="X85" s="36"/>
    </row>
    <row r="86" spans="1:24" ht="99.75" customHeight="1" x14ac:dyDescent="0.2">
      <c r="A86" s="56" t="s">
        <v>92</v>
      </c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</row>
    <row r="87" spans="1:24" ht="18.75" customHeight="1" x14ac:dyDescent="0.2"/>
    <row r="88" spans="1:24" ht="18.75" customHeight="1" x14ac:dyDescent="0.2"/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7">
    <mergeCell ref="A1:X1"/>
    <mergeCell ref="A13:X13"/>
    <mergeCell ref="A14:X14"/>
    <mergeCell ref="A74:X74"/>
    <mergeCell ref="A2:X2"/>
    <mergeCell ref="A42:X42"/>
    <mergeCell ref="A41:X41"/>
    <mergeCell ref="A19:X19"/>
    <mergeCell ref="A33:X33"/>
    <mergeCell ref="A5:X5"/>
    <mergeCell ref="A69:X69"/>
    <mergeCell ref="A34:X34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357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1149763530</v>
      </c>
      <c r="D5" s="68"/>
      <c r="E5" s="68"/>
      <c r="F5" s="68"/>
      <c r="G5" s="69">
        <v>296326827</v>
      </c>
      <c r="H5" s="69">
        <v>202633626</v>
      </c>
      <c r="I5" s="69">
        <v>115735977</v>
      </c>
      <c r="J5" s="68"/>
      <c r="K5" s="68"/>
      <c r="L5" s="68"/>
      <c r="M5" s="70">
        <v>614696430</v>
      </c>
      <c r="N5" s="70">
        <v>1764459960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46174</v>
      </c>
      <c r="B6" s="74" t="s">
        <v>385</v>
      </c>
      <c r="C6" s="75">
        <v>44886805</v>
      </c>
      <c r="D6" s="75">
        <v>97</v>
      </c>
      <c r="E6" s="75"/>
      <c r="F6" s="75"/>
      <c r="G6" s="75">
        <v>6767007</v>
      </c>
      <c r="H6" s="75">
        <v>3596508</v>
      </c>
      <c r="I6" s="75">
        <v>2887199</v>
      </c>
      <c r="J6" s="75">
        <v>44</v>
      </c>
      <c r="K6" s="75">
        <v>701737</v>
      </c>
      <c r="L6" s="76"/>
      <c r="M6" s="33">
        <f t="shared" ref="M6:M35" si="0">IF(SUM(G6:I6)&gt;0,SUM(G6:I6),"")</f>
        <v>13250714</v>
      </c>
      <c r="N6" s="33">
        <f t="shared" ref="N6:N35" si="1">IF(N(C6)+N(M6)&gt;0,N(C6)+N(M6),"")</f>
        <v>58137519</v>
      </c>
      <c r="O6" s="33">
        <f t="shared" ref="O6:O35" si="2">IFERROR(IF(D6&gt;0,C6/D6,""),"")</f>
        <v>462750.56701030926</v>
      </c>
      <c r="P6" s="33">
        <f t="shared" ref="P6:P35" si="3">IFERROR(IF(J6&gt;0,M6/J6,""),"")</f>
        <v>301152.59090909088</v>
      </c>
      <c r="Q6" s="46" t="str">
        <f t="shared" ref="Q6:Q35" si="4">IFERROR(IF(E6&gt;0,D6/E6,""),"")</f>
        <v/>
      </c>
    </row>
    <row r="7" spans="1:17" ht="21.75" customHeight="1" x14ac:dyDescent="0.2">
      <c r="A7" s="73">
        <v>46175</v>
      </c>
      <c r="B7" s="74" t="s">
        <v>386</v>
      </c>
      <c r="C7" s="75">
        <v>32214802</v>
      </c>
      <c r="D7" s="75">
        <v>65</v>
      </c>
      <c r="E7" s="75"/>
      <c r="F7" s="75"/>
      <c r="G7" s="75">
        <v>4259006</v>
      </c>
      <c r="H7" s="75">
        <v>3072003</v>
      </c>
      <c r="I7" s="75">
        <v>6150503</v>
      </c>
      <c r="J7" s="75">
        <v>43</v>
      </c>
      <c r="K7" s="75">
        <v>524074</v>
      </c>
      <c r="L7" s="76"/>
      <c r="M7" s="33">
        <f t="shared" si="0"/>
        <v>13481512</v>
      </c>
      <c r="N7" s="33">
        <f t="shared" si="1"/>
        <v>45696314</v>
      </c>
      <c r="O7" s="33">
        <f t="shared" si="2"/>
        <v>495612.33846153849</v>
      </c>
      <c r="P7" s="33">
        <f t="shared" si="3"/>
        <v>313523.53488372092</v>
      </c>
      <c r="Q7" s="46" t="str">
        <f t="shared" si="4"/>
        <v/>
      </c>
    </row>
    <row r="8" spans="1:17" ht="21.75" customHeight="1" x14ac:dyDescent="0.2">
      <c r="A8" s="73">
        <v>46176</v>
      </c>
      <c r="B8" s="74" t="s">
        <v>387</v>
      </c>
      <c r="C8" s="75">
        <v>36473477</v>
      </c>
      <c r="D8" s="75">
        <v>87</v>
      </c>
      <c r="E8" s="75"/>
      <c r="F8" s="75"/>
      <c r="G8" s="75">
        <v>8799511</v>
      </c>
      <c r="H8" s="75">
        <v>1862000</v>
      </c>
      <c r="I8" s="75">
        <v>3738504</v>
      </c>
      <c r="J8" s="75">
        <v>48</v>
      </c>
      <c r="K8" s="75">
        <v>259259</v>
      </c>
      <c r="L8" s="76"/>
      <c r="M8" s="33">
        <f t="shared" si="0"/>
        <v>14400015</v>
      </c>
      <c r="N8" s="33">
        <f t="shared" si="1"/>
        <v>50873492</v>
      </c>
      <c r="O8" s="33">
        <f t="shared" si="2"/>
        <v>419235.36781609198</v>
      </c>
      <c r="P8" s="33">
        <f t="shared" si="3"/>
        <v>300000.3125</v>
      </c>
      <c r="Q8" s="46" t="str">
        <f t="shared" si="4"/>
        <v/>
      </c>
    </row>
    <row r="9" spans="1:17" ht="21.75" customHeight="1" x14ac:dyDescent="0.2">
      <c r="A9" s="73">
        <v>46177</v>
      </c>
      <c r="B9" s="74" t="s">
        <v>388</v>
      </c>
      <c r="C9" s="75">
        <v>35472516</v>
      </c>
      <c r="D9" s="75">
        <v>81</v>
      </c>
      <c r="E9" s="75"/>
      <c r="F9" s="75"/>
      <c r="G9" s="75">
        <v>9745005</v>
      </c>
      <c r="H9" s="75">
        <v>5478499</v>
      </c>
      <c r="I9" s="75">
        <v>4638009</v>
      </c>
      <c r="J9" s="75">
        <v>60</v>
      </c>
      <c r="K9" s="75"/>
      <c r="L9" s="76"/>
      <c r="M9" s="33">
        <f t="shared" si="0"/>
        <v>19861513</v>
      </c>
      <c r="N9" s="33">
        <f t="shared" si="1"/>
        <v>55334029</v>
      </c>
      <c r="O9" s="33">
        <f t="shared" si="2"/>
        <v>437932.29629629629</v>
      </c>
      <c r="P9" s="33">
        <f t="shared" si="3"/>
        <v>331025.21666666667</v>
      </c>
      <c r="Q9" s="46" t="str">
        <f t="shared" si="4"/>
        <v/>
      </c>
    </row>
    <row r="10" spans="1:17" ht="21.75" customHeight="1" x14ac:dyDescent="0.2">
      <c r="A10" s="73">
        <v>46178</v>
      </c>
      <c r="B10" s="74" t="s">
        <v>389</v>
      </c>
      <c r="C10" s="75">
        <v>31950186</v>
      </c>
      <c r="D10" s="75">
        <v>76</v>
      </c>
      <c r="E10" s="75"/>
      <c r="F10" s="75"/>
      <c r="G10" s="75">
        <v>12953499</v>
      </c>
      <c r="H10" s="75">
        <v>3054750</v>
      </c>
      <c r="I10" s="75">
        <v>5426001</v>
      </c>
      <c r="J10" s="75">
        <v>69</v>
      </c>
      <c r="K10" s="75">
        <v>1644800</v>
      </c>
      <c r="L10" s="76"/>
      <c r="M10" s="33">
        <f t="shared" si="0"/>
        <v>21434250</v>
      </c>
      <c r="N10" s="33">
        <f t="shared" si="1"/>
        <v>53384436</v>
      </c>
      <c r="O10" s="33">
        <f t="shared" si="2"/>
        <v>420397.18421052629</v>
      </c>
      <c r="P10" s="33">
        <f t="shared" si="3"/>
        <v>310641.30434782611</v>
      </c>
      <c r="Q10" s="46" t="str">
        <f t="shared" si="4"/>
        <v/>
      </c>
    </row>
    <row r="11" spans="1:17" ht="21.75" customHeight="1" x14ac:dyDescent="0.2">
      <c r="A11" s="77">
        <v>46179</v>
      </c>
      <c r="B11" s="78" t="s">
        <v>390</v>
      </c>
      <c r="C11" s="75">
        <v>35754690</v>
      </c>
      <c r="D11" s="75">
        <v>81</v>
      </c>
      <c r="E11" s="75"/>
      <c r="F11" s="75"/>
      <c r="G11" s="75">
        <v>9757501</v>
      </c>
      <c r="H11" s="75">
        <v>5894250</v>
      </c>
      <c r="I11" s="75">
        <v>4723999</v>
      </c>
      <c r="J11" s="75">
        <v>74</v>
      </c>
      <c r="K11" s="75">
        <v>450000</v>
      </c>
      <c r="L11" s="76"/>
      <c r="M11" s="33">
        <f t="shared" si="0"/>
        <v>20375750</v>
      </c>
      <c r="N11" s="33">
        <f t="shared" si="1"/>
        <v>56130440</v>
      </c>
      <c r="O11" s="33">
        <f t="shared" si="2"/>
        <v>441415.9259259259</v>
      </c>
      <c r="P11" s="33">
        <f t="shared" si="3"/>
        <v>275347.97297297296</v>
      </c>
      <c r="Q11" s="46" t="str">
        <f t="shared" si="4"/>
        <v/>
      </c>
    </row>
    <row r="12" spans="1:17" ht="21.75" customHeight="1" x14ac:dyDescent="0.2">
      <c r="A12" s="77">
        <v>46180</v>
      </c>
      <c r="B12" s="78" t="s">
        <v>391</v>
      </c>
      <c r="C12" s="75">
        <v>26345035</v>
      </c>
      <c r="D12" s="75">
        <v>64</v>
      </c>
      <c r="E12" s="75"/>
      <c r="F12" s="75"/>
      <c r="G12" s="75">
        <v>10669504</v>
      </c>
      <c r="H12" s="75">
        <v>3797504</v>
      </c>
      <c r="I12" s="75">
        <v>7983209</v>
      </c>
      <c r="J12" s="75">
        <v>69</v>
      </c>
      <c r="K12" s="75">
        <v>464700</v>
      </c>
      <c r="L12" s="76"/>
      <c r="M12" s="33">
        <f t="shared" si="0"/>
        <v>22450217</v>
      </c>
      <c r="N12" s="33">
        <f t="shared" si="1"/>
        <v>48795252</v>
      </c>
      <c r="O12" s="33">
        <f t="shared" si="2"/>
        <v>411641.171875</v>
      </c>
      <c r="P12" s="33">
        <f t="shared" si="3"/>
        <v>325365.46376811597</v>
      </c>
      <c r="Q12" s="46" t="str">
        <f t="shared" si="4"/>
        <v/>
      </c>
    </row>
    <row r="13" spans="1:17" ht="21.75" customHeight="1" x14ac:dyDescent="0.2">
      <c r="A13" s="73">
        <v>46181</v>
      </c>
      <c r="B13" s="74" t="s">
        <v>385</v>
      </c>
      <c r="C13" s="75">
        <v>36505043</v>
      </c>
      <c r="D13" s="75">
        <v>74</v>
      </c>
      <c r="E13" s="75"/>
      <c r="F13" s="75"/>
      <c r="G13" s="75">
        <v>6963251</v>
      </c>
      <c r="H13" s="75">
        <v>4895998</v>
      </c>
      <c r="I13" s="75">
        <v>4444501</v>
      </c>
      <c r="J13" s="75">
        <v>40</v>
      </c>
      <c r="K13" s="75">
        <v>500001</v>
      </c>
      <c r="L13" s="76"/>
      <c r="M13" s="33">
        <f t="shared" si="0"/>
        <v>16303750</v>
      </c>
      <c r="N13" s="33">
        <f t="shared" si="1"/>
        <v>52808793</v>
      </c>
      <c r="O13" s="33">
        <f t="shared" si="2"/>
        <v>493311.39189189189</v>
      </c>
      <c r="P13" s="33">
        <f t="shared" si="3"/>
        <v>407593.75</v>
      </c>
      <c r="Q13" s="46" t="str">
        <f t="shared" si="4"/>
        <v/>
      </c>
    </row>
    <row r="14" spans="1:17" ht="21.75" customHeight="1" x14ac:dyDescent="0.2">
      <c r="A14" s="73">
        <v>46182</v>
      </c>
      <c r="B14" s="74" t="s">
        <v>386</v>
      </c>
      <c r="C14" s="75">
        <v>31831101</v>
      </c>
      <c r="D14" s="75">
        <v>76</v>
      </c>
      <c r="E14" s="75"/>
      <c r="F14" s="75"/>
      <c r="G14" s="75">
        <v>5794398</v>
      </c>
      <c r="H14" s="75">
        <v>3027007</v>
      </c>
      <c r="I14" s="75">
        <v>2752999</v>
      </c>
      <c r="J14" s="75">
        <v>41</v>
      </c>
      <c r="K14" s="75">
        <v>3360458</v>
      </c>
      <c r="L14" s="76"/>
      <c r="M14" s="33">
        <f t="shared" si="0"/>
        <v>11574404</v>
      </c>
      <c r="N14" s="33">
        <f t="shared" si="1"/>
        <v>43405505</v>
      </c>
      <c r="O14" s="33">
        <f t="shared" si="2"/>
        <v>418830.2763157895</v>
      </c>
      <c r="P14" s="33">
        <f t="shared" si="3"/>
        <v>282302.53658536583</v>
      </c>
      <c r="Q14" s="46" t="str">
        <f t="shared" si="4"/>
        <v/>
      </c>
    </row>
    <row r="15" spans="1:17" ht="21.75" customHeight="1" x14ac:dyDescent="0.2">
      <c r="A15" s="73">
        <v>46183</v>
      </c>
      <c r="B15" s="74" t="s">
        <v>387</v>
      </c>
      <c r="C15" s="75">
        <v>32966537</v>
      </c>
      <c r="D15" s="75">
        <v>76</v>
      </c>
      <c r="E15" s="75"/>
      <c r="F15" s="75"/>
      <c r="G15" s="75">
        <v>5953000</v>
      </c>
      <c r="H15" s="75">
        <v>6386501</v>
      </c>
      <c r="I15" s="75">
        <v>3655000</v>
      </c>
      <c r="J15" s="75">
        <v>54</v>
      </c>
      <c r="K15" s="75"/>
      <c r="L15" s="76"/>
      <c r="M15" s="33">
        <f t="shared" si="0"/>
        <v>15994501</v>
      </c>
      <c r="N15" s="33">
        <f t="shared" si="1"/>
        <v>48961038</v>
      </c>
      <c r="O15" s="33">
        <f t="shared" si="2"/>
        <v>433770.2236842105</v>
      </c>
      <c r="P15" s="33">
        <f t="shared" si="3"/>
        <v>296194.46296296298</v>
      </c>
      <c r="Q15" s="46" t="str">
        <f t="shared" si="4"/>
        <v/>
      </c>
    </row>
    <row r="16" spans="1:17" ht="21.75" customHeight="1" x14ac:dyDescent="0.2">
      <c r="A16" s="73">
        <v>46184</v>
      </c>
      <c r="B16" s="74" t="s">
        <v>388</v>
      </c>
      <c r="C16" s="75">
        <v>38207669</v>
      </c>
      <c r="D16" s="75">
        <v>90</v>
      </c>
      <c r="E16" s="75"/>
      <c r="F16" s="75"/>
      <c r="G16" s="75">
        <v>4152001</v>
      </c>
      <c r="H16" s="75">
        <v>6902001</v>
      </c>
      <c r="I16" s="75">
        <v>4139000</v>
      </c>
      <c r="J16" s="75">
        <v>41</v>
      </c>
      <c r="K16" s="75"/>
      <c r="L16" s="76"/>
      <c r="M16" s="33">
        <f t="shared" si="0"/>
        <v>15193002</v>
      </c>
      <c r="N16" s="33">
        <f t="shared" si="1"/>
        <v>53400671</v>
      </c>
      <c r="O16" s="33">
        <f t="shared" si="2"/>
        <v>424529.65555555554</v>
      </c>
      <c r="P16" s="33">
        <f t="shared" si="3"/>
        <v>370561.02439024393</v>
      </c>
      <c r="Q16" s="46" t="str">
        <f t="shared" si="4"/>
        <v/>
      </c>
    </row>
    <row r="17" spans="1:17" ht="21.75" customHeight="1" x14ac:dyDescent="0.2">
      <c r="A17" s="73">
        <v>46185</v>
      </c>
      <c r="B17" s="74" t="s">
        <v>389</v>
      </c>
      <c r="C17" s="75">
        <v>37803177</v>
      </c>
      <c r="D17" s="75">
        <v>88</v>
      </c>
      <c r="E17" s="75"/>
      <c r="F17" s="75"/>
      <c r="G17" s="75">
        <v>12255008</v>
      </c>
      <c r="H17" s="75">
        <v>2257002</v>
      </c>
      <c r="I17" s="75">
        <v>4691505</v>
      </c>
      <c r="J17" s="75">
        <v>67</v>
      </c>
      <c r="K17" s="75">
        <v>1028800</v>
      </c>
      <c r="L17" s="76"/>
      <c r="M17" s="33">
        <f t="shared" si="0"/>
        <v>19203515</v>
      </c>
      <c r="N17" s="33">
        <f t="shared" si="1"/>
        <v>57006692</v>
      </c>
      <c r="O17" s="33">
        <f t="shared" si="2"/>
        <v>429581.55681818182</v>
      </c>
      <c r="P17" s="33">
        <f t="shared" si="3"/>
        <v>286619.62686567166</v>
      </c>
      <c r="Q17" s="46" t="str">
        <f t="shared" si="4"/>
        <v/>
      </c>
    </row>
    <row r="18" spans="1:17" ht="21.75" customHeight="1" x14ac:dyDescent="0.2">
      <c r="A18" s="77">
        <v>46186</v>
      </c>
      <c r="B18" s="78" t="s">
        <v>390</v>
      </c>
      <c r="C18" s="75">
        <v>31450293</v>
      </c>
      <c r="D18" s="75">
        <v>82</v>
      </c>
      <c r="E18" s="75"/>
      <c r="F18" s="75"/>
      <c r="G18" s="75">
        <v>11464504</v>
      </c>
      <c r="H18" s="75">
        <v>7201257</v>
      </c>
      <c r="I18" s="75">
        <v>6032008</v>
      </c>
      <c r="J18" s="75">
        <v>92</v>
      </c>
      <c r="K18" s="75">
        <v>447224</v>
      </c>
      <c r="L18" s="76"/>
      <c r="M18" s="33">
        <f t="shared" si="0"/>
        <v>24697769</v>
      </c>
      <c r="N18" s="33">
        <f t="shared" si="1"/>
        <v>56148062</v>
      </c>
      <c r="O18" s="33">
        <f t="shared" si="2"/>
        <v>383540.15853658534</v>
      </c>
      <c r="P18" s="33">
        <f t="shared" si="3"/>
        <v>268454.01086956525</v>
      </c>
      <c r="Q18" s="46" t="str">
        <f t="shared" si="4"/>
        <v/>
      </c>
    </row>
    <row r="19" spans="1:17" ht="21.75" customHeight="1" x14ac:dyDescent="0.2">
      <c r="A19" s="77">
        <v>46187</v>
      </c>
      <c r="B19" s="78" t="s">
        <v>391</v>
      </c>
      <c r="C19" s="75">
        <v>27933793</v>
      </c>
      <c r="D19" s="75">
        <v>63</v>
      </c>
      <c r="E19" s="75"/>
      <c r="F19" s="75"/>
      <c r="G19" s="75">
        <v>13214251</v>
      </c>
      <c r="H19" s="75">
        <v>5159002</v>
      </c>
      <c r="I19" s="75">
        <v>3576999</v>
      </c>
      <c r="J19" s="75">
        <v>62</v>
      </c>
      <c r="K19" s="75">
        <v>1825095</v>
      </c>
      <c r="L19" s="76"/>
      <c r="M19" s="33">
        <f t="shared" si="0"/>
        <v>21950252</v>
      </c>
      <c r="N19" s="33">
        <f t="shared" si="1"/>
        <v>49884045</v>
      </c>
      <c r="O19" s="33">
        <f t="shared" si="2"/>
        <v>443393.5396825397</v>
      </c>
      <c r="P19" s="33">
        <f t="shared" si="3"/>
        <v>354036.32258064515</v>
      </c>
      <c r="Q19" s="46" t="str">
        <f t="shared" si="4"/>
        <v/>
      </c>
    </row>
    <row r="20" spans="1:17" ht="21.75" customHeight="1" x14ac:dyDescent="0.2">
      <c r="A20" s="73">
        <v>46188</v>
      </c>
      <c r="B20" s="74" t="s">
        <v>385</v>
      </c>
      <c r="C20" s="75">
        <v>42226288</v>
      </c>
      <c r="D20" s="75">
        <v>104</v>
      </c>
      <c r="E20" s="75"/>
      <c r="F20" s="75"/>
      <c r="G20" s="75">
        <v>5703750</v>
      </c>
      <c r="H20" s="75">
        <v>5266005</v>
      </c>
      <c r="I20" s="75">
        <v>2257998</v>
      </c>
      <c r="J20" s="75">
        <v>36</v>
      </c>
      <c r="K20" s="75">
        <v>1428800</v>
      </c>
      <c r="L20" s="76"/>
      <c r="M20" s="33">
        <f t="shared" si="0"/>
        <v>13227753</v>
      </c>
      <c r="N20" s="33">
        <f t="shared" si="1"/>
        <v>55454041</v>
      </c>
      <c r="O20" s="33">
        <f t="shared" si="2"/>
        <v>406022</v>
      </c>
      <c r="P20" s="33">
        <f t="shared" si="3"/>
        <v>367437.58333333331</v>
      </c>
      <c r="Q20" s="46" t="str">
        <f t="shared" si="4"/>
        <v/>
      </c>
    </row>
    <row r="21" spans="1:17" ht="21.75" customHeight="1" x14ac:dyDescent="0.2">
      <c r="A21" s="73">
        <v>46189</v>
      </c>
      <c r="B21" s="74" t="s">
        <v>386</v>
      </c>
      <c r="C21" s="75">
        <v>44253287</v>
      </c>
      <c r="D21" s="75">
        <v>108</v>
      </c>
      <c r="E21" s="75"/>
      <c r="F21" s="75"/>
      <c r="G21" s="75">
        <v>8659502</v>
      </c>
      <c r="H21" s="75">
        <v>2660002</v>
      </c>
      <c r="I21" s="75">
        <v>5711999</v>
      </c>
      <c r="J21" s="75">
        <v>55</v>
      </c>
      <c r="K21" s="75">
        <v>1936000</v>
      </c>
      <c r="L21" s="76"/>
      <c r="M21" s="33">
        <f t="shared" si="0"/>
        <v>17031503</v>
      </c>
      <c r="N21" s="33">
        <f t="shared" si="1"/>
        <v>61284790</v>
      </c>
      <c r="O21" s="33">
        <f t="shared" si="2"/>
        <v>409752.65740740742</v>
      </c>
      <c r="P21" s="33">
        <f t="shared" si="3"/>
        <v>309663.69090909092</v>
      </c>
      <c r="Q21" s="46" t="str">
        <f t="shared" si="4"/>
        <v/>
      </c>
    </row>
    <row r="22" spans="1:17" ht="21.75" customHeight="1" x14ac:dyDescent="0.2">
      <c r="A22" s="73">
        <v>46190</v>
      </c>
      <c r="B22" s="74" t="s">
        <v>387</v>
      </c>
      <c r="C22" s="75">
        <v>43337858</v>
      </c>
      <c r="D22" s="75">
        <v>99</v>
      </c>
      <c r="E22" s="75"/>
      <c r="F22" s="75"/>
      <c r="G22" s="75">
        <v>7292002</v>
      </c>
      <c r="H22" s="75">
        <v>3709999</v>
      </c>
      <c r="I22" s="75">
        <v>2986701</v>
      </c>
      <c r="J22" s="75">
        <v>51</v>
      </c>
      <c r="K22" s="75">
        <v>981100</v>
      </c>
      <c r="L22" s="76"/>
      <c r="M22" s="33">
        <f t="shared" si="0"/>
        <v>13988702</v>
      </c>
      <c r="N22" s="33">
        <f t="shared" si="1"/>
        <v>57326560</v>
      </c>
      <c r="O22" s="33">
        <f t="shared" si="2"/>
        <v>437756.1414141414</v>
      </c>
      <c r="P22" s="33">
        <f t="shared" si="3"/>
        <v>274288.27450980392</v>
      </c>
      <c r="Q22" s="46" t="str">
        <f t="shared" si="4"/>
        <v/>
      </c>
    </row>
    <row r="23" spans="1:17" ht="21.75" customHeight="1" x14ac:dyDescent="0.2">
      <c r="A23" s="73">
        <v>46191</v>
      </c>
      <c r="B23" s="74" t="s">
        <v>388</v>
      </c>
      <c r="C23" s="75">
        <v>49976088</v>
      </c>
      <c r="D23" s="75">
        <v>114</v>
      </c>
      <c r="E23" s="75"/>
      <c r="F23" s="75"/>
      <c r="G23" s="75">
        <v>6905755</v>
      </c>
      <c r="H23" s="75">
        <v>7952503</v>
      </c>
      <c r="I23" s="75">
        <v>3556500</v>
      </c>
      <c r="J23" s="75">
        <v>51</v>
      </c>
      <c r="K23" s="75"/>
      <c r="L23" s="76"/>
      <c r="M23" s="33">
        <f t="shared" si="0"/>
        <v>18414758</v>
      </c>
      <c r="N23" s="33">
        <f t="shared" si="1"/>
        <v>68390846</v>
      </c>
      <c r="O23" s="33">
        <f t="shared" si="2"/>
        <v>438386.73684210528</v>
      </c>
      <c r="P23" s="33">
        <f t="shared" si="3"/>
        <v>361073.68627450982</v>
      </c>
      <c r="Q23" s="46" t="str">
        <f t="shared" si="4"/>
        <v/>
      </c>
    </row>
    <row r="24" spans="1:17" ht="21.75" customHeight="1" x14ac:dyDescent="0.2">
      <c r="A24" s="73">
        <v>46192</v>
      </c>
      <c r="B24" s="74" t="s">
        <v>389</v>
      </c>
      <c r="C24" s="75">
        <v>45923314</v>
      </c>
      <c r="D24" s="75">
        <v>102</v>
      </c>
      <c r="E24" s="75"/>
      <c r="F24" s="75"/>
      <c r="G24" s="75">
        <v>10739751</v>
      </c>
      <c r="H24" s="75">
        <v>4609999</v>
      </c>
      <c r="I24" s="75">
        <v>5580499</v>
      </c>
      <c r="J24" s="75">
        <v>66</v>
      </c>
      <c r="K24" s="75">
        <v>3504865</v>
      </c>
      <c r="L24" s="76"/>
      <c r="M24" s="33">
        <f t="shared" si="0"/>
        <v>20930249</v>
      </c>
      <c r="N24" s="33">
        <f t="shared" si="1"/>
        <v>66853563</v>
      </c>
      <c r="O24" s="33">
        <f t="shared" si="2"/>
        <v>450228.56862745096</v>
      </c>
      <c r="P24" s="33">
        <f t="shared" si="3"/>
        <v>317124.98484848486</v>
      </c>
      <c r="Q24" s="46" t="str">
        <f t="shared" si="4"/>
        <v/>
      </c>
    </row>
    <row r="25" spans="1:17" ht="21.75" customHeight="1" x14ac:dyDescent="0.2">
      <c r="A25" s="77">
        <v>46193</v>
      </c>
      <c r="B25" s="78" t="s">
        <v>390</v>
      </c>
      <c r="C25" s="75">
        <v>34642065</v>
      </c>
      <c r="D25" s="75">
        <v>78</v>
      </c>
      <c r="E25" s="75"/>
      <c r="F25" s="75"/>
      <c r="G25" s="75">
        <v>9487759</v>
      </c>
      <c r="H25" s="75">
        <v>2568998</v>
      </c>
      <c r="I25" s="75">
        <v>4029501</v>
      </c>
      <c r="J25" s="75">
        <v>60</v>
      </c>
      <c r="K25" s="75">
        <v>502400</v>
      </c>
      <c r="L25" s="76"/>
      <c r="M25" s="33">
        <f t="shared" si="0"/>
        <v>16086258</v>
      </c>
      <c r="N25" s="33">
        <f t="shared" si="1"/>
        <v>50728323</v>
      </c>
      <c r="O25" s="33">
        <f t="shared" si="2"/>
        <v>444129.03846153844</v>
      </c>
      <c r="P25" s="33">
        <f t="shared" si="3"/>
        <v>268104.3</v>
      </c>
      <c r="Q25" s="46" t="str">
        <f t="shared" si="4"/>
        <v/>
      </c>
    </row>
    <row r="26" spans="1:17" ht="21.75" customHeight="1" x14ac:dyDescent="0.2">
      <c r="A26" s="77">
        <v>46194</v>
      </c>
      <c r="B26" s="78" t="s">
        <v>391</v>
      </c>
      <c r="C26" s="75">
        <v>34371552</v>
      </c>
      <c r="D26" s="75">
        <v>63</v>
      </c>
      <c r="E26" s="75"/>
      <c r="F26" s="75"/>
      <c r="G26" s="75">
        <v>7185011</v>
      </c>
      <c r="H26" s="75">
        <v>3444004</v>
      </c>
      <c r="I26" s="75">
        <v>4879516</v>
      </c>
      <c r="J26" s="75">
        <v>59</v>
      </c>
      <c r="K26" s="75">
        <v>3793370</v>
      </c>
      <c r="L26" s="76"/>
      <c r="M26" s="33">
        <f t="shared" si="0"/>
        <v>15508531</v>
      </c>
      <c r="N26" s="33">
        <f t="shared" si="1"/>
        <v>49880083</v>
      </c>
      <c r="O26" s="33">
        <f t="shared" si="2"/>
        <v>545580.19047619053</v>
      </c>
      <c r="P26" s="33">
        <f t="shared" si="3"/>
        <v>262856.45762711862</v>
      </c>
      <c r="Q26" s="46" t="str">
        <f t="shared" si="4"/>
        <v/>
      </c>
    </row>
    <row r="27" spans="1:17" ht="21.75" customHeight="1" x14ac:dyDescent="0.2">
      <c r="A27" s="73">
        <v>46195</v>
      </c>
      <c r="B27" s="74" t="s">
        <v>385</v>
      </c>
      <c r="C27" s="75">
        <v>45116287</v>
      </c>
      <c r="D27" s="75">
        <v>82</v>
      </c>
      <c r="E27" s="75"/>
      <c r="F27" s="75"/>
      <c r="G27" s="75">
        <v>5823399</v>
      </c>
      <c r="H27" s="75">
        <v>2786003</v>
      </c>
      <c r="I27" s="75">
        <v>4425502</v>
      </c>
      <c r="J27" s="75">
        <v>43</v>
      </c>
      <c r="K27" s="75">
        <v>659259</v>
      </c>
      <c r="L27" s="76"/>
      <c r="M27" s="33">
        <f t="shared" si="0"/>
        <v>13034904</v>
      </c>
      <c r="N27" s="33">
        <f t="shared" si="1"/>
        <v>58151191</v>
      </c>
      <c r="O27" s="33">
        <f t="shared" si="2"/>
        <v>550198.62195121951</v>
      </c>
      <c r="P27" s="33">
        <f t="shared" si="3"/>
        <v>303137.30232558138</v>
      </c>
      <c r="Q27" s="46" t="str">
        <f t="shared" si="4"/>
        <v/>
      </c>
    </row>
    <row r="28" spans="1:17" ht="21.75" customHeight="1" x14ac:dyDescent="0.2">
      <c r="A28" s="73">
        <v>46196</v>
      </c>
      <c r="B28" s="74" t="s">
        <v>386</v>
      </c>
      <c r="C28" s="75">
        <v>32312408</v>
      </c>
      <c r="D28" s="75">
        <v>69</v>
      </c>
      <c r="E28" s="75"/>
      <c r="F28" s="75"/>
      <c r="G28" s="75">
        <v>6753005</v>
      </c>
      <c r="H28" s="75">
        <v>2019004</v>
      </c>
      <c r="I28" s="75">
        <v>2999505</v>
      </c>
      <c r="J28" s="75">
        <v>33</v>
      </c>
      <c r="K28" s="75"/>
      <c r="L28" s="76"/>
      <c r="M28" s="33">
        <f t="shared" si="0"/>
        <v>11771514</v>
      </c>
      <c r="N28" s="33">
        <f t="shared" si="1"/>
        <v>44083922</v>
      </c>
      <c r="O28" s="33">
        <f t="shared" si="2"/>
        <v>468295.76811594202</v>
      </c>
      <c r="P28" s="33">
        <f t="shared" si="3"/>
        <v>356712.54545454547</v>
      </c>
      <c r="Q28" s="46" t="str">
        <f t="shared" si="4"/>
        <v/>
      </c>
    </row>
    <row r="29" spans="1:17" ht="21.75" customHeight="1" x14ac:dyDescent="0.2">
      <c r="A29" s="73">
        <v>46197</v>
      </c>
      <c r="B29" s="74" t="s">
        <v>387</v>
      </c>
      <c r="C29" s="75">
        <v>32701796</v>
      </c>
      <c r="D29" s="75">
        <v>82</v>
      </c>
      <c r="E29" s="75"/>
      <c r="F29" s="75"/>
      <c r="G29" s="75">
        <v>8755015</v>
      </c>
      <c r="H29" s="75">
        <v>3973002</v>
      </c>
      <c r="I29" s="75">
        <v>2503001</v>
      </c>
      <c r="J29" s="75">
        <v>42</v>
      </c>
      <c r="K29" s="75"/>
      <c r="L29" s="76"/>
      <c r="M29" s="33">
        <f t="shared" si="0"/>
        <v>15231018</v>
      </c>
      <c r="N29" s="33">
        <f t="shared" si="1"/>
        <v>47932814</v>
      </c>
      <c r="O29" s="33">
        <f t="shared" si="2"/>
        <v>398802.39024390245</v>
      </c>
      <c r="P29" s="33">
        <f t="shared" si="3"/>
        <v>362643.28571428574</v>
      </c>
      <c r="Q29" s="46" t="str">
        <f t="shared" si="4"/>
        <v/>
      </c>
    </row>
    <row r="30" spans="1:17" ht="21.75" customHeight="1" x14ac:dyDescent="0.2">
      <c r="A30" s="73">
        <v>46198</v>
      </c>
      <c r="B30" s="74" t="s">
        <v>388</v>
      </c>
      <c r="C30" s="75">
        <v>39556390</v>
      </c>
      <c r="D30" s="75">
        <v>99</v>
      </c>
      <c r="E30" s="75"/>
      <c r="F30" s="75"/>
      <c r="G30" s="75">
        <v>7045999</v>
      </c>
      <c r="H30" s="75">
        <v>3766497</v>
      </c>
      <c r="I30" s="75">
        <v>2877502</v>
      </c>
      <c r="J30" s="75">
        <v>52</v>
      </c>
      <c r="K30" s="75"/>
      <c r="L30" s="76"/>
      <c r="M30" s="33">
        <f t="shared" si="0"/>
        <v>13689998</v>
      </c>
      <c r="N30" s="33">
        <f t="shared" si="1"/>
        <v>53246388</v>
      </c>
      <c r="O30" s="33">
        <f t="shared" si="2"/>
        <v>399559.49494949495</v>
      </c>
      <c r="P30" s="33">
        <f t="shared" si="3"/>
        <v>263269.19230769231</v>
      </c>
      <c r="Q30" s="46" t="str">
        <f t="shared" si="4"/>
        <v/>
      </c>
    </row>
    <row r="31" spans="1:17" ht="21.75" customHeight="1" x14ac:dyDescent="0.2">
      <c r="A31" s="73">
        <v>46199</v>
      </c>
      <c r="B31" s="74" t="s">
        <v>389</v>
      </c>
      <c r="C31" s="75">
        <v>34245263</v>
      </c>
      <c r="D31" s="75">
        <v>80</v>
      </c>
      <c r="E31" s="75"/>
      <c r="F31" s="75"/>
      <c r="G31" s="75">
        <v>10419503</v>
      </c>
      <c r="H31" s="75">
        <v>5531499</v>
      </c>
      <c r="I31" s="75">
        <v>4600001</v>
      </c>
      <c r="J31" s="75">
        <v>72</v>
      </c>
      <c r="K31" s="75">
        <v>14000</v>
      </c>
      <c r="L31" s="76"/>
      <c r="M31" s="33">
        <f t="shared" si="0"/>
        <v>20551003</v>
      </c>
      <c r="N31" s="33">
        <f t="shared" si="1"/>
        <v>54796266</v>
      </c>
      <c r="O31" s="33">
        <f t="shared" si="2"/>
        <v>428065.78749999998</v>
      </c>
      <c r="P31" s="33">
        <f t="shared" si="3"/>
        <v>285430.59722222225</v>
      </c>
      <c r="Q31" s="46" t="str">
        <f t="shared" si="4"/>
        <v/>
      </c>
    </row>
    <row r="32" spans="1:17" ht="21.75" customHeight="1" x14ac:dyDescent="0.2">
      <c r="A32" s="77">
        <v>46200</v>
      </c>
      <c r="B32" s="78" t="s">
        <v>390</v>
      </c>
      <c r="C32" s="75">
        <v>31660032</v>
      </c>
      <c r="D32" s="75">
        <v>75</v>
      </c>
      <c r="E32" s="75"/>
      <c r="F32" s="75"/>
      <c r="G32" s="75">
        <v>10394010</v>
      </c>
      <c r="H32" s="75">
        <v>4001503</v>
      </c>
      <c r="I32" s="75">
        <v>5706997</v>
      </c>
      <c r="J32" s="75">
        <v>69</v>
      </c>
      <c r="K32" s="75">
        <v>620370</v>
      </c>
      <c r="L32" s="76"/>
      <c r="M32" s="33">
        <f t="shared" si="0"/>
        <v>20102510</v>
      </c>
      <c r="N32" s="33">
        <f t="shared" si="1"/>
        <v>51762542</v>
      </c>
      <c r="O32" s="33">
        <f t="shared" si="2"/>
        <v>422133.76000000001</v>
      </c>
      <c r="P32" s="33">
        <f t="shared" si="3"/>
        <v>291340.72463768115</v>
      </c>
      <c r="Q32" s="46" t="str">
        <f t="shared" si="4"/>
        <v/>
      </c>
    </row>
    <row r="33" spans="1:17" ht="21.75" customHeight="1" x14ac:dyDescent="0.2">
      <c r="A33" s="77">
        <v>46201</v>
      </c>
      <c r="B33" s="78" t="s">
        <v>391</v>
      </c>
      <c r="C33" s="75">
        <v>28009525</v>
      </c>
      <c r="D33" s="75">
        <v>60</v>
      </c>
      <c r="E33" s="75"/>
      <c r="F33" s="75"/>
      <c r="G33" s="75">
        <v>9633250</v>
      </c>
      <c r="H33" s="75">
        <v>4499504</v>
      </c>
      <c r="I33" s="75">
        <v>2545502</v>
      </c>
      <c r="J33" s="75">
        <v>60</v>
      </c>
      <c r="K33" s="75">
        <v>2516022</v>
      </c>
      <c r="L33" s="76"/>
      <c r="M33" s="33">
        <f t="shared" si="0"/>
        <v>16678256</v>
      </c>
      <c r="N33" s="33">
        <f t="shared" si="1"/>
        <v>44687781</v>
      </c>
      <c r="O33" s="33">
        <f t="shared" si="2"/>
        <v>466825.41666666669</v>
      </c>
      <c r="P33" s="33">
        <f t="shared" si="3"/>
        <v>277970.93333333335</v>
      </c>
      <c r="Q33" s="46" t="str">
        <f t="shared" si="4"/>
        <v/>
      </c>
    </row>
    <row r="34" spans="1:17" ht="21.75" customHeight="1" x14ac:dyDescent="0.2">
      <c r="A34" s="73">
        <v>46202</v>
      </c>
      <c r="B34" s="74" t="s">
        <v>385</v>
      </c>
      <c r="C34" s="75">
        <v>35600022</v>
      </c>
      <c r="D34" s="75">
        <v>73</v>
      </c>
      <c r="E34" s="75"/>
      <c r="F34" s="75"/>
      <c r="G34" s="75">
        <v>7841005</v>
      </c>
      <c r="H34" s="75">
        <v>2889754</v>
      </c>
      <c r="I34" s="75">
        <v>1261999</v>
      </c>
      <c r="J34" s="75">
        <v>35</v>
      </c>
      <c r="K34" s="75"/>
      <c r="L34" s="76"/>
      <c r="M34" s="33">
        <f t="shared" si="0"/>
        <v>11992758</v>
      </c>
      <c r="N34" s="33">
        <f t="shared" si="1"/>
        <v>47592780</v>
      </c>
      <c r="O34" s="33">
        <f t="shared" si="2"/>
        <v>487671.53424657532</v>
      </c>
      <c r="P34" s="33">
        <f t="shared" si="3"/>
        <v>342650.22857142857</v>
      </c>
      <c r="Q34" s="46" t="str">
        <f t="shared" si="4"/>
        <v/>
      </c>
    </row>
    <row r="35" spans="1:17" ht="21.75" customHeight="1" x14ac:dyDescent="0.2">
      <c r="A35" s="73">
        <v>46203</v>
      </c>
      <c r="B35" s="74" t="s">
        <v>386</v>
      </c>
      <c r="C35" s="75">
        <v>35013903</v>
      </c>
      <c r="D35" s="75">
        <v>83</v>
      </c>
      <c r="E35" s="75"/>
      <c r="F35" s="75"/>
      <c r="G35" s="75">
        <v>9861013</v>
      </c>
      <c r="H35" s="75">
        <v>3477498</v>
      </c>
      <c r="I35" s="75">
        <v>3029002</v>
      </c>
      <c r="J35" s="75">
        <v>54</v>
      </c>
      <c r="K35" s="75"/>
      <c r="L35" s="76"/>
      <c r="M35" s="33">
        <f t="shared" si="0"/>
        <v>16367513</v>
      </c>
      <c r="N35" s="33">
        <f t="shared" si="1"/>
        <v>51381416</v>
      </c>
      <c r="O35" s="33">
        <f t="shared" si="2"/>
        <v>421854.2530120482</v>
      </c>
      <c r="P35" s="33">
        <f t="shared" si="3"/>
        <v>303102.09259259258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392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402</v>
      </c>
      <c r="C4" s="81">
        <v>243097511</v>
      </c>
      <c r="D4" s="81">
        <v>551</v>
      </c>
      <c r="E4" s="81">
        <v>441193</v>
      </c>
      <c r="F4" s="82"/>
      <c r="G4" s="83"/>
      <c r="H4" s="84">
        <v>125253971</v>
      </c>
      <c r="I4" s="85">
        <v>368351482</v>
      </c>
      <c r="J4" s="86">
        <v>0.1991</v>
      </c>
      <c r="K4" s="86">
        <v>0.19109999999999999</v>
      </c>
      <c r="L4" s="87"/>
    </row>
    <row r="5" spans="1:12" ht="24" customHeight="1" x14ac:dyDescent="0.2">
      <c r="A5" s="88" t="s">
        <v>403</v>
      </c>
      <c r="B5" s="89" t="s">
        <v>404</v>
      </c>
      <c r="C5" s="81">
        <v>236697613</v>
      </c>
      <c r="D5" s="81">
        <v>549</v>
      </c>
      <c r="E5" s="81">
        <v>431143</v>
      </c>
      <c r="F5" s="82"/>
      <c r="G5" s="83"/>
      <c r="H5" s="84">
        <v>124917193</v>
      </c>
      <c r="I5" s="85">
        <v>361614806</v>
      </c>
      <c r="J5" s="86">
        <v>0.39290000000000003</v>
      </c>
      <c r="K5" s="86">
        <v>0.38159999999999999</v>
      </c>
      <c r="L5" s="87"/>
    </row>
    <row r="6" spans="1:12" ht="24" customHeight="1" x14ac:dyDescent="0.2">
      <c r="A6" s="90" t="s">
        <v>405</v>
      </c>
      <c r="B6" s="91" t="s">
        <v>406</v>
      </c>
      <c r="C6" s="81">
        <v>294730452</v>
      </c>
      <c r="D6" s="81">
        <v>668</v>
      </c>
      <c r="E6" s="81">
        <v>441213</v>
      </c>
      <c r="F6" s="82"/>
      <c r="G6" s="83"/>
      <c r="H6" s="84">
        <v>115187754</v>
      </c>
      <c r="I6" s="85">
        <v>409918206</v>
      </c>
      <c r="J6" s="86">
        <v>0.63429999999999997</v>
      </c>
      <c r="K6" s="86">
        <v>0.55740000000000001</v>
      </c>
      <c r="L6" s="87"/>
    </row>
    <row r="7" spans="1:12" ht="24" customHeight="1" x14ac:dyDescent="0.2">
      <c r="A7" s="92" t="s">
        <v>407</v>
      </c>
      <c r="B7" s="93" t="s">
        <v>408</v>
      </c>
      <c r="C7" s="81">
        <v>243601701</v>
      </c>
      <c r="D7" s="81">
        <v>547</v>
      </c>
      <c r="E7" s="81">
        <v>445341</v>
      </c>
      <c r="F7" s="82"/>
      <c r="G7" s="83"/>
      <c r="H7" s="84">
        <v>111059203</v>
      </c>
      <c r="I7" s="85">
        <v>354660904</v>
      </c>
      <c r="J7" s="86">
        <v>0.83379999999999999</v>
      </c>
      <c r="K7" s="86">
        <v>0.7268</v>
      </c>
      <c r="L7" s="87"/>
    </row>
    <row r="8" spans="1:12" ht="24" customHeight="1" x14ac:dyDescent="0.2">
      <c r="A8" s="94" t="s">
        <v>409</v>
      </c>
      <c r="B8" s="95" t="s">
        <v>410</v>
      </c>
      <c r="C8" s="81">
        <v>70613925</v>
      </c>
      <c r="D8" s="81">
        <v>156</v>
      </c>
      <c r="E8" s="81">
        <v>452653</v>
      </c>
      <c r="F8" s="82"/>
      <c r="G8" s="83"/>
      <c r="H8" s="84">
        <v>28360271</v>
      </c>
      <c r="I8" s="85">
        <v>98974196</v>
      </c>
      <c r="J8" s="86">
        <v>0.89159999999999995</v>
      </c>
      <c r="K8" s="86">
        <v>0.77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20" ht="18.75" customHeight="1" x14ac:dyDescent="0.2">
      <c r="I17" s="96"/>
    </row>
    <row r="18" spans="1:20" ht="18.75" customHeight="1" x14ac:dyDescent="0.2">
      <c r="J18" s="96"/>
    </row>
    <row r="19" spans="1:20" ht="18.75" customHeight="1" x14ac:dyDescent="0.2">
      <c r="K19" s="96"/>
    </row>
    <row r="20" spans="1:20" ht="18.75" customHeight="1" x14ac:dyDescent="0.2">
      <c r="L20" s="96"/>
    </row>
    <row r="21" spans="1:20" ht="25.5" customHeight="1" x14ac:dyDescent="0.2">
      <c r="A21" s="97" t="s">
        <v>411</v>
      </c>
      <c r="B21" s="98" t="s">
        <v>412</v>
      </c>
      <c r="C21" s="99">
        <v>1088741202</v>
      </c>
      <c r="D21" s="99">
        <v>2471</v>
      </c>
      <c r="E21" s="99">
        <v>440608</v>
      </c>
      <c r="F21" s="99"/>
      <c r="G21" s="100"/>
      <c r="H21" s="99">
        <v>504778392</v>
      </c>
      <c r="I21" s="99">
        <v>1593519594</v>
      </c>
      <c r="J21" s="101">
        <v>0.89159999999999995</v>
      </c>
      <c r="K21" s="101">
        <v>0.77</v>
      </c>
      <c r="L21" s="96"/>
    </row>
    <row r="22" spans="1:20" ht="18.75" customHeight="1" x14ac:dyDescent="0.2"/>
    <row r="23" spans="1:20" ht="21.75" customHeight="1" x14ac:dyDescent="0.2">
      <c r="A23" s="160" t="s">
        <v>413</v>
      </c>
      <c r="B23" s="137"/>
      <c r="C23" s="102">
        <v>1221140305</v>
      </c>
      <c r="D23" s="68"/>
      <c r="E23" s="68"/>
      <c r="F23" s="68"/>
      <c r="G23" s="68"/>
      <c r="H23" s="103">
        <v>655527931</v>
      </c>
      <c r="I23" s="104">
        <v>1876668236</v>
      </c>
      <c r="J23" s="68"/>
      <c r="K23" s="68"/>
      <c r="L23" s="68"/>
    </row>
    <row r="24" spans="1:20" ht="18.75" customHeight="1" x14ac:dyDescent="0.2"/>
    <row r="25" spans="1:20" ht="18.75" customHeight="1" x14ac:dyDescent="0.2">
      <c r="A25" s="159" t="s">
        <v>414</v>
      </c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</row>
    <row r="26" spans="1:20" ht="18.75" customHeight="1" x14ac:dyDescent="0.2"/>
    <row r="27" spans="1:20" ht="42" customHeight="1" x14ac:dyDescent="0.2">
      <c r="A27" s="161" t="s">
        <v>415</v>
      </c>
      <c r="B27" s="137"/>
      <c r="C27" s="137"/>
      <c r="D27" s="137"/>
      <c r="E27" s="137"/>
      <c r="F27" s="137"/>
      <c r="G27" s="137"/>
      <c r="H27" s="137"/>
      <c r="I27" s="137"/>
      <c r="J27" s="137"/>
      <c r="K27" s="137"/>
      <c r="L27" s="162"/>
      <c r="M27" s="105"/>
      <c r="N27" s="105"/>
      <c r="O27" s="105"/>
      <c r="P27" s="105"/>
      <c r="Q27" s="105"/>
      <c r="R27" s="105"/>
      <c r="S27" s="105"/>
      <c r="T27" s="105"/>
    </row>
    <row r="28" spans="1:20" ht="13.5" customHeight="1" x14ac:dyDescent="0.2">
      <c r="A28" s="106" t="s">
        <v>416</v>
      </c>
      <c r="B28" s="106" t="s">
        <v>417</v>
      </c>
      <c r="C28" s="106" t="s">
        <v>418</v>
      </c>
      <c r="D28" s="106" t="s">
        <v>419</v>
      </c>
      <c r="E28" s="106" t="s">
        <v>420</v>
      </c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</row>
    <row r="29" spans="1:20" ht="300" customHeight="1" x14ac:dyDescent="0.2">
      <c r="A29" s="107">
        <v>1</v>
      </c>
      <c r="B29" s="108" t="s">
        <v>421</v>
      </c>
      <c r="C29" s="108" t="s">
        <v>422</v>
      </c>
      <c r="D29" s="108" t="s">
        <v>423</v>
      </c>
      <c r="E29" s="109" t="s">
        <v>424</v>
      </c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</row>
    <row r="30" spans="1:20" ht="90" customHeight="1" x14ac:dyDescent="0.2">
      <c r="A30" s="107">
        <v>2</v>
      </c>
      <c r="B30" s="108" t="s">
        <v>425</v>
      </c>
      <c r="C30" s="108" t="s">
        <v>426</v>
      </c>
      <c r="D30" s="108" t="s">
        <v>423</v>
      </c>
      <c r="E30" s="109">
        <v>0.8</v>
      </c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</row>
    <row r="31" spans="1:20" ht="135" customHeight="1" x14ac:dyDescent="0.2">
      <c r="A31" s="107">
        <v>3</v>
      </c>
      <c r="B31" s="108" t="s">
        <v>427</v>
      </c>
      <c r="C31" s="108" t="s">
        <v>428</v>
      </c>
      <c r="D31" s="108" t="s">
        <v>429</v>
      </c>
      <c r="E31" s="109">
        <v>1</v>
      </c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</row>
    <row r="32" spans="1:20" ht="150" customHeight="1" x14ac:dyDescent="0.2">
      <c r="A32" s="107">
        <v>4</v>
      </c>
      <c r="B32" s="108" t="s">
        <v>430</v>
      </c>
      <c r="C32" s="108" t="s">
        <v>431</v>
      </c>
      <c r="D32" s="108" t="s">
        <v>423</v>
      </c>
      <c r="E32" s="109">
        <v>0.85</v>
      </c>
      <c r="F32" s="110" t="s">
        <v>432</v>
      </c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</row>
    <row r="33" spans="1:20" ht="45" customHeight="1" x14ac:dyDescent="0.2">
      <c r="A33" s="107">
        <v>5</v>
      </c>
      <c r="B33" s="108" t="s">
        <v>433</v>
      </c>
      <c r="C33" s="108"/>
      <c r="D33" s="108" t="s">
        <v>434</v>
      </c>
      <c r="E33" s="108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</row>
    <row r="34" spans="1:20" ht="90" customHeight="1" x14ac:dyDescent="0.2">
      <c r="A34" s="107">
        <v>6</v>
      </c>
      <c r="B34" s="108" t="s">
        <v>435</v>
      </c>
      <c r="C34" s="108" t="s">
        <v>436</v>
      </c>
      <c r="D34" s="108" t="s">
        <v>437</v>
      </c>
      <c r="E34" s="108" t="s">
        <v>438</v>
      </c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</row>
    <row r="35" spans="1:20" ht="16.5" customHeight="1" x14ac:dyDescent="0.2">
      <c r="A35" s="161" t="s">
        <v>439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62"/>
      <c r="M35" s="110"/>
      <c r="N35" s="110"/>
      <c r="O35" s="110"/>
      <c r="P35" s="110"/>
      <c r="Q35" s="110"/>
      <c r="R35" s="110"/>
      <c r="S35" s="110"/>
      <c r="T35" s="110"/>
    </row>
    <row r="36" spans="1:20" ht="30" customHeight="1" x14ac:dyDescent="0.2">
      <c r="A36" s="107" t="s">
        <v>416</v>
      </c>
      <c r="B36" s="108" t="s">
        <v>440</v>
      </c>
      <c r="C36" s="108" t="s">
        <v>441</v>
      </c>
      <c r="D36" s="108" t="s">
        <v>442</v>
      </c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</row>
    <row r="37" spans="1:20" ht="195" customHeight="1" x14ac:dyDescent="0.2">
      <c r="A37" s="107">
        <v>1</v>
      </c>
      <c r="B37" s="108"/>
      <c r="C37" s="108"/>
      <c r="D37" s="108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</row>
    <row r="38" spans="1:20" ht="105" customHeight="1" x14ac:dyDescent="0.2">
      <c r="A38" s="107">
        <v>2</v>
      </c>
      <c r="B38" s="108"/>
      <c r="C38" s="108"/>
      <c r="D38" s="108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</row>
    <row r="39" spans="1:20" ht="18.75" customHeight="1" x14ac:dyDescent="0.2">
      <c r="A39" s="111">
        <v>3</v>
      </c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:L2"/>
    <mergeCell ref="A25:L25"/>
    <mergeCell ref="A1:L1"/>
    <mergeCell ref="A23:B23"/>
    <mergeCell ref="A27:L27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zoomScaleNormal="100" workbookViewId="0">
      <pane xSplit="2" ySplit="4" topLeftCell="C9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443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1214990084</v>
      </c>
      <c r="D5" s="68"/>
      <c r="E5" s="68"/>
      <c r="F5" s="68"/>
      <c r="G5" s="69">
        <v>343229305</v>
      </c>
      <c r="H5" s="69">
        <v>169214438</v>
      </c>
      <c r="I5" s="69">
        <v>139782649</v>
      </c>
      <c r="J5" s="68"/>
      <c r="K5" s="68"/>
      <c r="L5" s="68"/>
      <c r="M5" s="70">
        <v>652226392</v>
      </c>
      <c r="N5" s="70">
        <v>1867216476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46204</v>
      </c>
      <c r="B6" s="74" t="s">
        <v>387</v>
      </c>
      <c r="C6" s="75">
        <v>41816554</v>
      </c>
      <c r="D6" s="75">
        <v>98</v>
      </c>
      <c r="E6" s="75"/>
      <c r="F6" s="75"/>
      <c r="G6" s="75">
        <v>5255003</v>
      </c>
      <c r="H6" s="75">
        <v>4262751</v>
      </c>
      <c r="I6" s="75">
        <v>5003500</v>
      </c>
      <c r="J6" s="75">
        <v>42</v>
      </c>
      <c r="K6" s="75">
        <v>1382857</v>
      </c>
      <c r="L6" s="76"/>
      <c r="M6" s="33">
        <f t="shared" ref="M6:M36" si="0">IF(SUM(G6:I6)&gt;0,SUM(G6:I6),"")</f>
        <v>14521254</v>
      </c>
      <c r="N6" s="33">
        <f t="shared" ref="N6:N36" si="1">IF(N(C6)+N(M6)&gt;0,N(C6)+N(M6),"")</f>
        <v>56337808</v>
      </c>
      <c r="O6" s="33">
        <f t="shared" ref="O6:O36" si="2">IFERROR(IF(D6&gt;0,C6/D6,""),"")</f>
        <v>426699.53061224491</v>
      </c>
      <c r="P6" s="33">
        <f t="shared" ref="P6:P36" si="3">IFERROR(IF(J6&gt;0,M6/J6,""),"")</f>
        <v>345744.14285714284</v>
      </c>
      <c r="Q6" s="46" t="str">
        <f t="shared" ref="Q6:Q36" si="4">IFERROR(IF(E6&gt;0,D6/E6,""),"")</f>
        <v/>
      </c>
    </row>
    <row r="7" spans="1:17" ht="21.75" customHeight="1" x14ac:dyDescent="0.2">
      <c r="A7" s="73">
        <v>46205</v>
      </c>
      <c r="B7" s="74" t="s">
        <v>388</v>
      </c>
      <c r="C7" s="75">
        <v>38248053</v>
      </c>
      <c r="D7" s="75">
        <v>88</v>
      </c>
      <c r="E7" s="75"/>
      <c r="F7" s="75"/>
      <c r="G7" s="75">
        <v>9476011</v>
      </c>
      <c r="H7" s="75">
        <v>5529501</v>
      </c>
      <c r="I7" s="75">
        <v>4494505</v>
      </c>
      <c r="J7" s="75">
        <v>57</v>
      </c>
      <c r="K7" s="75">
        <v>200000</v>
      </c>
      <c r="L7" s="76"/>
      <c r="M7" s="33">
        <f t="shared" si="0"/>
        <v>19500017</v>
      </c>
      <c r="N7" s="33">
        <f t="shared" si="1"/>
        <v>57748070</v>
      </c>
      <c r="O7" s="33">
        <f t="shared" si="2"/>
        <v>434636.96590909088</v>
      </c>
      <c r="P7" s="33">
        <f t="shared" si="3"/>
        <v>342105.56140350876</v>
      </c>
      <c r="Q7" s="46" t="str">
        <f t="shared" si="4"/>
        <v/>
      </c>
    </row>
    <row r="8" spans="1:17" ht="21.75" customHeight="1" x14ac:dyDescent="0.2">
      <c r="A8" s="73">
        <v>46206</v>
      </c>
      <c r="B8" s="74" t="s">
        <v>389</v>
      </c>
      <c r="C8" s="75">
        <v>49557375</v>
      </c>
      <c r="D8" s="75">
        <v>117</v>
      </c>
      <c r="E8" s="75"/>
      <c r="F8" s="75"/>
      <c r="G8" s="75">
        <v>9565500</v>
      </c>
      <c r="H8" s="75">
        <v>4396003</v>
      </c>
      <c r="I8" s="75">
        <v>4959521</v>
      </c>
      <c r="J8" s="75">
        <v>62</v>
      </c>
      <c r="K8" s="75">
        <v>1076000</v>
      </c>
      <c r="L8" s="76"/>
      <c r="M8" s="33">
        <f t="shared" si="0"/>
        <v>18921024</v>
      </c>
      <c r="N8" s="33">
        <f t="shared" si="1"/>
        <v>68478399</v>
      </c>
      <c r="O8" s="33">
        <f t="shared" si="2"/>
        <v>423567.30769230769</v>
      </c>
      <c r="P8" s="33">
        <f t="shared" si="3"/>
        <v>305177.80645161291</v>
      </c>
      <c r="Q8" s="46" t="str">
        <f t="shared" si="4"/>
        <v/>
      </c>
    </row>
    <row r="9" spans="1:17" ht="21.75" customHeight="1" x14ac:dyDescent="0.2">
      <c r="A9" s="77">
        <v>46207</v>
      </c>
      <c r="B9" s="78" t="s">
        <v>390</v>
      </c>
      <c r="C9" s="75">
        <v>39025533</v>
      </c>
      <c r="D9" s="75">
        <v>96</v>
      </c>
      <c r="E9" s="75"/>
      <c r="F9" s="75"/>
      <c r="G9" s="75">
        <v>6833004</v>
      </c>
      <c r="H9" s="75">
        <v>6019997</v>
      </c>
      <c r="I9" s="75">
        <v>3574999</v>
      </c>
      <c r="J9" s="75">
        <v>61</v>
      </c>
      <c r="K9" s="75">
        <v>1188800</v>
      </c>
      <c r="L9" s="76"/>
      <c r="M9" s="33">
        <f t="shared" si="0"/>
        <v>16428000</v>
      </c>
      <c r="N9" s="33">
        <f t="shared" si="1"/>
        <v>55453533</v>
      </c>
      <c r="O9" s="33">
        <f t="shared" si="2"/>
        <v>406515.96875</v>
      </c>
      <c r="P9" s="33">
        <f t="shared" si="3"/>
        <v>269311.47540983604</v>
      </c>
      <c r="Q9" s="46" t="str">
        <f t="shared" si="4"/>
        <v/>
      </c>
    </row>
    <row r="10" spans="1:17" ht="21.75" customHeight="1" x14ac:dyDescent="0.2">
      <c r="A10" s="77">
        <v>46208</v>
      </c>
      <c r="B10" s="78" t="s">
        <v>391</v>
      </c>
      <c r="C10" s="75">
        <v>27398083</v>
      </c>
      <c r="D10" s="75">
        <v>66</v>
      </c>
      <c r="E10" s="75"/>
      <c r="F10" s="75"/>
      <c r="G10" s="75">
        <v>6461003</v>
      </c>
      <c r="H10" s="75">
        <v>9026495</v>
      </c>
      <c r="I10" s="75">
        <v>4521251</v>
      </c>
      <c r="J10" s="75">
        <v>57</v>
      </c>
      <c r="K10" s="75">
        <v>1487482</v>
      </c>
      <c r="L10" s="76"/>
      <c r="M10" s="33">
        <f t="shared" si="0"/>
        <v>20008749</v>
      </c>
      <c r="N10" s="33">
        <f t="shared" si="1"/>
        <v>47406832</v>
      </c>
      <c r="O10" s="33">
        <f t="shared" si="2"/>
        <v>415122.46969696973</v>
      </c>
      <c r="P10" s="33">
        <f t="shared" si="3"/>
        <v>351030.68421052629</v>
      </c>
      <c r="Q10" s="46" t="str">
        <f t="shared" si="4"/>
        <v/>
      </c>
    </row>
    <row r="11" spans="1:17" ht="21.75" customHeight="1" x14ac:dyDescent="0.2">
      <c r="A11" s="73">
        <v>46209</v>
      </c>
      <c r="B11" s="74" t="s">
        <v>385</v>
      </c>
      <c r="C11" s="75">
        <v>41043885</v>
      </c>
      <c r="D11" s="75">
        <v>83</v>
      </c>
      <c r="E11" s="75"/>
      <c r="F11" s="75"/>
      <c r="G11" s="75">
        <v>7666010</v>
      </c>
      <c r="H11" s="75">
        <v>2705002</v>
      </c>
      <c r="I11" s="75">
        <v>2308504</v>
      </c>
      <c r="J11" s="75">
        <v>42</v>
      </c>
      <c r="K11" s="75">
        <v>5240999</v>
      </c>
      <c r="L11" s="76"/>
      <c r="M11" s="33">
        <f t="shared" si="0"/>
        <v>12679516</v>
      </c>
      <c r="N11" s="33">
        <f t="shared" si="1"/>
        <v>53723401</v>
      </c>
      <c r="O11" s="33">
        <f t="shared" si="2"/>
        <v>494504.63855421689</v>
      </c>
      <c r="P11" s="33">
        <f t="shared" si="3"/>
        <v>301893.23809523811</v>
      </c>
      <c r="Q11" s="46" t="str">
        <f t="shared" si="4"/>
        <v/>
      </c>
    </row>
    <row r="12" spans="1:17" ht="21.75" customHeight="1" x14ac:dyDescent="0.2">
      <c r="A12" s="73">
        <v>46210</v>
      </c>
      <c r="B12" s="74" t="s">
        <v>386</v>
      </c>
      <c r="C12" s="75">
        <v>25061535</v>
      </c>
      <c r="D12" s="75">
        <v>69</v>
      </c>
      <c r="E12" s="75"/>
      <c r="F12" s="75"/>
      <c r="G12" s="75">
        <v>7050508</v>
      </c>
      <c r="H12" s="75">
        <v>1835500</v>
      </c>
      <c r="I12" s="75">
        <v>4549001</v>
      </c>
      <c r="J12" s="75">
        <v>48</v>
      </c>
      <c r="K12" s="75"/>
      <c r="L12" s="76"/>
      <c r="M12" s="33">
        <f t="shared" si="0"/>
        <v>13435009</v>
      </c>
      <c r="N12" s="33">
        <f t="shared" si="1"/>
        <v>38496544</v>
      </c>
      <c r="O12" s="33">
        <f t="shared" si="2"/>
        <v>363210.65217391303</v>
      </c>
      <c r="P12" s="33">
        <f t="shared" si="3"/>
        <v>279896.02083333331</v>
      </c>
      <c r="Q12" s="46" t="str">
        <f t="shared" si="4"/>
        <v/>
      </c>
    </row>
    <row r="13" spans="1:17" ht="21.75" customHeight="1" x14ac:dyDescent="0.2">
      <c r="A13" s="73">
        <v>46211</v>
      </c>
      <c r="B13" s="74" t="s">
        <v>387</v>
      </c>
      <c r="C13" s="75">
        <v>43729563</v>
      </c>
      <c r="D13" s="75">
        <v>107</v>
      </c>
      <c r="E13" s="75"/>
      <c r="F13" s="75"/>
      <c r="G13" s="75">
        <v>9457256</v>
      </c>
      <c r="H13" s="75">
        <v>5298505</v>
      </c>
      <c r="I13" s="75">
        <v>3436998</v>
      </c>
      <c r="J13" s="75">
        <v>62</v>
      </c>
      <c r="K13" s="75">
        <v>1828572</v>
      </c>
      <c r="L13" s="76"/>
      <c r="M13" s="33">
        <f t="shared" si="0"/>
        <v>18192759</v>
      </c>
      <c r="N13" s="33">
        <f t="shared" si="1"/>
        <v>61922322</v>
      </c>
      <c r="O13" s="33">
        <f t="shared" si="2"/>
        <v>408687.50467289722</v>
      </c>
      <c r="P13" s="33">
        <f t="shared" si="3"/>
        <v>293431.59677419357</v>
      </c>
      <c r="Q13" s="46" t="str">
        <f t="shared" si="4"/>
        <v/>
      </c>
    </row>
    <row r="14" spans="1:17" ht="21.75" customHeight="1" x14ac:dyDescent="0.2">
      <c r="A14" s="73">
        <v>46212</v>
      </c>
      <c r="B14" s="74" t="s">
        <v>388</v>
      </c>
      <c r="C14" s="75">
        <v>35047269</v>
      </c>
      <c r="D14" s="75">
        <v>77</v>
      </c>
      <c r="E14" s="75"/>
      <c r="F14" s="75"/>
      <c r="G14" s="75">
        <v>9945007</v>
      </c>
      <c r="H14" s="75">
        <v>2135001</v>
      </c>
      <c r="I14" s="75">
        <v>2569001</v>
      </c>
      <c r="J14" s="75">
        <v>50</v>
      </c>
      <c r="K14" s="75">
        <v>868800</v>
      </c>
      <c r="L14" s="76"/>
      <c r="M14" s="33">
        <f t="shared" si="0"/>
        <v>14649009</v>
      </c>
      <c r="N14" s="33">
        <f t="shared" si="1"/>
        <v>49696278</v>
      </c>
      <c r="O14" s="33">
        <f t="shared" si="2"/>
        <v>455159.33766233764</v>
      </c>
      <c r="P14" s="33">
        <f t="shared" si="3"/>
        <v>292980.18</v>
      </c>
      <c r="Q14" s="46" t="str">
        <f t="shared" si="4"/>
        <v/>
      </c>
    </row>
    <row r="15" spans="1:17" ht="21.75" customHeight="1" x14ac:dyDescent="0.2">
      <c r="A15" s="73">
        <v>46213</v>
      </c>
      <c r="B15" s="74" t="s">
        <v>389</v>
      </c>
      <c r="C15" s="75">
        <v>44784589</v>
      </c>
      <c r="D15" s="75">
        <v>97</v>
      </c>
      <c r="E15" s="75"/>
      <c r="F15" s="75"/>
      <c r="G15" s="75">
        <v>8523678</v>
      </c>
      <c r="H15" s="75">
        <v>6983754</v>
      </c>
      <c r="I15" s="75">
        <v>7198000</v>
      </c>
      <c r="J15" s="75">
        <v>73</v>
      </c>
      <c r="K15" s="75">
        <v>4473081</v>
      </c>
      <c r="L15" s="76"/>
      <c r="M15" s="33">
        <f t="shared" si="0"/>
        <v>22705432</v>
      </c>
      <c r="N15" s="33">
        <f t="shared" si="1"/>
        <v>67490021</v>
      </c>
      <c r="O15" s="33">
        <f t="shared" si="2"/>
        <v>461696.79381443298</v>
      </c>
      <c r="P15" s="33">
        <f t="shared" si="3"/>
        <v>311033.31506849313</v>
      </c>
      <c r="Q15" s="46" t="str">
        <f t="shared" si="4"/>
        <v/>
      </c>
    </row>
    <row r="16" spans="1:17" ht="21.75" customHeight="1" x14ac:dyDescent="0.2">
      <c r="A16" s="77">
        <v>46214</v>
      </c>
      <c r="B16" s="78" t="s">
        <v>390</v>
      </c>
      <c r="C16" s="75">
        <v>37429785</v>
      </c>
      <c r="D16" s="75">
        <v>102</v>
      </c>
      <c r="E16" s="75"/>
      <c r="F16" s="75"/>
      <c r="G16" s="75">
        <v>10539998</v>
      </c>
      <c r="H16" s="75">
        <v>7112501</v>
      </c>
      <c r="I16" s="75">
        <v>6608504</v>
      </c>
      <c r="J16" s="75">
        <v>79</v>
      </c>
      <c r="K16" s="75">
        <v>1162000</v>
      </c>
      <c r="L16" s="76"/>
      <c r="M16" s="33">
        <f t="shared" si="0"/>
        <v>24261003</v>
      </c>
      <c r="N16" s="33">
        <f t="shared" si="1"/>
        <v>61690788</v>
      </c>
      <c r="O16" s="33">
        <f t="shared" si="2"/>
        <v>366958.67647058825</v>
      </c>
      <c r="P16" s="33">
        <f t="shared" si="3"/>
        <v>307101.30379746837</v>
      </c>
      <c r="Q16" s="46" t="str">
        <f t="shared" si="4"/>
        <v/>
      </c>
    </row>
    <row r="17" spans="1:17" ht="21.75" customHeight="1" x14ac:dyDescent="0.2">
      <c r="A17" s="77">
        <v>46215</v>
      </c>
      <c r="B17" s="78" t="s">
        <v>391</v>
      </c>
      <c r="C17" s="75">
        <v>24101032</v>
      </c>
      <c r="D17" s="75">
        <v>78</v>
      </c>
      <c r="E17" s="75"/>
      <c r="F17" s="75"/>
      <c r="G17" s="75">
        <v>8568008</v>
      </c>
      <c r="H17" s="75">
        <v>5877003</v>
      </c>
      <c r="I17" s="75">
        <v>3866003</v>
      </c>
      <c r="J17" s="75">
        <v>59</v>
      </c>
      <c r="K17" s="75"/>
      <c r="L17" s="76"/>
      <c r="M17" s="33">
        <f t="shared" si="0"/>
        <v>18311014</v>
      </c>
      <c r="N17" s="33">
        <f t="shared" si="1"/>
        <v>42412046</v>
      </c>
      <c r="O17" s="33">
        <f t="shared" si="2"/>
        <v>308987.58974358975</v>
      </c>
      <c r="P17" s="33">
        <f t="shared" si="3"/>
        <v>310356.16949152545</v>
      </c>
      <c r="Q17" s="46" t="str">
        <f t="shared" si="4"/>
        <v/>
      </c>
    </row>
    <row r="18" spans="1:17" ht="21.75" customHeight="1" x14ac:dyDescent="0.2">
      <c r="A18" s="73">
        <v>46216</v>
      </c>
      <c r="B18" s="74" t="s">
        <v>385</v>
      </c>
      <c r="C18" s="75">
        <v>43339246</v>
      </c>
      <c r="D18" s="75">
        <v>100</v>
      </c>
      <c r="E18" s="75"/>
      <c r="F18" s="75"/>
      <c r="G18" s="75">
        <v>6566006</v>
      </c>
      <c r="H18" s="75">
        <v>3976003</v>
      </c>
      <c r="I18" s="75">
        <v>1930002</v>
      </c>
      <c r="J18" s="75">
        <v>39</v>
      </c>
      <c r="K18" s="75">
        <v>1547800</v>
      </c>
      <c r="L18" s="76"/>
      <c r="M18" s="33">
        <f t="shared" si="0"/>
        <v>12472011</v>
      </c>
      <c r="N18" s="33">
        <f t="shared" si="1"/>
        <v>55811257</v>
      </c>
      <c r="O18" s="33">
        <f t="shared" si="2"/>
        <v>433392.46</v>
      </c>
      <c r="P18" s="33">
        <f t="shared" si="3"/>
        <v>319795.15384615387</v>
      </c>
      <c r="Q18" s="46" t="str">
        <f t="shared" si="4"/>
        <v/>
      </c>
    </row>
    <row r="19" spans="1:17" ht="21.75" customHeight="1" x14ac:dyDescent="0.2">
      <c r="A19" s="73">
        <v>46217</v>
      </c>
      <c r="B19" s="74" t="s">
        <v>386</v>
      </c>
      <c r="C19" s="75">
        <v>33734818</v>
      </c>
      <c r="D19" s="75">
        <v>89</v>
      </c>
      <c r="E19" s="75"/>
      <c r="F19" s="75"/>
      <c r="G19" s="75">
        <v>12829507</v>
      </c>
      <c r="H19" s="75">
        <v>3528750</v>
      </c>
      <c r="I19" s="75">
        <v>3605000</v>
      </c>
      <c r="J19" s="75">
        <v>59</v>
      </c>
      <c r="K19" s="75">
        <v>200000</v>
      </c>
      <c r="L19" s="76"/>
      <c r="M19" s="33">
        <f t="shared" si="0"/>
        <v>19963257</v>
      </c>
      <c r="N19" s="33">
        <f t="shared" si="1"/>
        <v>53698075</v>
      </c>
      <c r="O19" s="33">
        <f t="shared" si="2"/>
        <v>379042.89887640451</v>
      </c>
      <c r="P19" s="33">
        <f t="shared" si="3"/>
        <v>338360.28813559323</v>
      </c>
      <c r="Q19" s="46" t="str">
        <f t="shared" si="4"/>
        <v/>
      </c>
    </row>
    <row r="20" spans="1:17" ht="21.75" customHeight="1" x14ac:dyDescent="0.2">
      <c r="A20" s="73">
        <v>46218</v>
      </c>
      <c r="B20" s="74" t="s">
        <v>387</v>
      </c>
      <c r="C20" s="75">
        <v>38150799</v>
      </c>
      <c r="D20" s="75">
        <v>80</v>
      </c>
      <c r="E20" s="75"/>
      <c r="F20" s="75"/>
      <c r="G20" s="75">
        <v>5518496</v>
      </c>
      <c r="H20" s="75">
        <v>4747506</v>
      </c>
      <c r="I20" s="75">
        <v>3236498</v>
      </c>
      <c r="J20" s="75">
        <v>42</v>
      </c>
      <c r="K20" s="75"/>
      <c r="L20" s="76"/>
      <c r="M20" s="33">
        <f t="shared" si="0"/>
        <v>13502500</v>
      </c>
      <c r="N20" s="33">
        <f t="shared" si="1"/>
        <v>51653299</v>
      </c>
      <c r="O20" s="33">
        <f t="shared" si="2"/>
        <v>476884.98749999999</v>
      </c>
      <c r="P20" s="33">
        <f t="shared" si="3"/>
        <v>321488.09523809527</v>
      </c>
      <c r="Q20" s="46" t="str">
        <f t="shared" si="4"/>
        <v/>
      </c>
    </row>
    <row r="21" spans="1:17" ht="21.75" customHeight="1" x14ac:dyDescent="0.2">
      <c r="A21" s="73">
        <v>46219</v>
      </c>
      <c r="B21" s="74" t="s">
        <v>388</v>
      </c>
      <c r="C21" s="75">
        <v>39385519</v>
      </c>
      <c r="D21" s="75">
        <v>88</v>
      </c>
      <c r="E21" s="75"/>
      <c r="F21" s="75"/>
      <c r="G21" s="75">
        <v>10004741</v>
      </c>
      <c r="H21" s="75">
        <v>2615001</v>
      </c>
      <c r="I21" s="75">
        <v>4320000</v>
      </c>
      <c r="J21" s="75">
        <v>58</v>
      </c>
      <c r="K21" s="75">
        <v>1028800</v>
      </c>
      <c r="L21" s="76"/>
      <c r="M21" s="33">
        <f t="shared" si="0"/>
        <v>16939742</v>
      </c>
      <c r="N21" s="33">
        <f t="shared" si="1"/>
        <v>56325261</v>
      </c>
      <c r="O21" s="33">
        <f t="shared" si="2"/>
        <v>447562.71590909088</v>
      </c>
      <c r="P21" s="33">
        <f t="shared" si="3"/>
        <v>292064.5172413793</v>
      </c>
      <c r="Q21" s="46" t="str">
        <f t="shared" si="4"/>
        <v/>
      </c>
    </row>
    <row r="22" spans="1:17" ht="21.75" customHeight="1" x14ac:dyDescent="0.2">
      <c r="A22" s="73">
        <v>46220</v>
      </c>
      <c r="B22" s="74" t="s">
        <v>389</v>
      </c>
      <c r="C22" s="75">
        <v>46753158</v>
      </c>
      <c r="D22" s="75">
        <v>103</v>
      </c>
      <c r="E22" s="75"/>
      <c r="F22" s="75"/>
      <c r="G22" s="75">
        <v>8923000</v>
      </c>
      <c r="H22" s="75">
        <v>2255001</v>
      </c>
      <c r="I22" s="75">
        <v>5365199</v>
      </c>
      <c r="J22" s="75">
        <v>63</v>
      </c>
      <c r="K22" s="75">
        <v>1043500</v>
      </c>
      <c r="L22" s="76"/>
      <c r="M22" s="33">
        <f t="shared" si="0"/>
        <v>16543200</v>
      </c>
      <c r="N22" s="33">
        <f t="shared" si="1"/>
        <v>63296358</v>
      </c>
      <c r="O22" s="33">
        <f t="shared" si="2"/>
        <v>453914.15533980582</v>
      </c>
      <c r="P22" s="33">
        <f t="shared" si="3"/>
        <v>262590.47619047621</v>
      </c>
      <c r="Q22" s="46" t="str">
        <f t="shared" si="4"/>
        <v/>
      </c>
    </row>
    <row r="23" spans="1:17" ht="21.75" customHeight="1" x14ac:dyDescent="0.2">
      <c r="A23" s="77">
        <v>46221</v>
      </c>
      <c r="B23" s="78" t="s">
        <v>390</v>
      </c>
      <c r="C23" s="75">
        <v>40097175</v>
      </c>
      <c r="D23" s="75">
        <v>102</v>
      </c>
      <c r="E23" s="75"/>
      <c r="F23" s="75"/>
      <c r="G23" s="75">
        <v>5977296</v>
      </c>
      <c r="H23" s="75">
        <v>5832004</v>
      </c>
      <c r="I23" s="75">
        <v>7530007</v>
      </c>
      <c r="J23" s="75">
        <v>66</v>
      </c>
      <c r="K23" s="75">
        <v>1142400</v>
      </c>
      <c r="L23" s="76"/>
      <c r="M23" s="33">
        <f t="shared" si="0"/>
        <v>19339307</v>
      </c>
      <c r="N23" s="33">
        <f t="shared" si="1"/>
        <v>59436482</v>
      </c>
      <c r="O23" s="33">
        <f t="shared" si="2"/>
        <v>393109.5588235294</v>
      </c>
      <c r="P23" s="33">
        <f t="shared" si="3"/>
        <v>293019.80303030304</v>
      </c>
      <c r="Q23" s="46" t="str">
        <f t="shared" si="4"/>
        <v/>
      </c>
    </row>
    <row r="24" spans="1:17" ht="21.75" customHeight="1" x14ac:dyDescent="0.2">
      <c r="A24" s="77">
        <v>46222</v>
      </c>
      <c r="B24" s="78" t="s">
        <v>391</v>
      </c>
      <c r="C24" s="75">
        <v>24655035</v>
      </c>
      <c r="D24" s="75">
        <v>68</v>
      </c>
      <c r="E24" s="75"/>
      <c r="F24" s="75"/>
      <c r="G24" s="75">
        <v>11550771</v>
      </c>
      <c r="H24" s="75">
        <v>2669997</v>
      </c>
      <c r="I24" s="75">
        <v>2964998</v>
      </c>
      <c r="J24" s="75">
        <v>52</v>
      </c>
      <c r="K24" s="75"/>
      <c r="L24" s="76"/>
      <c r="M24" s="33">
        <f t="shared" si="0"/>
        <v>17185766</v>
      </c>
      <c r="N24" s="33">
        <f t="shared" si="1"/>
        <v>41840801</v>
      </c>
      <c r="O24" s="33">
        <f t="shared" si="2"/>
        <v>362574.04411764705</v>
      </c>
      <c r="P24" s="33">
        <f t="shared" si="3"/>
        <v>330495.5</v>
      </c>
      <c r="Q24" s="46" t="str">
        <f t="shared" si="4"/>
        <v/>
      </c>
    </row>
    <row r="25" spans="1:17" ht="21.75" customHeight="1" x14ac:dyDescent="0.2">
      <c r="A25" s="73">
        <v>46223</v>
      </c>
      <c r="B25" s="74" t="s">
        <v>385</v>
      </c>
      <c r="C25" s="75">
        <v>39654076</v>
      </c>
      <c r="D25" s="75">
        <v>82</v>
      </c>
      <c r="E25" s="75"/>
      <c r="F25" s="75"/>
      <c r="G25" s="75">
        <v>8513004</v>
      </c>
      <c r="H25" s="75">
        <v>3100502</v>
      </c>
      <c r="I25" s="75">
        <v>2328002</v>
      </c>
      <c r="J25" s="75">
        <v>41</v>
      </c>
      <c r="K25" s="75">
        <v>3192400</v>
      </c>
      <c r="L25" s="76"/>
      <c r="M25" s="33">
        <f t="shared" si="0"/>
        <v>13941508</v>
      </c>
      <c r="N25" s="33">
        <f t="shared" si="1"/>
        <v>53595584</v>
      </c>
      <c r="O25" s="33">
        <f t="shared" si="2"/>
        <v>483586.29268292681</v>
      </c>
      <c r="P25" s="33">
        <f t="shared" si="3"/>
        <v>340036.78048780491</v>
      </c>
      <c r="Q25" s="46" t="str">
        <f t="shared" si="4"/>
        <v/>
      </c>
    </row>
    <row r="26" spans="1:17" ht="21.75" customHeight="1" x14ac:dyDescent="0.2">
      <c r="A26" s="73">
        <v>46224</v>
      </c>
      <c r="B26" s="74" t="s">
        <v>386</v>
      </c>
      <c r="C26" s="75">
        <v>43848527</v>
      </c>
      <c r="D26" s="75">
        <v>93</v>
      </c>
      <c r="E26" s="75"/>
      <c r="F26" s="75"/>
      <c r="G26" s="75">
        <v>10045996</v>
      </c>
      <c r="H26" s="75">
        <v>2430000</v>
      </c>
      <c r="I26" s="75">
        <v>3247000</v>
      </c>
      <c r="J26" s="75">
        <v>58</v>
      </c>
      <c r="K26" s="75">
        <v>2042422</v>
      </c>
      <c r="L26" s="76"/>
      <c r="M26" s="33">
        <f t="shared" si="0"/>
        <v>15722996</v>
      </c>
      <c r="N26" s="33">
        <f t="shared" si="1"/>
        <v>59571523</v>
      </c>
      <c r="O26" s="33">
        <f t="shared" si="2"/>
        <v>471489.53763440863</v>
      </c>
      <c r="P26" s="33">
        <f t="shared" si="3"/>
        <v>271086.13793103449</v>
      </c>
      <c r="Q26" s="46" t="str">
        <f t="shared" si="4"/>
        <v/>
      </c>
    </row>
    <row r="27" spans="1:17" ht="21.75" customHeight="1" x14ac:dyDescent="0.2">
      <c r="A27" s="73">
        <v>46225</v>
      </c>
      <c r="B27" s="74" t="s">
        <v>387</v>
      </c>
      <c r="C27" s="75">
        <v>36900037</v>
      </c>
      <c r="D27" s="75">
        <v>84</v>
      </c>
      <c r="E27" s="75"/>
      <c r="F27" s="75"/>
      <c r="G27" s="75">
        <v>13002501</v>
      </c>
      <c r="H27" s="75">
        <v>7268306</v>
      </c>
      <c r="I27" s="75">
        <v>4719003</v>
      </c>
      <c r="J27" s="75">
        <v>58</v>
      </c>
      <c r="K27" s="75">
        <v>1131200</v>
      </c>
      <c r="L27" s="76"/>
      <c r="M27" s="33">
        <f t="shared" si="0"/>
        <v>24989810</v>
      </c>
      <c r="N27" s="33">
        <f t="shared" si="1"/>
        <v>61889847</v>
      </c>
      <c r="O27" s="33">
        <f t="shared" si="2"/>
        <v>439286.15476190473</v>
      </c>
      <c r="P27" s="33">
        <f t="shared" si="3"/>
        <v>430858.79310344829</v>
      </c>
      <c r="Q27" s="46" t="str">
        <f t="shared" si="4"/>
        <v/>
      </c>
    </row>
    <row r="28" spans="1:17" ht="21.75" customHeight="1" x14ac:dyDescent="0.2">
      <c r="A28" s="73">
        <v>46226</v>
      </c>
      <c r="B28" s="74" t="s">
        <v>388</v>
      </c>
      <c r="C28" s="75">
        <v>39534789</v>
      </c>
      <c r="D28" s="75">
        <v>110</v>
      </c>
      <c r="E28" s="75"/>
      <c r="F28" s="75"/>
      <c r="G28" s="75">
        <v>8705009</v>
      </c>
      <c r="H28" s="75">
        <v>2785001</v>
      </c>
      <c r="I28" s="75">
        <v>6959004</v>
      </c>
      <c r="J28" s="75">
        <v>65</v>
      </c>
      <c r="K28" s="75">
        <v>754286</v>
      </c>
      <c r="L28" s="76"/>
      <c r="M28" s="33">
        <f t="shared" si="0"/>
        <v>18449014</v>
      </c>
      <c r="N28" s="33">
        <f t="shared" si="1"/>
        <v>57983803</v>
      </c>
      <c r="O28" s="33">
        <f t="shared" si="2"/>
        <v>359407.17272727273</v>
      </c>
      <c r="P28" s="33">
        <f t="shared" si="3"/>
        <v>283830.9846153846</v>
      </c>
      <c r="Q28" s="46" t="str">
        <f t="shared" si="4"/>
        <v/>
      </c>
    </row>
    <row r="29" spans="1:17" ht="21.75" customHeight="1" x14ac:dyDescent="0.2">
      <c r="A29" s="73">
        <v>46227</v>
      </c>
      <c r="B29" s="74" t="s">
        <v>389</v>
      </c>
      <c r="C29" s="75">
        <v>41297566</v>
      </c>
      <c r="D29" s="75">
        <v>107</v>
      </c>
      <c r="E29" s="75"/>
      <c r="F29" s="75"/>
      <c r="G29" s="75">
        <v>5780004</v>
      </c>
      <c r="H29" s="75">
        <v>2550001</v>
      </c>
      <c r="I29" s="75">
        <v>2405000</v>
      </c>
      <c r="J29" s="75">
        <v>42</v>
      </c>
      <c r="K29" s="75"/>
      <c r="L29" s="76"/>
      <c r="M29" s="33">
        <f t="shared" si="0"/>
        <v>10735005</v>
      </c>
      <c r="N29" s="33">
        <f t="shared" si="1"/>
        <v>52032571</v>
      </c>
      <c r="O29" s="33">
        <f t="shared" si="2"/>
        <v>385958.56074766355</v>
      </c>
      <c r="P29" s="33">
        <f t="shared" si="3"/>
        <v>255595.35714285713</v>
      </c>
      <c r="Q29" s="46" t="str">
        <f t="shared" si="4"/>
        <v/>
      </c>
    </row>
    <row r="30" spans="1:17" ht="21.75" customHeight="1" x14ac:dyDescent="0.2">
      <c r="A30" s="77">
        <v>46228</v>
      </c>
      <c r="B30" s="78" t="s">
        <v>390</v>
      </c>
      <c r="C30" s="75">
        <v>39493009</v>
      </c>
      <c r="D30" s="75">
        <v>90</v>
      </c>
      <c r="E30" s="75"/>
      <c r="F30" s="75"/>
      <c r="G30" s="75">
        <v>10590247</v>
      </c>
      <c r="H30" s="75">
        <v>5624002</v>
      </c>
      <c r="I30" s="75">
        <v>3293999</v>
      </c>
      <c r="J30" s="75">
        <v>66</v>
      </c>
      <c r="K30" s="75">
        <v>3655400</v>
      </c>
      <c r="L30" s="76"/>
      <c r="M30" s="33">
        <f t="shared" si="0"/>
        <v>19508248</v>
      </c>
      <c r="N30" s="33">
        <f t="shared" si="1"/>
        <v>59001257</v>
      </c>
      <c r="O30" s="33">
        <f t="shared" si="2"/>
        <v>438811.2111111111</v>
      </c>
      <c r="P30" s="33">
        <f t="shared" si="3"/>
        <v>295579.51515151514</v>
      </c>
      <c r="Q30" s="46" t="str">
        <f t="shared" si="4"/>
        <v/>
      </c>
    </row>
    <row r="31" spans="1:17" ht="21.75" customHeight="1" x14ac:dyDescent="0.2">
      <c r="A31" s="77">
        <v>46229</v>
      </c>
      <c r="B31" s="78" t="s">
        <v>391</v>
      </c>
      <c r="C31" s="75">
        <v>26779522</v>
      </c>
      <c r="D31" s="75">
        <v>69</v>
      </c>
      <c r="E31" s="75"/>
      <c r="F31" s="75"/>
      <c r="G31" s="75">
        <v>11422009</v>
      </c>
      <c r="H31" s="75">
        <v>3517004</v>
      </c>
      <c r="I31" s="75">
        <v>3657499</v>
      </c>
      <c r="J31" s="75">
        <v>57</v>
      </c>
      <c r="K31" s="75"/>
      <c r="L31" s="76"/>
      <c r="M31" s="33">
        <f t="shared" si="0"/>
        <v>18596512</v>
      </c>
      <c r="N31" s="33">
        <f t="shared" si="1"/>
        <v>45376034</v>
      </c>
      <c r="O31" s="33">
        <f t="shared" si="2"/>
        <v>388109.0144927536</v>
      </c>
      <c r="P31" s="33">
        <f t="shared" si="3"/>
        <v>326254.59649122809</v>
      </c>
      <c r="Q31" s="46" t="str">
        <f t="shared" si="4"/>
        <v/>
      </c>
    </row>
    <row r="32" spans="1:17" ht="21.75" customHeight="1" x14ac:dyDescent="0.2">
      <c r="A32" s="73">
        <v>46230</v>
      </c>
      <c r="B32" s="74" t="s">
        <v>385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46231</v>
      </c>
      <c r="B33" s="74" t="s">
        <v>386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3">
        <v>46232</v>
      </c>
      <c r="B34" s="74" t="s">
        <v>387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3">
        <v>46233</v>
      </c>
      <c r="B35" s="74" t="s">
        <v>388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3">
        <v>46234</v>
      </c>
      <c r="B36" s="74" t="s">
        <v>389</v>
      </c>
      <c r="C36" s="75"/>
      <c r="D36" s="75"/>
      <c r="E36" s="75"/>
      <c r="F36" s="75"/>
      <c r="G36" s="75"/>
      <c r="H36" s="75"/>
      <c r="I36" s="75"/>
      <c r="J36" s="75"/>
      <c r="K36" s="75"/>
      <c r="L36" s="76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2" sqref="H22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444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445</v>
      </c>
      <c r="C4" s="81">
        <f>IFERROR(SUM('📅 DAILY T7'!C6:C10),0)</f>
        <v>196045598</v>
      </c>
      <c r="D4" s="81">
        <f>IFERROR(SUM('📅 DAILY T7'!D6:D10),0)</f>
        <v>465</v>
      </c>
      <c r="E4" s="81">
        <f>IFERROR(SUM('📅 DAILY T7'!C6:C10)/SUM('📅 DAILY T7'!D6:D10),"")</f>
        <v>421603.43655913981</v>
      </c>
      <c r="F4" s="82">
        <f>IFERROR(SUM('📅 DAILY T7'!F6:F10),0)</f>
        <v>0</v>
      </c>
      <c r="G4" s="83" t="str">
        <f>IFERROR(SUM('📅 DAILY T7'!C6:C10)/SUM('📅 DAILY T7'!F6:F10),"")</f>
        <v/>
      </c>
      <c r="H4" s="84">
        <f>IFERROR(SUM('📅 DAILY T7'!M6:M10),0)</f>
        <v>89379044</v>
      </c>
      <c r="I4" s="85">
        <f>IFERROR(SUM('📅 DAILY T7'!N6:N10),0)</f>
        <v>285424642</v>
      </c>
      <c r="J4" s="86">
        <f>IFERROR(SUM('📅 DAILY T7'!C6:C10)/1277560078,"")</f>
        <v>0.15345313412337233</v>
      </c>
      <c r="K4" s="86">
        <f>IFERROR(SUM('📅 DAILY T7'!M6:M10)/721910506,"")</f>
        <v>0.12380903624084395</v>
      </c>
      <c r="L4" s="87"/>
    </row>
    <row r="5" spans="1:12" ht="24" customHeight="1" x14ac:dyDescent="0.2">
      <c r="A5" s="88" t="s">
        <v>403</v>
      </c>
      <c r="B5" s="89" t="s">
        <v>446</v>
      </c>
      <c r="C5" s="81">
        <f>IFERROR(SUM('📅 DAILY T7'!C11:C17),0)</f>
        <v>251197658</v>
      </c>
      <c r="D5" s="81">
        <f>IFERROR(SUM('📅 DAILY T7'!D11:D17),0)</f>
        <v>613</v>
      </c>
      <c r="E5" s="81">
        <f>IFERROR(SUM('📅 DAILY T7'!C11:C17)/SUM('📅 DAILY T7'!D11:D17),"")</f>
        <v>409784.10766721045</v>
      </c>
      <c r="F5" s="82">
        <f>IFERROR(SUM('📅 DAILY T7'!F11:F17),0)</f>
        <v>0</v>
      </c>
      <c r="G5" s="83" t="str">
        <f>IFERROR(SUM('📅 DAILY T7'!C11:C17)/SUM('📅 DAILY T7'!F11:F17),"")</f>
        <v/>
      </c>
      <c r="H5" s="84">
        <f>IFERROR(SUM('📅 DAILY T7'!M11:M17),0)</f>
        <v>124233742</v>
      </c>
      <c r="I5" s="85">
        <f>IFERROR(SUM('📅 DAILY T7'!N11:N17),0)</f>
        <v>375431400</v>
      </c>
      <c r="J5" s="86">
        <f>IFERROR(SUM('📅 DAILY T7'!C6:C17)/1277560078,"")</f>
        <v>0.35007610499237907</v>
      </c>
      <c r="K5" s="86">
        <f>IFERROR(SUM('📅 DAILY T7'!M6:M17)/721910506,"")</f>
        <v>0.29589926206171602</v>
      </c>
      <c r="L5" s="87"/>
    </row>
    <row r="6" spans="1:12" ht="24" customHeight="1" x14ac:dyDescent="0.2">
      <c r="A6" s="90" t="s">
        <v>405</v>
      </c>
      <c r="B6" s="91" t="s">
        <v>447</v>
      </c>
      <c r="C6" s="81">
        <f>IFERROR(SUM('📅 DAILY T7'!C18:C24),0)</f>
        <v>266115750</v>
      </c>
      <c r="D6" s="81">
        <f>IFERROR(SUM('📅 DAILY T7'!D18:D24),0)</f>
        <v>630</v>
      </c>
      <c r="E6" s="81">
        <f>IFERROR(SUM('📅 DAILY T7'!C18:C24)/SUM('📅 DAILY T7'!D18:D24),"")</f>
        <v>422405.95238095237</v>
      </c>
      <c r="F6" s="82">
        <f>IFERROR(SUM('📅 DAILY T7'!F18:F24),0)</f>
        <v>0</v>
      </c>
      <c r="G6" s="83" t="str">
        <f>IFERROR(SUM('📅 DAILY T7'!C18:C24)/SUM('📅 DAILY T7'!F18:F24),"")</f>
        <v/>
      </c>
      <c r="H6" s="84">
        <f>IFERROR(SUM('📅 DAILY T7'!M18:M24),0)</f>
        <v>115945783</v>
      </c>
      <c r="I6" s="85">
        <f>IFERROR(SUM('📅 DAILY T7'!N18:N24),0)</f>
        <v>382061533</v>
      </c>
      <c r="J6" s="86">
        <f>IFERROR(SUM('📅 DAILY T7'!C6:C24)/1277560078,"")</f>
        <v>0.55837609384033993</v>
      </c>
      <c r="K6" s="86">
        <f>IFERROR(SUM('📅 DAILY T7'!M6:M24)/721910506,"")</f>
        <v>0.45650889723995791</v>
      </c>
      <c r="L6" s="87"/>
    </row>
    <row r="7" spans="1:12" ht="24" customHeight="1" x14ac:dyDescent="0.2">
      <c r="A7" s="92" t="s">
        <v>407</v>
      </c>
      <c r="B7" s="93" t="s">
        <v>448</v>
      </c>
      <c r="C7" s="81">
        <f>IFERROR(SUM('📅 DAILY T7'!C25:C31),0)</f>
        <v>267507526</v>
      </c>
      <c r="D7" s="81">
        <f>IFERROR(SUM('📅 DAILY T7'!D25:D31),0)</f>
        <v>635</v>
      </c>
      <c r="E7" s="81">
        <f>IFERROR(SUM('📅 DAILY T7'!C25:C31)/SUM('📅 DAILY T7'!D25:D31),"")</f>
        <v>421271.69448818895</v>
      </c>
      <c r="F7" s="82">
        <f>IFERROR(SUM('📅 DAILY T7'!F25:F31),0)</f>
        <v>0</v>
      </c>
      <c r="G7" s="83" t="str">
        <f>IFERROR(SUM('📅 DAILY T7'!C25:C31)/SUM('📅 DAILY T7'!F25:F31),"")</f>
        <v/>
      </c>
      <c r="H7" s="84">
        <f>IFERROR(SUM('📅 DAILY T7'!M25:M31),0)</f>
        <v>121943093</v>
      </c>
      <c r="I7" s="85">
        <f>IFERROR(SUM('📅 DAILY T7'!N25:N31),0)</f>
        <v>389450619</v>
      </c>
      <c r="J7" s="86">
        <f>IFERROR(SUM('📅 DAILY T7'!C6:C31)/1277560078,"")</f>
        <v>0.76776548429372571</v>
      </c>
      <c r="K7" s="86">
        <f>IFERROR(SUM('📅 DAILY T7'!M6:M31)/721910506,"")</f>
        <v>0.62542608570929981</v>
      </c>
      <c r="L7" s="87"/>
    </row>
    <row r="8" spans="1:12" ht="24" customHeight="1" x14ac:dyDescent="0.2">
      <c r="A8" s="94" t="s">
        <v>409</v>
      </c>
      <c r="B8" s="95" t="s">
        <v>449</v>
      </c>
      <c r="C8" s="81">
        <f>IFERROR(SUM('📅 DAILY T7'!C32:C36),0)</f>
        <v>0</v>
      </c>
      <c r="D8" s="81">
        <f>IFERROR(SUM('📅 DAILY T7'!D32:D36),0)</f>
        <v>0</v>
      </c>
      <c r="E8" s="81" t="str">
        <f>IFERROR(SUM('📅 DAILY T7'!C32:C36)/SUM('📅 DAILY T7'!D32:D36),"")</f>
        <v/>
      </c>
      <c r="F8" s="82">
        <f>IFERROR(SUM('📅 DAILY T7'!F32:F36),0)</f>
        <v>0</v>
      </c>
      <c r="G8" s="83" t="str">
        <f>IFERROR(SUM('📅 DAILY T7'!C32:C36)/SUM('📅 DAILY T7'!F32:F36),"")</f>
        <v/>
      </c>
      <c r="H8" s="84">
        <f>IFERROR(SUM('📅 DAILY T7'!M32:M36),0)</f>
        <v>0</v>
      </c>
      <c r="I8" s="85">
        <f>IFERROR(SUM('📅 DAILY T7'!N32:N36),0)</f>
        <v>0</v>
      </c>
      <c r="J8" s="86">
        <f>IFERROR(SUM('📅 DAILY T7'!C6:C36)/1277560078,"")</f>
        <v>0.76776548429372571</v>
      </c>
      <c r="K8" s="86">
        <f>IFERROR(SUM('📅 DAILY T7'!M6:M36)/721910506,"")</f>
        <v>0.62542608570929981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411</v>
      </c>
      <c r="B21" s="98" t="s">
        <v>450</v>
      </c>
      <c r="C21" s="99">
        <f>IFERROR(SUM('📅 DAILY T7'!C6:C36),0)</f>
        <v>980866532</v>
      </c>
      <c r="D21" s="99">
        <f>IFERROR(SUM('📅 DAILY T7'!D6:D36),0)</f>
        <v>2343</v>
      </c>
      <c r="E21" s="99">
        <f>IFERROR(SUM('📅 DAILY T7'!C6:C36)/SUM('📅 DAILY T7'!D6:D36),"")</f>
        <v>418637.01749893301</v>
      </c>
      <c r="F21" s="99">
        <f>IFERROR(SUM('📅 DAILY T7'!F6:F36),0)</f>
        <v>0</v>
      </c>
      <c r="G21" s="100" t="str">
        <f>IFERROR(SUM('📅 DAILY T7'!C6:C36)/SUM('📅 DAILY T7'!F6:F36),"")</f>
        <v/>
      </c>
      <c r="H21" s="99">
        <f>IFERROR(SUM('📅 DAILY T7'!M6:M36),0)</f>
        <v>451501662</v>
      </c>
      <c r="I21" s="99">
        <f>IFERROR(SUM('📅 DAILY T7'!N6:N36),0)</f>
        <v>1432368194</v>
      </c>
      <c r="J21" s="101">
        <f>IFERROR(SUM('📅 DAILY T7'!C6:C36)/1277560078,"")</f>
        <v>0.76776548429372571</v>
      </c>
      <c r="K21" s="101">
        <f>IFERROR(SUM('📅 DAILY T7'!M6:M36)/721910506,"")</f>
        <v>0.62542608570929981</v>
      </c>
      <c r="L21" s="96"/>
    </row>
    <row r="22" spans="1:12" ht="18.75" customHeight="1" x14ac:dyDescent="0.2"/>
    <row r="23" spans="1:12" ht="21.75" customHeight="1" x14ac:dyDescent="0.2">
      <c r="A23" s="160" t="s">
        <v>413</v>
      </c>
      <c r="B23" s="137"/>
      <c r="C23" s="102">
        <v>1214990084</v>
      </c>
      <c r="D23" s="68"/>
      <c r="E23" s="68"/>
      <c r="F23" s="68"/>
      <c r="G23" s="68"/>
      <c r="H23" s="103">
        <v>652226392</v>
      </c>
      <c r="I23" s="104">
        <v>1867216476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59" t="s">
        <v>414</v>
      </c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451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1221751028</v>
      </c>
      <c r="D5" s="68"/>
      <c r="E5" s="68"/>
      <c r="F5" s="68"/>
      <c r="G5" s="69">
        <v>345139241</v>
      </c>
      <c r="H5" s="69">
        <v>170156050</v>
      </c>
      <c r="I5" s="69">
        <v>140560485</v>
      </c>
      <c r="J5" s="68"/>
      <c r="K5" s="68"/>
      <c r="L5" s="68"/>
      <c r="M5" s="70">
        <v>655855776</v>
      </c>
      <c r="N5" s="70">
        <v>1877606804</v>
      </c>
      <c r="O5" s="71">
        <v>450000</v>
      </c>
      <c r="P5" s="71">
        <v>330000</v>
      </c>
      <c r="Q5" s="72"/>
    </row>
    <row r="6" spans="1:17" ht="21.75" customHeight="1" x14ac:dyDescent="0.2">
      <c r="A6" s="77">
        <v>46235</v>
      </c>
      <c r="B6" s="78" t="s">
        <v>390</v>
      </c>
      <c r="C6" s="75"/>
      <c r="D6" s="75"/>
      <c r="E6" s="75"/>
      <c r="F6" s="75"/>
      <c r="G6" s="75"/>
      <c r="H6" s="75"/>
      <c r="I6" s="75"/>
      <c r="J6" s="75"/>
      <c r="K6" s="75"/>
      <c r="L6" s="76"/>
      <c r="M6" s="33" t="str">
        <f t="shared" ref="M6:M36" si="0">IF(SUM(G6:I6)&gt;0,SUM(G6:I6),"")</f>
        <v/>
      </c>
      <c r="N6" s="33" t="str">
        <f t="shared" ref="N6:N36" si="1">IF(N(C6)+N(M6)&gt;0,N(C6)+N(M6),"")</f>
        <v/>
      </c>
      <c r="O6" s="33" t="str">
        <f t="shared" ref="O6:O36" si="2">IFERROR(IF(D6&gt;0,C6/D6,""),"")</f>
        <v/>
      </c>
      <c r="P6" s="33" t="str">
        <f t="shared" ref="P6:P36" si="3">IFERROR(IF(J6&gt;0,M6/J6,""),"")</f>
        <v/>
      </c>
      <c r="Q6" s="46" t="str">
        <f t="shared" ref="Q6:Q36" si="4">IFERROR(IF(E6&gt;0,D6/E6,""),"")</f>
        <v/>
      </c>
    </row>
    <row r="7" spans="1:17" ht="21.75" customHeight="1" x14ac:dyDescent="0.2">
      <c r="A7" s="77">
        <v>46236</v>
      </c>
      <c r="B7" s="78" t="s">
        <v>391</v>
      </c>
      <c r="C7" s="75"/>
      <c r="D7" s="75"/>
      <c r="E7" s="75"/>
      <c r="F7" s="75"/>
      <c r="G7" s="75"/>
      <c r="H7" s="75"/>
      <c r="I7" s="75"/>
      <c r="J7" s="75"/>
      <c r="K7" s="75"/>
      <c r="L7" s="76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3">
        <v>46237</v>
      </c>
      <c r="B8" s="74" t="s">
        <v>385</v>
      </c>
      <c r="C8" s="75"/>
      <c r="D8" s="75"/>
      <c r="E8" s="75"/>
      <c r="F8" s="75"/>
      <c r="G8" s="75"/>
      <c r="H8" s="75"/>
      <c r="I8" s="75"/>
      <c r="J8" s="75"/>
      <c r="K8" s="75"/>
      <c r="L8" s="76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3">
        <v>46238</v>
      </c>
      <c r="B9" s="74" t="s">
        <v>386</v>
      </c>
      <c r="C9" s="75"/>
      <c r="D9" s="75"/>
      <c r="E9" s="75"/>
      <c r="F9" s="75"/>
      <c r="G9" s="75"/>
      <c r="H9" s="75"/>
      <c r="I9" s="75"/>
      <c r="J9" s="75"/>
      <c r="K9" s="75"/>
      <c r="L9" s="76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3">
        <v>46239</v>
      </c>
      <c r="B10" s="74" t="s">
        <v>387</v>
      </c>
      <c r="C10" s="75"/>
      <c r="D10" s="75"/>
      <c r="E10" s="75"/>
      <c r="F10" s="75"/>
      <c r="G10" s="75"/>
      <c r="H10" s="75"/>
      <c r="I10" s="75"/>
      <c r="J10" s="75"/>
      <c r="K10" s="75"/>
      <c r="L10" s="76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3">
        <v>46240</v>
      </c>
      <c r="B11" s="74" t="s">
        <v>388</v>
      </c>
      <c r="C11" s="75"/>
      <c r="D11" s="75"/>
      <c r="E11" s="75"/>
      <c r="F11" s="75"/>
      <c r="G11" s="75"/>
      <c r="H11" s="75"/>
      <c r="I11" s="75"/>
      <c r="J11" s="75"/>
      <c r="K11" s="75"/>
      <c r="L11" s="76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3">
        <v>46241</v>
      </c>
      <c r="B12" s="74" t="s">
        <v>389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7">
        <v>46242</v>
      </c>
      <c r="B13" s="78" t="s">
        <v>390</v>
      </c>
      <c r="C13" s="75"/>
      <c r="D13" s="75"/>
      <c r="E13" s="75"/>
      <c r="F13" s="75"/>
      <c r="G13" s="75"/>
      <c r="H13" s="75"/>
      <c r="I13" s="75"/>
      <c r="J13" s="75"/>
      <c r="K13" s="75"/>
      <c r="L13" s="76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7">
        <v>46243</v>
      </c>
      <c r="B14" s="78" t="s">
        <v>391</v>
      </c>
      <c r="C14" s="75"/>
      <c r="D14" s="75"/>
      <c r="E14" s="75"/>
      <c r="F14" s="75"/>
      <c r="G14" s="75"/>
      <c r="H14" s="75"/>
      <c r="I14" s="75"/>
      <c r="J14" s="75"/>
      <c r="K14" s="75"/>
      <c r="L14" s="76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3">
        <v>46244</v>
      </c>
      <c r="B15" s="74" t="s">
        <v>385</v>
      </c>
      <c r="C15" s="75"/>
      <c r="D15" s="75"/>
      <c r="E15" s="75"/>
      <c r="F15" s="75"/>
      <c r="G15" s="75"/>
      <c r="H15" s="75"/>
      <c r="I15" s="75"/>
      <c r="J15" s="75"/>
      <c r="K15" s="75"/>
      <c r="L15" s="76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3">
        <v>46245</v>
      </c>
      <c r="B16" s="74" t="s">
        <v>386</v>
      </c>
      <c r="C16" s="75"/>
      <c r="D16" s="75"/>
      <c r="E16" s="75"/>
      <c r="F16" s="75"/>
      <c r="G16" s="75"/>
      <c r="H16" s="75"/>
      <c r="I16" s="75"/>
      <c r="J16" s="75"/>
      <c r="K16" s="75"/>
      <c r="L16" s="76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3">
        <v>46246</v>
      </c>
      <c r="B17" s="74" t="s">
        <v>387</v>
      </c>
      <c r="C17" s="75"/>
      <c r="D17" s="75"/>
      <c r="E17" s="75"/>
      <c r="F17" s="75"/>
      <c r="G17" s="75"/>
      <c r="H17" s="75"/>
      <c r="I17" s="75"/>
      <c r="J17" s="75"/>
      <c r="K17" s="75"/>
      <c r="L17" s="76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3">
        <v>46247</v>
      </c>
      <c r="B18" s="74" t="s">
        <v>388</v>
      </c>
      <c r="C18" s="75"/>
      <c r="D18" s="75"/>
      <c r="E18" s="75"/>
      <c r="F18" s="75"/>
      <c r="G18" s="75"/>
      <c r="H18" s="75"/>
      <c r="I18" s="75"/>
      <c r="J18" s="75"/>
      <c r="K18" s="75"/>
      <c r="L18" s="76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3">
        <v>46248</v>
      </c>
      <c r="B19" s="74" t="s">
        <v>389</v>
      </c>
      <c r="C19" s="75"/>
      <c r="D19" s="75"/>
      <c r="E19" s="75"/>
      <c r="F19" s="75"/>
      <c r="G19" s="75"/>
      <c r="H19" s="75"/>
      <c r="I19" s="75"/>
      <c r="J19" s="75"/>
      <c r="K19" s="75"/>
      <c r="L19" s="76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7">
        <v>46249</v>
      </c>
      <c r="B20" s="78" t="s">
        <v>390</v>
      </c>
      <c r="C20" s="75"/>
      <c r="D20" s="75"/>
      <c r="E20" s="75"/>
      <c r="F20" s="75"/>
      <c r="G20" s="75"/>
      <c r="H20" s="75"/>
      <c r="I20" s="75"/>
      <c r="J20" s="75"/>
      <c r="K20" s="75"/>
      <c r="L20" s="76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7">
        <v>46250</v>
      </c>
      <c r="B21" s="78" t="s">
        <v>391</v>
      </c>
      <c r="C21" s="75"/>
      <c r="D21" s="75"/>
      <c r="E21" s="75"/>
      <c r="F21" s="75"/>
      <c r="G21" s="75"/>
      <c r="H21" s="75"/>
      <c r="I21" s="75"/>
      <c r="J21" s="75"/>
      <c r="K21" s="75"/>
      <c r="L21" s="76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3">
        <v>46251</v>
      </c>
      <c r="B22" s="74" t="s">
        <v>385</v>
      </c>
      <c r="C22" s="75"/>
      <c r="D22" s="75"/>
      <c r="E22" s="75"/>
      <c r="F22" s="75"/>
      <c r="G22" s="75"/>
      <c r="H22" s="75"/>
      <c r="I22" s="75"/>
      <c r="J22" s="75"/>
      <c r="K22" s="75"/>
      <c r="L22" s="76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3">
        <v>46252</v>
      </c>
      <c r="B23" s="74" t="s">
        <v>386</v>
      </c>
      <c r="C23" s="75"/>
      <c r="D23" s="75"/>
      <c r="E23" s="75"/>
      <c r="F23" s="75"/>
      <c r="G23" s="75"/>
      <c r="H23" s="75"/>
      <c r="I23" s="75"/>
      <c r="J23" s="75"/>
      <c r="K23" s="75"/>
      <c r="L23" s="76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3">
        <v>46253</v>
      </c>
      <c r="B24" s="74" t="s">
        <v>387</v>
      </c>
      <c r="C24" s="75"/>
      <c r="D24" s="75"/>
      <c r="E24" s="75"/>
      <c r="F24" s="75"/>
      <c r="G24" s="75"/>
      <c r="H24" s="75"/>
      <c r="I24" s="75"/>
      <c r="J24" s="75"/>
      <c r="K24" s="75"/>
      <c r="L24" s="76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3">
        <v>46254</v>
      </c>
      <c r="B25" s="74" t="s">
        <v>388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46255</v>
      </c>
      <c r="B26" s="74" t="s">
        <v>389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7">
        <v>46256</v>
      </c>
      <c r="B27" s="78" t="s">
        <v>390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7">
        <v>46257</v>
      </c>
      <c r="B28" s="78" t="s">
        <v>391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46258</v>
      </c>
      <c r="B29" s="74" t="s">
        <v>385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3">
        <v>46259</v>
      </c>
      <c r="B30" s="74" t="s">
        <v>386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3">
        <v>46260</v>
      </c>
      <c r="B31" s="74" t="s">
        <v>387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3">
        <v>46261</v>
      </c>
      <c r="B32" s="74" t="s">
        <v>388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46262</v>
      </c>
      <c r="B33" s="74" t="s">
        <v>389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7">
        <v>46263</v>
      </c>
      <c r="B34" s="78" t="s">
        <v>390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7">
        <v>46264</v>
      </c>
      <c r="B35" s="78" t="s">
        <v>391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3">
        <v>46265</v>
      </c>
      <c r="B36" s="74" t="s">
        <v>385</v>
      </c>
      <c r="C36" s="75"/>
      <c r="D36" s="75"/>
      <c r="E36" s="75"/>
      <c r="F36" s="75"/>
      <c r="G36" s="75"/>
      <c r="H36" s="75"/>
      <c r="I36" s="75"/>
      <c r="J36" s="75"/>
      <c r="K36" s="75"/>
      <c r="L36" s="76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452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453</v>
      </c>
      <c r="C4" s="81">
        <f>IFERROR(SUM('📅 DAILY T8'!C6:C12),0)</f>
        <v>0</v>
      </c>
      <c r="D4" s="81">
        <f>IFERROR(SUM('📅 DAILY T8'!D6:D12),0)</f>
        <v>0</v>
      </c>
      <c r="E4" s="81" t="str">
        <f>IFERROR(SUM('📅 DAILY T8'!C6:C12)/SUM('📅 DAILY T8'!D6:D12),"")</f>
        <v/>
      </c>
      <c r="F4" s="82">
        <f>IFERROR(SUM('📅 DAILY T8'!F6:F12),0)</f>
        <v>0</v>
      </c>
      <c r="G4" s="83" t="str">
        <f>IFERROR(SUM('📅 DAILY T8'!C6:C12)/SUM('📅 DAILY T8'!F6:F12),"")</f>
        <v/>
      </c>
      <c r="H4" s="84">
        <f>IFERROR(SUM('📅 DAILY T8'!M6:M12),0)</f>
        <v>0</v>
      </c>
      <c r="I4" s="85">
        <f>IFERROR(SUM('📅 DAILY T8'!N6:N12),0)</f>
        <v>0</v>
      </c>
      <c r="J4" s="86">
        <f>IFERROR(SUM('📅 DAILY T8'!C6:C12)/1292244677,"")</f>
        <v>0</v>
      </c>
      <c r="K4" s="86">
        <f>IFERROR(SUM('📅 DAILY T8'!M6:M12)/730208327,"")</f>
        <v>0</v>
      </c>
      <c r="L4" s="87"/>
    </row>
    <row r="5" spans="1:12" ht="24" customHeight="1" x14ac:dyDescent="0.2">
      <c r="A5" s="88" t="s">
        <v>403</v>
      </c>
      <c r="B5" s="89" t="s">
        <v>454</v>
      </c>
      <c r="C5" s="81">
        <f>IFERROR(SUM('📅 DAILY T8'!C13:C19),0)</f>
        <v>0</v>
      </c>
      <c r="D5" s="81">
        <f>IFERROR(SUM('📅 DAILY T8'!D13:D19),0)</f>
        <v>0</v>
      </c>
      <c r="E5" s="81" t="str">
        <f>IFERROR(SUM('📅 DAILY T8'!C13:C19)/SUM('📅 DAILY T8'!D13:D19),"")</f>
        <v/>
      </c>
      <c r="F5" s="82">
        <f>IFERROR(SUM('📅 DAILY T8'!F13:F19),0)</f>
        <v>0</v>
      </c>
      <c r="G5" s="83" t="str">
        <f>IFERROR(SUM('📅 DAILY T8'!C13:C19)/SUM('📅 DAILY T8'!F13:F19),"")</f>
        <v/>
      </c>
      <c r="H5" s="84">
        <f>IFERROR(SUM('📅 DAILY T8'!M13:M19),0)</f>
        <v>0</v>
      </c>
      <c r="I5" s="85">
        <f>IFERROR(SUM('📅 DAILY T8'!N13:N19),0)</f>
        <v>0</v>
      </c>
      <c r="J5" s="86">
        <f>IFERROR(SUM('📅 DAILY T8'!C6:C19)/1292244677,"")</f>
        <v>0</v>
      </c>
      <c r="K5" s="86">
        <f>IFERROR(SUM('📅 DAILY T8'!M6:M19)/730208327,"")</f>
        <v>0</v>
      </c>
      <c r="L5" s="87"/>
    </row>
    <row r="6" spans="1:12" ht="24" customHeight="1" x14ac:dyDescent="0.2">
      <c r="A6" s="90" t="s">
        <v>405</v>
      </c>
      <c r="B6" s="91" t="s">
        <v>455</v>
      </c>
      <c r="C6" s="81">
        <f>IFERROR(SUM('📅 DAILY T8'!C20:C26),0)</f>
        <v>0</v>
      </c>
      <c r="D6" s="81">
        <f>IFERROR(SUM('📅 DAILY T8'!D20:D26),0)</f>
        <v>0</v>
      </c>
      <c r="E6" s="81" t="str">
        <f>IFERROR(SUM('📅 DAILY T8'!C20:C26)/SUM('📅 DAILY T8'!D20:D26),"")</f>
        <v/>
      </c>
      <c r="F6" s="82">
        <f>IFERROR(SUM('📅 DAILY T8'!F20:F26),0)</f>
        <v>0</v>
      </c>
      <c r="G6" s="83" t="str">
        <f>IFERROR(SUM('📅 DAILY T8'!C20:C26)/SUM('📅 DAILY T8'!F20:F26),"")</f>
        <v/>
      </c>
      <c r="H6" s="84">
        <f>IFERROR(SUM('📅 DAILY T8'!M20:M26),0)</f>
        <v>0</v>
      </c>
      <c r="I6" s="85">
        <f>IFERROR(SUM('📅 DAILY T8'!N20:N26),0)</f>
        <v>0</v>
      </c>
      <c r="J6" s="86">
        <f>IFERROR(SUM('📅 DAILY T8'!C6:C26)/1292244677,"")</f>
        <v>0</v>
      </c>
      <c r="K6" s="86">
        <f>IFERROR(SUM('📅 DAILY T8'!M6:M26)/730208327,"")</f>
        <v>0</v>
      </c>
      <c r="L6" s="87"/>
    </row>
    <row r="7" spans="1:12" ht="24" customHeight="1" x14ac:dyDescent="0.2">
      <c r="A7" s="92" t="s">
        <v>407</v>
      </c>
      <c r="B7" s="93" t="s">
        <v>456</v>
      </c>
      <c r="C7" s="81">
        <f>IFERROR(SUM('📅 DAILY T8'!C27:C33),0)</f>
        <v>0</v>
      </c>
      <c r="D7" s="81">
        <f>IFERROR(SUM('📅 DAILY T8'!D27:D33),0)</f>
        <v>0</v>
      </c>
      <c r="E7" s="81" t="str">
        <f>IFERROR(SUM('📅 DAILY T8'!C27:C33)/SUM('📅 DAILY T8'!D27:D33),"")</f>
        <v/>
      </c>
      <c r="F7" s="82">
        <f>IFERROR(SUM('📅 DAILY T8'!F27:F33),0)</f>
        <v>0</v>
      </c>
      <c r="G7" s="83" t="str">
        <f>IFERROR(SUM('📅 DAILY T8'!C27:C33)/SUM('📅 DAILY T8'!F27:F33),"")</f>
        <v/>
      </c>
      <c r="H7" s="84">
        <f>IFERROR(SUM('📅 DAILY T8'!M27:M33),0)</f>
        <v>0</v>
      </c>
      <c r="I7" s="85">
        <f>IFERROR(SUM('📅 DAILY T8'!N27:N33),0)</f>
        <v>0</v>
      </c>
      <c r="J7" s="86">
        <f>IFERROR(SUM('📅 DAILY T8'!C6:C33)/1292244677,"")</f>
        <v>0</v>
      </c>
      <c r="K7" s="86">
        <f>IFERROR(SUM('📅 DAILY T8'!M6:M33)/730208327,"")</f>
        <v>0</v>
      </c>
      <c r="L7" s="87"/>
    </row>
    <row r="8" spans="1:12" ht="24" customHeight="1" x14ac:dyDescent="0.2">
      <c r="A8" s="94" t="s">
        <v>409</v>
      </c>
      <c r="B8" s="95" t="s">
        <v>457</v>
      </c>
      <c r="C8" s="81">
        <f>IFERROR(SUM('📅 DAILY T8'!C28:C34),0)</f>
        <v>0</v>
      </c>
      <c r="D8" s="81">
        <f>IFERROR(SUM('📅 DAILY T8'!D28:D34),0)</f>
        <v>0</v>
      </c>
      <c r="E8" s="81"/>
      <c r="F8" s="82">
        <f>IFERROR(SUM('📅 DAILY T8'!F28:F34),0)</f>
        <v>0</v>
      </c>
      <c r="G8" s="83"/>
      <c r="H8" s="84">
        <f>IFERROR(SUM('📅 DAILY T8'!M28:M34),0)</f>
        <v>0</v>
      </c>
      <c r="I8" s="85">
        <f>IFERROR(SUM('📅 DAILY T8'!N28:N34),0)</f>
        <v>0</v>
      </c>
      <c r="J8" s="86">
        <f>IFERROR(SUM('📅 DAILY T8'!C7:C34)/1292244677,"")</f>
        <v>0</v>
      </c>
      <c r="K8" s="86">
        <f>IFERROR(SUM('📅 DAILY T8'!M7:M34)/730208327,"")</f>
        <v>0</v>
      </c>
      <c r="L8" s="87"/>
    </row>
    <row r="9" spans="1:12" ht="24" customHeight="1" x14ac:dyDescent="0.2">
      <c r="A9" s="94" t="s">
        <v>458</v>
      </c>
      <c r="B9" s="135">
        <v>46265</v>
      </c>
      <c r="C9" s="81">
        <f>IFERROR(SUM('📅 DAILY T8'!C34:C36),0)</f>
        <v>0</v>
      </c>
      <c r="D9" s="81">
        <f>IFERROR(SUM('📅 DAILY T8'!D34:D36),0)</f>
        <v>0</v>
      </c>
      <c r="E9" s="81" t="str">
        <f>IFERROR(SUM('📅 DAILY T8'!C34:C36)/SUM('📅 DAILY T8'!D34:D36),"")</f>
        <v/>
      </c>
      <c r="F9" s="82">
        <f>IFERROR(SUM('📅 DAILY T8'!F34:F36),0)</f>
        <v>0</v>
      </c>
      <c r="G9" s="83" t="str">
        <f>IFERROR(SUM('📅 DAILY T8'!C34:C36)/SUM('📅 DAILY T8'!F34:F36),"")</f>
        <v/>
      </c>
      <c r="H9" s="84">
        <f>IFERROR(SUM('📅 DAILY T8'!M34:M36),0)</f>
        <v>0</v>
      </c>
      <c r="I9" s="85">
        <f>IFERROR(SUM('📅 DAILY T8'!N34:N36),0)</f>
        <v>0</v>
      </c>
      <c r="J9" s="86">
        <f>IFERROR(SUM('📅 DAILY T8'!C6:C36)/1292244677,"")</f>
        <v>0</v>
      </c>
      <c r="K9" s="86">
        <f>IFERROR(SUM('📅 DAILY T8'!M6:M36)/730208327,"")</f>
        <v>0</v>
      </c>
      <c r="L9" s="87"/>
    </row>
    <row r="10" spans="1:12" ht="4.5" customHeight="1" x14ac:dyDescent="0.2">
      <c r="A10" s="96"/>
    </row>
    <row r="11" spans="1:12" ht="18.75" customHeight="1" x14ac:dyDescent="0.2">
      <c r="B11" s="96"/>
    </row>
    <row r="12" spans="1:12" ht="18.75" customHeight="1" x14ac:dyDescent="0.2">
      <c r="C12" s="96"/>
    </row>
    <row r="13" spans="1:12" ht="18.75" customHeight="1" x14ac:dyDescent="0.2">
      <c r="D13" s="96"/>
    </row>
    <row r="14" spans="1:12" ht="18.75" customHeight="1" x14ac:dyDescent="0.2">
      <c r="E14" s="96"/>
    </row>
    <row r="15" spans="1:12" ht="18.75" customHeight="1" x14ac:dyDescent="0.2">
      <c r="F15" s="96"/>
    </row>
    <row r="16" spans="1:12" ht="18.75" customHeight="1" x14ac:dyDescent="0.2">
      <c r="G16" s="96"/>
    </row>
    <row r="17" spans="1:12" ht="18.75" customHeight="1" x14ac:dyDescent="0.2">
      <c r="H17" s="96"/>
    </row>
    <row r="18" spans="1:12" ht="18.75" customHeight="1" x14ac:dyDescent="0.2">
      <c r="I18" s="96"/>
    </row>
    <row r="19" spans="1:12" ht="18.75" customHeight="1" x14ac:dyDescent="0.2">
      <c r="J19" s="96"/>
    </row>
    <row r="20" spans="1:12" ht="18.75" customHeight="1" x14ac:dyDescent="0.2">
      <c r="K20" s="96"/>
    </row>
    <row r="21" spans="1:12" ht="18.75" customHeight="1" x14ac:dyDescent="0.2">
      <c r="L21" s="96"/>
    </row>
    <row r="22" spans="1:12" ht="25.5" customHeight="1" x14ac:dyDescent="0.2">
      <c r="A22" s="97" t="s">
        <v>411</v>
      </c>
      <c r="B22" s="98" t="s">
        <v>459</v>
      </c>
      <c r="C22" s="99">
        <f>IFERROR(SUM('📅 DAILY T8'!C6:C36),0)</f>
        <v>0</v>
      </c>
      <c r="D22" s="99">
        <f>IFERROR(SUM('📅 DAILY T8'!D6:D36),0)</f>
        <v>0</v>
      </c>
      <c r="E22" s="99" t="str">
        <f>IFERROR(SUM('📅 DAILY T8'!C6:C36)/SUM('📅 DAILY T8'!D6:D36),"")</f>
        <v/>
      </c>
      <c r="F22" s="99">
        <f>IFERROR(SUM('📅 DAILY T8'!F6:F36),0)</f>
        <v>0</v>
      </c>
      <c r="G22" s="100" t="str">
        <f>IFERROR(SUM('📅 DAILY T8'!C6:C36)/SUM('📅 DAILY T8'!F6:F36),"")</f>
        <v/>
      </c>
      <c r="H22" s="99">
        <f>IFERROR(SUM('📅 DAILY T8'!M6:M36),0)</f>
        <v>0</v>
      </c>
      <c r="I22" s="99">
        <f>IFERROR(SUM('📅 DAILY T8'!N6:N36),0)</f>
        <v>0</v>
      </c>
      <c r="J22" s="101">
        <f>IFERROR(SUM('📅 DAILY T8'!C6:C36)/1292244677,"")</f>
        <v>0</v>
      </c>
      <c r="K22" s="101">
        <f>IFERROR(SUM('📅 DAILY T8'!M6:M36)/730208327,"")</f>
        <v>0</v>
      </c>
      <c r="L22" s="96"/>
    </row>
    <row r="23" spans="1:12" ht="18.75" customHeight="1" x14ac:dyDescent="0.2"/>
    <row r="24" spans="1:12" ht="21.75" customHeight="1" x14ac:dyDescent="0.2">
      <c r="A24" s="160" t="s">
        <v>413</v>
      </c>
      <c r="B24" s="137"/>
      <c r="C24" s="102">
        <v>1221751028</v>
      </c>
      <c r="D24" s="68"/>
      <c r="E24" s="68"/>
      <c r="F24" s="68"/>
      <c r="G24" s="68"/>
      <c r="H24" s="103">
        <v>655855776</v>
      </c>
      <c r="I24" s="104">
        <v>1877606804</v>
      </c>
      <c r="J24" s="68"/>
      <c r="K24" s="68"/>
      <c r="L24" s="68"/>
    </row>
    <row r="25" spans="1:12" ht="18.75" customHeight="1" x14ac:dyDescent="0.2"/>
    <row r="26" spans="1:12" ht="18.75" customHeight="1" x14ac:dyDescent="0.2">
      <c r="A26" s="159" t="s">
        <v>414</v>
      </c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460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1009097583</v>
      </c>
      <c r="D5" s="68"/>
      <c r="E5" s="68"/>
      <c r="F5" s="68"/>
      <c r="G5" s="69">
        <v>285065587</v>
      </c>
      <c r="H5" s="69">
        <v>140539321</v>
      </c>
      <c r="I5" s="69">
        <v>116095049</v>
      </c>
      <c r="J5" s="68"/>
      <c r="K5" s="68"/>
      <c r="L5" s="68"/>
      <c r="M5" s="70">
        <v>541699957</v>
      </c>
      <c r="N5" s="70">
        <v>1550797540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46266</v>
      </c>
      <c r="B6" s="74" t="s">
        <v>386</v>
      </c>
      <c r="C6" s="75"/>
      <c r="D6" s="75"/>
      <c r="E6" s="75"/>
      <c r="F6" s="75"/>
      <c r="G6" s="75"/>
      <c r="H6" s="75"/>
      <c r="I6" s="75"/>
      <c r="J6" s="75"/>
      <c r="K6" s="75"/>
      <c r="L6" s="76"/>
      <c r="M6" s="33" t="str">
        <f t="shared" ref="M6:M35" si="0">IF(SUM(G6:I6)&gt;0,SUM(G6:I6),"")</f>
        <v/>
      </c>
      <c r="N6" s="33" t="str">
        <f t="shared" ref="N6:N35" si="1">IF(N(C6)+N(M6)&gt;0,N(C6)+N(M6),"")</f>
        <v/>
      </c>
      <c r="O6" s="33" t="str">
        <f t="shared" ref="O6:O35" si="2">IFERROR(IF(D6&gt;0,C6/D6,""),"")</f>
        <v/>
      </c>
      <c r="P6" s="33" t="str">
        <f t="shared" ref="P6:P35" si="3">IFERROR(IF(J6&gt;0,M6/J6,""),"")</f>
        <v/>
      </c>
      <c r="Q6" s="46" t="str">
        <f t="shared" ref="Q6:Q35" si="4">IFERROR(IF(E6&gt;0,D6/E6,""),"")</f>
        <v/>
      </c>
    </row>
    <row r="7" spans="1:17" ht="21.75" customHeight="1" x14ac:dyDescent="0.2">
      <c r="A7" s="73">
        <v>46267</v>
      </c>
      <c r="B7" s="74" t="s">
        <v>387</v>
      </c>
      <c r="C7" s="75"/>
      <c r="D7" s="75"/>
      <c r="E7" s="75"/>
      <c r="F7" s="75"/>
      <c r="G7" s="75"/>
      <c r="H7" s="75"/>
      <c r="I7" s="75"/>
      <c r="J7" s="75"/>
      <c r="K7" s="75"/>
      <c r="L7" s="76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3">
        <v>46268</v>
      </c>
      <c r="B8" s="74" t="s">
        <v>388</v>
      </c>
      <c r="C8" s="75"/>
      <c r="D8" s="75"/>
      <c r="E8" s="75"/>
      <c r="F8" s="75"/>
      <c r="G8" s="75"/>
      <c r="H8" s="75"/>
      <c r="I8" s="75"/>
      <c r="J8" s="75"/>
      <c r="K8" s="75"/>
      <c r="L8" s="76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3">
        <v>46269</v>
      </c>
      <c r="B9" s="74" t="s">
        <v>389</v>
      </c>
      <c r="C9" s="75"/>
      <c r="D9" s="75"/>
      <c r="E9" s="75"/>
      <c r="F9" s="75"/>
      <c r="G9" s="75"/>
      <c r="H9" s="75"/>
      <c r="I9" s="75"/>
      <c r="J9" s="75"/>
      <c r="K9" s="75"/>
      <c r="L9" s="76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7">
        <v>46270</v>
      </c>
      <c r="B10" s="78" t="s">
        <v>390</v>
      </c>
      <c r="C10" s="75"/>
      <c r="D10" s="75"/>
      <c r="E10" s="75"/>
      <c r="F10" s="75"/>
      <c r="G10" s="75"/>
      <c r="H10" s="75"/>
      <c r="I10" s="75"/>
      <c r="J10" s="75"/>
      <c r="K10" s="75"/>
      <c r="L10" s="76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7">
        <v>46271</v>
      </c>
      <c r="B11" s="78" t="s">
        <v>391</v>
      </c>
      <c r="C11" s="75"/>
      <c r="D11" s="75"/>
      <c r="E11" s="75"/>
      <c r="F11" s="75"/>
      <c r="G11" s="75"/>
      <c r="H11" s="75"/>
      <c r="I11" s="75"/>
      <c r="J11" s="75"/>
      <c r="K11" s="75"/>
      <c r="L11" s="76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3">
        <v>46272</v>
      </c>
      <c r="B12" s="74" t="s">
        <v>385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3">
        <v>46273</v>
      </c>
      <c r="B13" s="74" t="s">
        <v>386</v>
      </c>
      <c r="C13" s="75"/>
      <c r="D13" s="75"/>
      <c r="E13" s="75"/>
      <c r="F13" s="75"/>
      <c r="G13" s="75"/>
      <c r="H13" s="75"/>
      <c r="I13" s="75"/>
      <c r="J13" s="75"/>
      <c r="K13" s="75"/>
      <c r="L13" s="76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3">
        <v>46274</v>
      </c>
      <c r="B14" s="74" t="s">
        <v>387</v>
      </c>
      <c r="C14" s="75"/>
      <c r="D14" s="75"/>
      <c r="E14" s="75"/>
      <c r="F14" s="75"/>
      <c r="G14" s="75"/>
      <c r="H14" s="75"/>
      <c r="I14" s="75"/>
      <c r="J14" s="75"/>
      <c r="K14" s="75"/>
      <c r="L14" s="76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3">
        <v>46275</v>
      </c>
      <c r="B15" s="74" t="s">
        <v>388</v>
      </c>
      <c r="C15" s="75"/>
      <c r="D15" s="75"/>
      <c r="E15" s="75"/>
      <c r="F15" s="75"/>
      <c r="G15" s="75"/>
      <c r="H15" s="75"/>
      <c r="I15" s="75"/>
      <c r="J15" s="75"/>
      <c r="K15" s="75"/>
      <c r="L15" s="76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3">
        <v>46276</v>
      </c>
      <c r="B16" s="74" t="s">
        <v>389</v>
      </c>
      <c r="C16" s="75"/>
      <c r="D16" s="75"/>
      <c r="E16" s="75"/>
      <c r="F16" s="75"/>
      <c r="G16" s="75"/>
      <c r="H16" s="75"/>
      <c r="I16" s="75"/>
      <c r="J16" s="75"/>
      <c r="K16" s="75"/>
      <c r="L16" s="76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7">
        <v>46277</v>
      </c>
      <c r="B17" s="78" t="s">
        <v>390</v>
      </c>
      <c r="C17" s="75"/>
      <c r="D17" s="75"/>
      <c r="E17" s="75"/>
      <c r="F17" s="75"/>
      <c r="G17" s="75"/>
      <c r="H17" s="75"/>
      <c r="I17" s="75"/>
      <c r="J17" s="75"/>
      <c r="K17" s="75"/>
      <c r="L17" s="76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7">
        <v>46278</v>
      </c>
      <c r="B18" s="78" t="s">
        <v>391</v>
      </c>
      <c r="C18" s="75"/>
      <c r="D18" s="75"/>
      <c r="E18" s="75"/>
      <c r="F18" s="75"/>
      <c r="G18" s="75"/>
      <c r="H18" s="75"/>
      <c r="I18" s="75"/>
      <c r="J18" s="75"/>
      <c r="K18" s="75"/>
      <c r="L18" s="76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3">
        <v>46279</v>
      </c>
      <c r="B19" s="74" t="s">
        <v>385</v>
      </c>
      <c r="C19" s="75"/>
      <c r="D19" s="75"/>
      <c r="E19" s="75"/>
      <c r="F19" s="75"/>
      <c r="G19" s="75"/>
      <c r="H19" s="75"/>
      <c r="I19" s="75"/>
      <c r="J19" s="75"/>
      <c r="K19" s="75"/>
      <c r="L19" s="76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3">
        <v>46280</v>
      </c>
      <c r="B20" s="74" t="s">
        <v>386</v>
      </c>
      <c r="C20" s="75"/>
      <c r="D20" s="75"/>
      <c r="E20" s="75"/>
      <c r="F20" s="75"/>
      <c r="G20" s="75"/>
      <c r="H20" s="75"/>
      <c r="I20" s="75"/>
      <c r="J20" s="75"/>
      <c r="K20" s="75"/>
      <c r="L20" s="76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3">
        <v>46281</v>
      </c>
      <c r="B21" s="74" t="s">
        <v>387</v>
      </c>
      <c r="C21" s="75"/>
      <c r="D21" s="75"/>
      <c r="E21" s="75"/>
      <c r="F21" s="75"/>
      <c r="G21" s="75"/>
      <c r="H21" s="75"/>
      <c r="I21" s="75"/>
      <c r="J21" s="75"/>
      <c r="K21" s="75"/>
      <c r="L21" s="76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3">
        <v>46282</v>
      </c>
      <c r="B22" s="74" t="s">
        <v>388</v>
      </c>
      <c r="C22" s="75"/>
      <c r="D22" s="75"/>
      <c r="E22" s="75"/>
      <c r="F22" s="75"/>
      <c r="G22" s="75"/>
      <c r="H22" s="75"/>
      <c r="I22" s="75"/>
      <c r="J22" s="75"/>
      <c r="K22" s="75"/>
      <c r="L22" s="76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3">
        <v>46283</v>
      </c>
      <c r="B23" s="74" t="s">
        <v>389</v>
      </c>
      <c r="C23" s="75"/>
      <c r="D23" s="75"/>
      <c r="E23" s="75"/>
      <c r="F23" s="75"/>
      <c r="G23" s="75"/>
      <c r="H23" s="75"/>
      <c r="I23" s="75"/>
      <c r="J23" s="75"/>
      <c r="K23" s="75"/>
      <c r="L23" s="76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7">
        <v>46284</v>
      </c>
      <c r="B24" s="78" t="s">
        <v>390</v>
      </c>
      <c r="C24" s="75"/>
      <c r="D24" s="75"/>
      <c r="E24" s="75"/>
      <c r="F24" s="75"/>
      <c r="G24" s="75"/>
      <c r="H24" s="75"/>
      <c r="I24" s="75"/>
      <c r="J24" s="75"/>
      <c r="K24" s="75"/>
      <c r="L24" s="76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7">
        <v>46285</v>
      </c>
      <c r="B25" s="78" t="s">
        <v>391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46286</v>
      </c>
      <c r="B26" s="74" t="s">
        <v>385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3">
        <v>46287</v>
      </c>
      <c r="B27" s="74" t="s">
        <v>386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3">
        <v>46288</v>
      </c>
      <c r="B28" s="74" t="s">
        <v>387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46289</v>
      </c>
      <c r="B29" s="74" t="s">
        <v>388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3">
        <v>46290</v>
      </c>
      <c r="B30" s="74" t="s">
        <v>389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7">
        <v>46291</v>
      </c>
      <c r="B31" s="78" t="s">
        <v>390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7">
        <v>46292</v>
      </c>
      <c r="B32" s="78" t="s">
        <v>391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46293</v>
      </c>
      <c r="B33" s="74" t="s">
        <v>385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3">
        <v>46294</v>
      </c>
      <c r="B34" s="74" t="s">
        <v>386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3">
        <v>46295</v>
      </c>
      <c r="B35" s="74" t="s">
        <v>387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461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462</v>
      </c>
      <c r="C4" s="81">
        <f>IFERROR(SUM('📅 DAILY T9'!C6:C12),0)</f>
        <v>0</v>
      </c>
      <c r="D4" s="81">
        <f>IFERROR(SUM('📅 DAILY T9'!D6:D12),0)</f>
        <v>0</v>
      </c>
      <c r="E4" s="81" t="str">
        <f>IFERROR(SUM('📅 DAILY T9'!C6:C12)/SUM('📅 DAILY T9'!D6:D12),"")</f>
        <v/>
      </c>
      <c r="F4" s="82">
        <f>IFERROR(SUM('📅 DAILY T9'!F6:F12),0)</f>
        <v>0</v>
      </c>
      <c r="G4" s="83" t="str">
        <f>IFERROR(SUM('📅 DAILY T9'!C6:C12)/SUM('📅 DAILY T9'!F6:F12),"")</f>
        <v/>
      </c>
      <c r="H4" s="84">
        <f>IFERROR(SUM('📅 DAILY T9'!M6:M12),0)</f>
        <v>0</v>
      </c>
      <c r="I4" s="85">
        <f>IFERROR(SUM('📅 DAILY T9'!N6:N12),0)</f>
        <v>0</v>
      </c>
      <c r="J4" s="86">
        <f>IFERROR(SUM('📅 DAILY T9'!C6:C12)/1145398691,"")</f>
        <v>0</v>
      </c>
      <c r="K4" s="86">
        <f>IFERROR(SUM('📅 DAILY T9'!M6:M12)/647230108,"")</f>
        <v>0</v>
      </c>
      <c r="L4" s="87"/>
    </row>
    <row r="5" spans="1:12" ht="24" customHeight="1" x14ac:dyDescent="0.2">
      <c r="A5" s="88" t="s">
        <v>403</v>
      </c>
      <c r="B5" s="89" t="s">
        <v>463</v>
      </c>
      <c r="C5" s="81">
        <f>IFERROR(SUM('📅 DAILY T9'!C13:C19),0)</f>
        <v>0</v>
      </c>
      <c r="D5" s="81">
        <f>IFERROR(SUM('📅 DAILY T9'!D13:D19),0)</f>
        <v>0</v>
      </c>
      <c r="E5" s="81" t="str">
        <f>IFERROR(SUM('📅 DAILY T9'!C13:C19)/SUM('📅 DAILY T9'!D13:D19),"")</f>
        <v/>
      </c>
      <c r="F5" s="82">
        <f>IFERROR(SUM('📅 DAILY T9'!F13:F19),0)</f>
        <v>0</v>
      </c>
      <c r="G5" s="83" t="str">
        <f>IFERROR(SUM('📅 DAILY T9'!C13:C19)/SUM('📅 DAILY T9'!F13:F19),"")</f>
        <v/>
      </c>
      <c r="H5" s="84">
        <f>IFERROR(SUM('📅 DAILY T9'!M13:M19),0)</f>
        <v>0</v>
      </c>
      <c r="I5" s="85">
        <f>IFERROR(SUM('📅 DAILY T9'!N13:N19),0)</f>
        <v>0</v>
      </c>
      <c r="J5" s="86">
        <f>IFERROR(SUM('📅 DAILY T9'!C6:C19)/1145398691,"")</f>
        <v>0</v>
      </c>
      <c r="K5" s="86">
        <f>IFERROR(SUM('📅 DAILY T9'!M6:M19)/647230108,"")</f>
        <v>0</v>
      </c>
      <c r="L5" s="87"/>
    </row>
    <row r="6" spans="1:12" ht="24" customHeight="1" x14ac:dyDescent="0.2">
      <c r="A6" s="90" t="s">
        <v>405</v>
      </c>
      <c r="B6" s="91" t="s">
        <v>464</v>
      </c>
      <c r="C6" s="81">
        <f>IFERROR(SUM('📅 DAILY T9'!C20:C26),0)</f>
        <v>0</v>
      </c>
      <c r="D6" s="81">
        <f>IFERROR(SUM('📅 DAILY T9'!D20:D26),0)</f>
        <v>0</v>
      </c>
      <c r="E6" s="81" t="str">
        <f>IFERROR(SUM('📅 DAILY T9'!C20:C26)/SUM('📅 DAILY T9'!D20:D26),"")</f>
        <v/>
      </c>
      <c r="F6" s="82">
        <f>IFERROR(SUM('📅 DAILY T9'!F20:F26),0)</f>
        <v>0</v>
      </c>
      <c r="G6" s="83" t="str">
        <f>IFERROR(SUM('📅 DAILY T9'!C20:C26)/SUM('📅 DAILY T9'!F20:F26),"")</f>
        <v/>
      </c>
      <c r="H6" s="84">
        <f>IFERROR(SUM('📅 DAILY T9'!M20:M26),0)</f>
        <v>0</v>
      </c>
      <c r="I6" s="85">
        <f>IFERROR(SUM('📅 DAILY T9'!N20:N26),0)</f>
        <v>0</v>
      </c>
      <c r="J6" s="86">
        <f>IFERROR(SUM('📅 DAILY T9'!C6:C26)/1145398691,"")</f>
        <v>0</v>
      </c>
      <c r="K6" s="86">
        <f>IFERROR(SUM('📅 DAILY T9'!M6:M26)/647230108,"")</f>
        <v>0</v>
      </c>
      <c r="L6" s="87"/>
    </row>
    <row r="7" spans="1:12" ht="24" customHeight="1" x14ac:dyDescent="0.2">
      <c r="A7" s="92" t="s">
        <v>407</v>
      </c>
      <c r="B7" s="93" t="s">
        <v>465</v>
      </c>
      <c r="C7" s="81">
        <f>IFERROR(SUM('📅 DAILY T9'!C27:C33),0)</f>
        <v>0</v>
      </c>
      <c r="D7" s="81">
        <f>IFERROR(SUM('📅 DAILY T9'!D27:D33),0)</f>
        <v>0</v>
      </c>
      <c r="E7" s="81" t="str">
        <f>IFERROR(SUM('📅 DAILY T9'!C27:C33)/SUM('📅 DAILY T9'!D27:D33),"")</f>
        <v/>
      </c>
      <c r="F7" s="82">
        <f>IFERROR(SUM('📅 DAILY T9'!F27:F33),0)</f>
        <v>0</v>
      </c>
      <c r="G7" s="83" t="str">
        <f>IFERROR(SUM('📅 DAILY T9'!C27:C33)/SUM('📅 DAILY T9'!F27:F33),"")</f>
        <v/>
      </c>
      <c r="H7" s="84">
        <f>IFERROR(SUM('📅 DAILY T9'!M27:M33),0)</f>
        <v>0</v>
      </c>
      <c r="I7" s="85">
        <f>IFERROR(SUM('📅 DAILY T9'!N27:N33),0)</f>
        <v>0</v>
      </c>
      <c r="J7" s="86">
        <f>IFERROR(SUM('📅 DAILY T9'!C6:C33)/1145398691,"")</f>
        <v>0</v>
      </c>
      <c r="K7" s="86">
        <f>IFERROR(SUM('📅 DAILY T9'!M6:M33)/647230108,"")</f>
        <v>0</v>
      </c>
      <c r="L7" s="87"/>
    </row>
    <row r="8" spans="1:12" ht="24" customHeight="1" x14ac:dyDescent="0.2">
      <c r="A8" s="94" t="s">
        <v>409</v>
      </c>
      <c r="B8" s="95" t="s">
        <v>466</v>
      </c>
      <c r="C8" s="81">
        <f>IFERROR(SUM('📅 DAILY T9'!C34:C35),0)</f>
        <v>0</v>
      </c>
      <c r="D8" s="81">
        <f>IFERROR(SUM('📅 DAILY T9'!D34:D35),0)</f>
        <v>0</v>
      </c>
      <c r="E8" s="81" t="str">
        <f>IFERROR(SUM('📅 DAILY T9'!C34:C35)/SUM('📅 DAILY T9'!D34:D35),"")</f>
        <v/>
      </c>
      <c r="F8" s="82">
        <f>IFERROR(SUM('📅 DAILY T9'!F34:F35),0)</f>
        <v>0</v>
      </c>
      <c r="G8" s="83" t="str">
        <f>IFERROR(SUM('📅 DAILY T9'!C34:C35)/SUM('📅 DAILY T9'!F34:F35),"")</f>
        <v/>
      </c>
      <c r="H8" s="84">
        <f>IFERROR(SUM('📅 DAILY T9'!M34:M35),0)</f>
        <v>0</v>
      </c>
      <c r="I8" s="85">
        <f>IFERROR(SUM('📅 DAILY T9'!N34:N35),0)</f>
        <v>0</v>
      </c>
      <c r="J8" s="86">
        <f>IFERROR(SUM('📅 DAILY T9'!C6:C35)/1145398691,"")</f>
        <v>0</v>
      </c>
      <c r="K8" s="86">
        <f>IFERROR(SUM('📅 DAILY T9'!M6:M35)/647230108,"")</f>
        <v>0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411</v>
      </c>
      <c r="B21" s="98" t="s">
        <v>467</v>
      </c>
      <c r="C21" s="99">
        <f>IFERROR(SUM('📅 DAILY T9'!C6:C35),0)</f>
        <v>0</v>
      </c>
      <c r="D21" s="99">
        <f>IFERROR(SUM('📅 DAILY T9'!D6:D35),0)</f>
        <v>0</v>
      </c>
      <c r="E21" s="99" t="str">
        <f>IFERROR(SUM('📅 DAILY T9'!C6:C35)/SUM('📅 DAILY T9'!D6:D35),"")</f>
        <v/>
      </c>
      <c r="F21" s="99">
        <f>IFERROR(SUM('📅 DAILY T9'!F6:F35),0)</f>
        <v>0</v>
      </c>
      <c r="G21" s="100" t="str">
        <f>IFERROR(SUM('📅 DAILY T9'!C6:C35)/SUM('📅 DAILY T9'!F6:F35),"")</f>
        <v/>
      </c>
      <c r="H21" s="99">
        <f>IFERROR(SUM('📅 DAILY T9'!M6:M35),0)</f>
        <v>0</v>
      </c>
      <c r="I21" s="99">
        <f>IFERROR(SUM('📅 DAILY T9'!N6:N35),0)</f>
        <v>0</v>
      </c>
      <c r="J21" s="101">
        <f>IFERROR(SUM('📅 DAILY T9'!C6:C35)/1145398691,"")</f>
        <v>0</v>
      </c>
      <c r="K21" s="101">
        <f>IFERROR(SUM('📅 DAILY T9'!M6:M35)/647230108,"")</f>
        <v>0</v>
      </c>
      <c r="L21" s="96"/>
    </row>
    <row r="22" spans="1:12" ht="18.75" customHeight="1" x14ac:dyDescent="0.2"/>
    <row r="23" spans="1:12" ht="21.75" customHeight="1" x14ac:dyDescent="0.2">
      <c r="A23" s="160" t="s">
        <v>413</v>
      </c>
      <c r="B23" s="137"/>
      <c r="C23" s="102">
        <v>1009097583</v>
      </c>
      <c r="D23" s="68"/>
      <c r="E23" s="68"/>
      <c r="F23" s="68"/>
      <c r="G23" s="68"/>
      <c r="H23" s="103">
        <v>541699957</v>
      </c>
      <c r="I23" s="104">
        <v>1550797540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59" t="s">
        <v>414</v>
      </c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57" t="s">
        <v>468</v>
      </c>
      <c r="B1" s="137"/>
      <c r="C1" s="137"/>
    </row>
    <row r="2" spans="1:3" ht="18.75" customHeight="1" x14ac:dyDescent="0.2"/>
    <row r="3" spans="1:3" ht="28.5" customHeight="1" x14ac:dyDescent="0.2">
      <c r="A3" s="165" t="s">
        <v>469</v>
      </c>
      <c r="B3" s="137"/>
      <c r="C3" s="137"/>
    </row>
    <row r="4" spans="1:3" ht="24" customHeight="1" x14ac:dyDescent="0.2">
      <c r="A4" s="112"/>
      <c r="B4" s="113" t="s">
        <v>470</v>
      </c>
      <c r="C4" s="114" t="s">
        <v>471</v>
      </c>
    </row>
    <row r="5" spans="1:3" ht="24" customHeight="1" x14ac:dyDescent="0.2">
      <c r="A5" s="87"/>
      <c r="B5" s="34" t="s">
        <v>472</v>
      </c>
      <c r="C5" s="115" t="s">
        <v>473</v>
      </c>
    </row>
    <row r="6" spans="1:3" ht="24" customHeight="1" x14ac:dyDescent="0.2">
      <c r="A6" s="112"/>
      <c r="B6" s="113" t="s">
        <v>474</v>
      </c>
      <c r="C6" s="114" t="s">
        <v>475</v>
      </c>
    </row>
    <row r="7" spans="1:3" ht="24" customHeight="1" x14ac:dyDescent="0.2">
      <c r="A7" s="87"/>
      <c r="B7" s="34" t="s">
        <v>476</v>
      </c>
      <c r="C7" s="115" t="s">
        <v>477</v>
      </c>
    </row>
    <row r="8" spans="1:3" ht="24" customHeight="1" x14ac:dyDescent="0.2">
      <c r="A8" s="112"/>
      <c r="B8" s="113" t="s">
        <v>478</v>
      </c>
      <c r="C8" s="114" t="s">
        <v>479</v>
      </c>
    </row>
    <row r="9" spans="1:3" ht="24" customHeight="1" x14ac:dyDescent="0.2">
      <c r="A9" s="87"/>
      <c r="B9" s="34" t="s">
        <v>480</v>
      </c>
      <c r="C9" s="115" t="s">
        <v>481</v>
      </c>
    </row>
    <row r="10" spans="1:3" ht="18.75" customHeight="1" x14ac:dyDescent="0.2"/>
    <row r="11" spans="1:3" ht="28.5" customHeight="1" x14ac:dyDescent="0.2">
      <c r="A11" s="163" t="s">
        <v>482</v>
      </c>
      <c r="B11" s="137"/>
      <c r="C11" s="137"/>
    </row>
    <row r="12" spans="1:3" ht="24" customHeight="1" x14ac:dyDescent="0.2">
      <c r="A12" s="116"/>
      <c r="B12" s="117" t="s">
        <v>483</v>
      </c>
      <c r="C12" s="118" t="s">
        <v>484</v>
      </c>
    </row>
    <row r="13" spans="1:3" ht="24" customHeight="1" x14ac:dyDescent="0.2">
      <c r="A13" s="87"/>
      <c r="B13" s="34" t="s">
        <v>485</v>
      </c>
      <c r="C13" s="115" t="s">
        <v>486</v>
      </c>
    </row>
    <row r="14" spans="1:3" ht="24" customHeight="1" x14ac:dyDescent="0.2">
      <c r="A14" s="116"/>
      <c r="B14" s="117" t="s">
        <v>487</v>
      </c>
      <c r="C14" s="118" t="s">
        <v>488</v>
      </c>
    </row>
    <row r="15" spans="1:3" ht="24" customHeight="1" x14ac:dyDescent="0.2">
      <c r="A15" s="87"/>
      <c r="B15" s="34" t="s">
        <v>489</v>
      </c>
      <c r="C15" s="115" t="s">
        <v>490</v>
      </c>
    </row>
    <row r="16" spans="1:3" ht="18.75" customHeight="1" x14ac:dyDescent="0.2"/>
    <row r="17" spans="1:3" ht="28.5" customHeight="1" x14ac:dyDescent="0.2">
      <c r="A17" s="164" t="s">
        <v>491</v>
      </c>
      <c r="B17" s="137"/>
      <c r="C17" s="137"/>
    </row>
    <row r="18" spans="1:3" ht="24" customHeight="1" x14ac:dyDescent="0.2">
      <c r="A18" s="119"/>
      <c r="B18" s="120" t="s">
        <v>492</v>
      </c>
      <c r="C18" s="121" t="s">
        <v>493</v>
      </c>
    </row>
    <row r="19" spans="1:3" ht="24" customHeight="1" x14ac:dyDescent="0.2">
      <c r="A19" s="87"/>
      <c r="B19" s="34" t="s">
        <v>494</v>
      </c>
      <c r="C19" s="115" t="s">
        <v>495</v>
      </c>
    </row>
    <row r="20" spans="1:3" ht="24" customHeight="1" x14ac:dyDescent="0.2">
      <c r="A20" s="119"/>
      <c r="B20" s="120" t="s">
        <v>496</v>
      </c>
      <c r="C20" s="121" t="s">
        <v>497</v>
      </c>
    </row>
    <row r="21" spans="1:3" ht="24" customHeight="1" x14ac:dyDescent="0.2">
      <c r="A21" s="87"/>
      <c r="B21" s="34" t="s">
        <v>498</v>
      </c>
      <c r="C21" s="115" t="s">
        <v>499</v>
      </c>
    </row>
    <row r="22" spans="1:3" ht="24" customHeight="1" x14ac:dyDescent="0.2">
      <c r="A22" s="119"/>
      <c r="B22" s="120" t="s">
        <v>500</v>
      </c>
      <c r="C22" s="121" t="s">
        <v>501</v>
      </c>
    </row>
    <row r="23" spans="1:3" ht="18.75" customHeight="1" x14ac:dyDescent="0.2"/>
    <row r="24" spans="1:3" ht="28.5" customHeight="1" x14ac:dyDescent="0.2">
      <c r="A24" s="166" t="s">
        <v>502</v>
      </c>
      <c r="B24" s="137"/>
      <c r="C24" s="137"/>
    </row>
    <row r="25" spans="1:3" ht="24" customHeight="1" x14ac:dyDescent="0.2">
      <c r="A25" s="122"/>
      <c r="B25" s="123" t="s">
        <v>503</v>
      </c>
      <c r="C25" s="124" t="s">
        <v>504</v>
      </c>
    </row>
    <row r="26" spans="1:3" ht="24" customHeight="1" x14ac:dyDescent="0.2">
      <c r="A26" s="87"/>
      <c r="B26" s="34" t="s">
        <v>505</v>
      </c>
      <c r="C26" s="115" t="s">
        <v>506</v>
      </c>
    </row>
    <row r="27" spans="1:3" ht="24" customHeight="1" x14ac:dyDescent="0.2">
      <c r="A27" s="122"/>
      <c r="B27" s="123" t="s">
        <v>169</v>
      </c>
      <c r="C27" s="124" t="s">
        <v>507</v>
      </c>
    </row>
    <row r="28" spans="1:3" ht="24" customHeight="1" x14ac:dyDescent="0.2">
      <c r="A28" s="87"/>
      <c r="B28" s="34" t="s">
        <v>174</v>
      </c>
      <c r="C28" s="115" t="s">
        <v>508</v>
      </c>
    </row>
    <row r="29" spans="1:3" ht="24" customHeight="1" x14ac:dyDescent="0.2">
      <c r="A29" s="122"/>
      <c r="B29" s="123" t="s">
        <v>179</v>
      </c>
      <c r="C29" s="124" t="s">
        <v>509</v>
      </c>
    </row>
    <row r="30" spans="1:3" ht="24" customHeight="1" x14ac:dyDescent="0.2">
      <c r="A30" s="87"/>
      <c r="B30" s="34" t="s">
        <v>510</v>
      </c>
      <c r="C30" s="115" t="s">
        <v>511</v>
      </c>
    </row>
    <row r="31" spans="1:3" ht="24" customHeight="1" x14ac:dyDescent="0.2">
      <c r="A31" s="122"/>
      <c r="B31" s="123" t="s">
        <v>512</v>
      </c>
      <c r="C31" s="124" t="s">
        <v>513</v>
      </c>
    </row>
    <row r="32" spans="1:3" ht="24" customHeight="1" x14ac:dyDescent="0.2">
      <c r="A32" s="87"/>
      <c r="B32" s="34" t="s">
        <v>514</v>
      </c>
      <c r="C32" s="115" t="s">
        <v>515</v>
      </c>
    </row>
    <row r="33" spans="1:3" ht="24" customHeight="1" x14ac:dyDescent="0.2">
      <c r="A33" s="122"/>
      <c r="B33" s="123" t="s">
        <v>516</v>
      </c>
      <c r="C33" s="124" t="s">
        <v>517</v>
      </c>
    </row>
    <row r="34" spans="1:3" ht="24" customHeight="1" x14ac:dyDescent="0.2">
      <c r="A34" s="87"/>
      <c r="B34" s="34" t="s">
        <v>518</v>
      </c>
      <c r="C34" s="115" t="s">
        <v>519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70" t="s">
        <v>520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</row>
    <row r="2" spans="1:14" ht="12.75" customHeight="1" x14ac:dyDescent="0.2">
      <c r="A2" s="169" t="s">
        <v>521</v>
      </c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</row>
    <row r="3" spans="1:14" ht="30" customHeight="1" x14ac:dyDescent="0.2">
      <c r="A3" s="125" t="s">
        <v>522</v>
      </c>
      <c r="B3" s="125" t="s">
        <v>523</v>
      </c>
      <c r="C3" s="125" t="s">
        <v>524</v>
      </c>
      <c r="D3" s="125" t="s">
        <v>525</v>
      </c>
      <c r="E3" s="125" t="s">
        <v>526</v>
      </c>
      <c r="F3" s="125" t="s">
        <v>527</v>
      </c>
      <c r="G3" s="125" t="s">
        <v>528</v>
      </c>
      <c r="H3" s="125" t="s">
        <v>529</v>
      </c>
      <c r="I3" s="125" t="s">
        <v>530</v>
      </c>
      <c r="J3" s="125" t="s">
        <v>531</v>
      </c>
      <c r="K3" s="125" t="s">
        <v>532</v>
      </c>
      <c r="L3" s="125" t="s">
        <v>533</v>
      </c>
      <c r="M3" s="125" t="s">
        <v>534</v>
      </c>
      <c r="N3" s="125" t="s">
        <v>535</v>
      </c>
    </row>
    <row r="4" spans="1:14" ht="19.5" customHeight="1" x14ac:dyDescent="0.2">
      <c r="A4" s="167" t="s">
        <v>536</v>
      </c>
      <c r="B4" s="150"/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</row>
    <row r="5" spans="1:14" ht="15.75" customHeight="1" x14ac:dyDescent="0.2">
      <c r="A5" s="126" t="s">
        <v>537</v>
      </c>
      <c r="B5" s="127" t="s">
        <v>538</v>
      </c>
      <c r="C5" s="128">
        <v>780</v>
      </c>
      <c r="D5" s="129">
        <v>231</v>
      </c>
      <c r="E5" s="129">
        <v>160</v>
      </c>
      <c r="F5" s="129">
        <v>201</v>
      </c>
      <c r="G5" s="129">
        <v>43</v>
      </c>
      <c r="H5" s="129">
        <v>107</v>
      </c>
      <c r="I5" s="129">
        <v>32</v>
      </c>
      <c r="J5" s="129">
        <v>6</v>
      </c>
      <c r="K5" s="130">
        <v>0</v>
      </c>
      <c r="L5" s="131">
        <v>311</v>
      </c>
      <c r="M5" s="130">
        <v>0</v>
      </c>
      <c r="N5" s="131">
        <v>382</v>
      </c>
    </row>
    <row r="6" spans="1:14" ht="15.75" customHeight="1" x14ac:dyDescent="0.2">
      <c r="A6" s="126" t="s">
        <v>537</v>
      </c>
      <c r="B6" s="132" t="s">
        <v>539</v>
      </c>
      <c r="C6" s="128">
        <v>1082</v>
      </c>
      <c r="D6" s="129">
        <v>792</v>
      </c>
      <c r="E6" s="129">
        <v>188</v>
      </c>
      <c r="F6" s="129">
        <v>77</v>
      </c>
      <c r="G6" s="129">
        <v>10</v>
      </c>
      <c r="H6" s="129">
        <v>12</v>
      </c>
      <c r="I6" s="129">
        <v>2</v>
      </c>
      <c r="J6" s="129">
        <v>1</v>
      </c>
      <c r="K6" s="130">
        <v>0</v>
      </c>
      <c r="L6" s="131">
        <v>346</v>
      </c>
      <c r="M6" s="130">
        <v>0</v>
      </c>
      <c r="N6" s="131">
        <v>139</v>
      </c>
    </row>
    <row r="7" spans="1:14" ht="15.75" customHeight="1" x14ac:dyDescent="0.2">
      <c r="A7" s="126" t="s">
        <v>537</v>
      </c>
      <c r="B7" s="133" t="s">
        <v>540</v>
      </c>
      <c r="C7" s="128">
        <v>1316</v>
      </c>
      <c r="D7" s="129">
        <v>1181</v>
      </c>
      <c r="E7" s="129">
        <v>105</v>
      </c>
      <c r="F7" s="129">
        <v>17</v>
      </c>
      <c r="G7" s="129">
        <v>6</v>
      </c>
      <c r="H7" s="129">
        <v>7</v>
      </c>
      <c r="I7" s="130">
        <v>0</v>
      </c>
      <c r="J7" s="130">
        <v>0</v>
      </c>
      <c r="K7" s="130">
        <v>0</v>
      </c>
      <c r="L7" s="131">
        <v>439</v>
      </c>
      <c r="M7" s="130">
        <v>0</v>
      </c>
      <c r="N7" s="131">
        <v>141</v>
      </c>
    </row>
    <row r="8" spans="1:14" ht="4.5" customHeight="1" x14ac:dyDescent="0.2">
      <c r="A8" s="134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</row>
    <row r="9" spans="1:14" ht="15.75" customHeight="1" x14ac:dyDescent="0.2">
      <c r="A9" s="126" t="s">
        <v>541</v>
      </c>
      <c r="B9" s="127" t="s">
        <v>538</v>
      </c>
      <c r="C9" s="128">
        <v>418</v>
      </c>
      <c r="D9" s="129">
        <v>123</v>
      </c>
      <c r="E9" s="129">
        <v>68</v>
      </c>
      <c r="F9" s="129">
        <v>127</v>
      </c>
      <c r="G9" s="129">
        <v>18</v>
      </c>
      <c r="H9" s="129">
        <v>49</v>
      </c>
      <c r="I9" s="129">
        <v>22</v>
      </c>
      <c r="J9" s="129">
        <v>11</v>
      </c>
      <c r="K9" s="130">
        <v>0</v>
      </c>
      <c r="L9" s="131">
        <v>184</v>
      </c>
      <c r="M9" s="130">
        <v>0</v>
      </c>
      <c r="N9" s="131">
        <v>191</v>
      </c>
    </row>
    <row r="10" spans="1:14" ht="15.75" customHeight="1" x14ac:dyDescent="0.2">
      <c r="A10" s="126" t="s">
        <v>541</v>
      </c>
      <c r="B10" s="132" t="s">
        <v>539</v>
      </c>
      <c r="C10" s="128">
        <v>567</v>
      </c>
      <c r="D10" s="129">
        <v>381</v>
      </c>
      <c r="E10" s="129">
        <v>111</v>
      </c>
      <c r="F10" s="129">
        <v>57</v>
      </c>
      <c r="G10" s="129">
        <v>9</v>
      </c>
      <c r="H10" s="129">
        <v>7</v>
      </c>
      <c r="I10" s="129">
        <v>2</v>
      </c>
      <c r="J10" s="130">
        <v>0</v>
      </c>
      <c r="K10" s="130">
        <v>0</v>
      </c>
      <c r="L10" s="131">
        <v>185</v>
      </c>
      <c r="M10" s="130">
        <v>0</v>
      </c>
      <c r="N10" s="131">
        <v>71</v>
      </c>
    </row>
    <row r="11" spans="1:14" ht="15.75" customHeight="1" x14ac:dyDescent="0.2">
      <c r="A11" s="126" t="s">
        <v>541</v>
      </c>
      <c r="B11" s="133" t="s">
        <v>540</v>
      </c>
      <c r="C11" s="128">
        <v>750</v>
      </c>
      <c r="D11" s="129">
        <v>636</v>
      </c>
      <c r="E11" s="129">
        <v>93</v>
      </c>
      <c r="F11" s="129">
        <v>9</v>
      </c>
      <c r="G11" s="129">
        <v>9</v>
      </c>
      <c r="H11" s="129">
        <v>3</v>
      </c>
      <c r="I11" s="130">
        <v>0</v>
      </c>
      <c r="J11" s="130">
        <v>0</v>
      </c>
      <c r="K11" s="130">
        <v>0</v>
      </c>
      <c r="L11" s="131">
        <v>239</v>
      </c>
      <c r="M11" s="130">
        <v>0</v>
      </c>
      <c r="N11" s="131">
        <v>104</v>
      </c>
    </row>
    <row r="12" spans="1:14" ht="4.5" customHeight="1" x14ac:dyDescent="0.2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</row>
    <row r="13" spans="1:14" ht="15.75" customHeight="1" x14ac:dyDescent="0.2">
      <c r="A13" s="126" t="s">
        <v>542</v>
      </c>
      <c r="B13" s="127" t="s">
        <v>538</v>
      </c>
      <c r="C13" s="128">
        <v>483</v>
      </c>
      <c r="D13" s="129">
        <v>167</v>
      </c>
      <c r="E13" s="129">
        <v>64</v>
      </c>
      <c r="F13" s="129">
        <v>132</v>
      </c>
      <c r="G13" s="129">
        <v>22</v>
      </c>
      <c r="H13" s="129">
        <v>59</v>
      </c>
      <c r="I13" s="129">
        <v>24</v>
      </c>
      <c r="J13" s="129">
        <v>15</v>
      </c>
      <c r="K13" s="130">
        <v>0</v>
      </c>
      <c r="L13" s="131">
        <v>176</v>
      </c>
      <c r="M13" s="130">
        <v>0</v>
      </c>
      <c r="N13" s="131">
        <v>232</v>
      </c>
    </row>
    <row r="14" spans="1:14" ht="15.75" customHeight="1" x14ac:dyDescent="0.2">
      <c r="A14" s="126" t="s">
        <v>542</v>
      </c>
      <c r="B14" s="132" t="s">
        <v>539</v>
      </c>
      <c r="C14" s="128">
        <v>695</v>
      </c>
      <c r="D14" s="129">
        <v>493</v>
      </c>
      <c r="E14" s="129">
        <v>121</v>
      </c>
      <c r="F14" s="129">
        <v>69</v>
      </c>
      <c r="G14" s="129">
        <v>2</v>
      </c>
      <c r="H14" s="129">
        <v>7</v>
      </c>
      <c r="I14" s="129">
        <v>3</v>
      </c>
      <c r="J14" s="130">
        <v>0</v>
      </c>
      <c r="K14" s="130">
        <v>0</v>
      </c>
      <c r="L14" s="131">
        <v>184</v>
      </c>
      <c r="M14" s="130">
        <v>0</v>
      </c>
      <c r="N14" s="131">
        <v>73</v>
      </c>
    </row>
    <row r="15" spans="1:14" ht="15.75" customHeight="1" x14ac:dyDescent="0.2">
      <c r="A15" s="126" t="s">
        <v>542</v>
      </c>
      <c r="B15" s="133" t="s">
        <v>540</v>
      </c>
      <c r="C15" s="128">
        <v>844</v>
      </c>
      <c r="D15" s="129">
        <v>740</v>
      </c>
      <c r="E15" s="129">
        <v>78</v>
      </c>
      <c r="F15" s="129">
        <v>15</v>
      </c>
      <c r="G15" s="129">
        <v>5</v>
      </c>
      <c r="H15" s="129">
        <v>6</v>
      </c>
      <c r="I15" s="130">
        <v>0</v>
      </c>
      <c r="J15" s="130">
        <v>0</v>
      </c>
      <c r="K15" s="130">
        <v>0</v>
      </c>
      <c r="L15" s="131">
        <v>238</v>
      </c>
      <c r="M15" s="130">
        <v>0</v>
      </c>
      <c r="N15" s="131">
        <v>92</v>
      </c>
    </row>
    <row r="16" spans="1:14" ht="4.5" customHeight="1" x14ac:dyDescent="0.2">
      <c r="A16" s="134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</row>
    <row r="17" spans="1:14" ht="15.75" customHeight="1" x14ac:dyDescent="0.2">
      <c r="A17" s="126" t="s">
        <v>543</v>
      </c>
      <c r="B17" s="127" t="s">
        <v>538</v>
      </c>
      <c r="C17" s="128">
        <v>473</v>
      </c>
      <c r="D17" s="129">
        <v>149</v>
      </c>
      <c r="E17" s="129">
        <v>89</v>
      </c>
      <c r="F17" s="129">
        <v>100</v>
      </c>
      <c r="G17" s="129">
        <v>22</v>
      </c>
      <c r="H17" s="129">
        <v>78</v>
      </c>
      <c r="I17" s="129">
        <v>21</v>
      </c>
      <c r="J17" s="129">
        <v>14</v>
      </c>
      <c r="K17" s="130">
        <v>0</v>
      </c>
      <c r="L17" s="131">
        <v>180</v>
      </c>
      <c r="M17" s="130">
        <v>0</v>
      </c>
      <c r="N17" s="131">
        <v>232</v>
      </c>
    </row>
    <row r="18" spans="1:14" ht="15.75" customHeight="1" x14ac:dyDescent="0.2">
      <c r="A18" s="126" t="s">
        <v>543</v>
      </c>
      <c r="B18" s="132" t="s">
        <v>539</v>
      </c>
      <c r="C18" s="128">
        <v>611</v>
      </c>
      <c r="D18" s="129">
        <v>429</v>
      </c>
      <c r="E18" s="129">
        <v>108</v>
      </c>
      <c r="F18" s="129">
        <v>59</v>
      </c>
      <c r="G18" s="129">
        <v>5</v>
      </c>
      <c r="H18" s="129">
        <v>8</v>
      </c>
      <c r="I18" s="129">
        <v>2</v>
      </c>
      <c r="J18" s="130">
        <v>0</v>
      </c>
      <c r="K18" s="130">
        <v>0</v>
      </c>
      <c r="L18" s="131">
        <v>160</v>
      </c>
      <c r="M18" s="130">
        <v>0</v>
      </c>
      <c r="N18" s="131">
        <v>76</v>
      </c>
    </row>
    <row r="19" spans="1:14" ht="15.75" customHeight="1" x14ac:dyDescent="0.2">
      <c r="A19" s="126" t="s">
        <v>543</v>
      </c>
      <c r="B19" s="133" t="s">
        <v>540</v>
      </c>
      <c r="C19" s="128">
        <v>782</v>
      </c>
      <c r="D19" s="129">
        <v>696</v>
      </c>
      <c r="E19" s="129">
        <v>63</v>
      </c>
      <c r="F19" s="129">
        <v>14</v>
      </c>
      <c r="G19" s="129">
        <v>3</v>
      </c>
      <c r="H19" s="129">
        <v>6</v>
      </c>
      <c r="I19" s="130">
        <v>0</v>
      </c>
      <c r="J19" s="130">
        <v>0</v>
      </c>
      <c r="K19" s="130">
        <v>0</v>
      </c>
      <c r="L19" s="131">
        <v>220</v>
      </c>
      <c r="M19" s="130">
        <v>0</v>
      </c>
      <c r="N19" s="131">
        <v>76</v>
      </c>
    </row>
    <row r="20" spans="1:14" ht="4.5" customHeight="1" x14ac:dyDescent="0.2">
      <c r="A20" s="134"/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</row>
    <row r="21" spans="1:14" ht="15.75" customHeight="1" x14ac:dyDescent="0.2">
      <c r="A21" s="126" t="s">
        <v>544</v>
      </c>
      <c r="B21" s="127" t="s">
        <v>538</v>
      </c>
      <c r="C21" s="128">
        <v>522</v>
      </c>
      <c r="D21" s="129">
        <v>193</v>
      </c>
      <c r="E21" s="129">
        <v>99</v>
      </c>
      <c r="F21" s="129">
        <v>110</v>
      </c>
      <c r="G21" s="129">
        <v>22</v>
      </c>
      <c r="H21" s="129">
        <v>64</v>
      </c>
      <c r="I21" s="129">
        <v>20</v>
      </c>
      <c r="J21" s="129">
        <v>14</v>
      </c>
      <c r="K21" s="130">
        <v>0</v>
      </c>
      <c r="L21" s="131">
        <v>206</v>
      </c>
      <c r="M21" s="130">
        <v>0</v>
      </c>
      <c r="N21" s="131">
        <v>246</v>
      </c>
    </row>
    <row r="22" spans="1:14" ht="15.75" customHeight="1" x14ac:dyDescent="0.2">
      <c r="A22" s="126" t="s">
        <v>544</v>
      </c>
      <c r="B22" s="132" t="s">
        <v>539</v>
      </c>
      <c r="C22" s="128">
        <v>640</v>
      </c>
      <c r="D22" s="129">
        <v>454</v>
      </c>
      <c r="E22" s="129">
        <v>119</v>
      </c>
      <c r="F22" s="129">
        <v>40</v>
      </c>
      <c r="G22" s="129">
        <v>15</v>
      </c>
      <c r="H22" s="129">
        <v>8</v>
      </c>
      <c r="I22" s="129">
        <v>3</v>
      </c>
      <c r="J22" s="129">
        <v>1</v>
      </c>
      <c r="K22" s="130">
        <v>0</v>
      </c>
      <c r="L22" s="131">
        <v>157</v>
      </c>
      <c r="M22" s="130">
        <v>0</v>
      </c>
      <c r="N22" s="131">
        <v>69</v>
      </c>
    </row>
    <row r="23" spans="1:14" ht="15.75" customHeight="1" x14ac:dyDescent="0.2">
      <c r="A23" s="126" t="s">
        <v>544</v>
      </c>
      <c r="B23" s="133" t="s">
        <v>540</v>
      </c>
      <c r="C23" s="128">
        <v>736</v>
      </c>
      <c r="D23" s="129">
        <v>636</v>
      </c>
      <c r="E23" s="129">
        <v>80</v>
      </c>
      <c r="F23" s="129">
        <v>9</v>
      </c>
      <c r="G23" s="129">
        <v>5</v>
      </c>
      <c r="H23" s="129">
        <v>6</v>
      </c>
      <c r="I23" s="130">
        <v>0</v>
      </c>
      <c r="J23" s="130">
        <v>0</v>
      </c>
      <c r="K23" s="130">
        <v>0</v>
      </c>
      <c r="L23" s="131">
        <v>183</v>
      </c>
      <c r="M23" s="130">
        <v>0</v>
      </c>
      <c r="N23" s="131">
        <v>86</v>
      </c>
    </row>
    <row r="24" spans="1:14" ht="4.5" customHeight="1" x14ac:dyDescent="0.2">
      <c r="A24" s="134"/>
      <c r="B24" s="134"/>
      <c r="C24" s="134"/>
      <c r="D24" s="134"/>
      <c r="E24" s="134"/>
      <c r="F24" s="134"/>
      <c r="G24" s="134"/>
      <c r="H24" s="134"/>
      <c r="I24" s="134"/>
      <c r="J24" s="134"/>
      <c r="K24" s="134"/>
      <c r="L24" s="134"/>
      <c r="M24" s="134"/>
      <c r="N24" s="134"/>
    </row>
    <row r="25" spans="1:14" ht="15.75" customHeight="1" x14ac:dyDescent="0.2">
      <c r="A25" s="126" t="s">
        <v>545</v>
      </c>
      <c r="B25" s="127" t="s">
        <v>538</v>
      </c>
      <c r="C25" s="128">
        <v>467</v>
      </c>
      <c r="D25" s="129">
        <v>170</v>
      </c>
      <c r="E25" s="129">
        <v>91</v>
      </c>
      <c r="F25" s="129">
        <v>110</v>
      </c>
      <c r="G25" s="129">
        <v>10</v>
      </c>
      <c r="H25" s="129">
        <v>61</v>
      </c>
      <c r="I25" s="129">
        <v>18</v>
      </c>
      <c r="J25" s="129">
        <v>7</v>
      </c>
      <c r="K25" s="130">
        <v>0</v>
      </c>
      <c r="L25" s="131">
        <v>174</v>
      </c>
      <c r="M25" s="130">
        <v>0</v>
      </c>
      <c r="N25" s="131">
        <v>213</v>
      </c>
    </row>
    <row r="26" spans="1:14" ht="15.75" customHeight="1" x14ac:dyDescent="0.2">
      <c r="A26" s="126" t="s">
        <v>545</v>
      </c>
      <c r="B26" s="132" t="s">
        <v>539</v>
      </c>
      <c r="C26" s="128">
        <v>640</v>
      </c>
      <c r="D26" s="129">
        <v>439</v>
      </c>
      <c r="E26" s="129">
        <v>128</v>
      </c>
      <c r="F26" s="129">
        <v>56</v>
      </c>
      <c r="G26" s="129">
        <v>8</v>
      </c>
      <c r="H26" s="129">
        <v>8</v>
      </c>
      <c r="I26" s="129">
        <v>1</v>
      </c>
      <c r="J26" s="130">
        <v>0</v>
      </c>
      <c r="K26" s="130">
        <v>0</v>
      </c>
      <c r="L26" s="131">
        <v>177</v>
      </c>
      <c r="M26" s="130">
        <v>0</v>
      </c>
      <c r="N26" s="131">
        <v>94</v>
      </c>
    </row>
    <row r="27" spans="1:14" ht="15.75" customHeight="1" x14ac:dyDescent="0.2">
      <c r="A27" s="126" t="s">
        <v>545</v>
      </c>
      <c r="B27" s="133" t="s">
        <v>540</v>
      </c>
      <c r="C27" s="128">
        <v>665</v>
      </c>
      <c r="D27" s="129">
        <v>567</v>
      </c>
      <c r="E27" s="129">
        <v>71</v>
      </c>
      <c r="F27" s="129">
        <v>19</v>
      </c>
      <c r="G27" s="129">
        <v>3</v>
      </c>
      <c r="H27" s="129">
        <v>5</v>
      </c>
      <c r="I27" s="130">
        <v>0</v>
      </c>
      <c r="J27" s="130">
        <v>0</v>
      </c>
      <c r="K27" s="130">
        <v>0</v>
      </c>
      <c r="L27" s="131">
        <v>184</v>
      </c>
      <c r="M27" s="130">
        <v>0</v>
      </c>
      <c r="N27" s="131">
        <v>88</v>
      </c>
    </row>
    <row r="28" spans="1:14" ht="4.5" customHeight="1" x14ac:dyDescent="0.2">
      <c r="A28" s="134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</row>
    <row r="29" spans="1:14" ht="15.75" customHeight="1" x14ac:dyDescent="0.2">
      <c r="A29" s="126" t="s">
        <v>546</v>
      </c>
      <c r="B29" s="127" t="s">
        <v>538</v>
      </c>
      <c r="C29" s="128">
        <v>516</v>
      </c>
      <c r="D29" s="129">
        <v>187</v>
      </c>
      <c r="E29" s="129">
        <v>92</v>
      </c>
      <c r="F29" s="129">
        <v>108</v>
      </c>
      <c r="G29" s="129">
        <v>17</v>
      </c>
      <c r="H29" s="129">
        <v>72</v>
      </c>
      <c r="I29" s="129">
        <v>30</v>
      </c>
      <c r="J29" s="129">
        <v>10</v>
      </c>
      <c r="K29" s="130">
        <v>0</v>
      </c>
      <c r="L29" s="131">
        <v>180</v>
      </c>
      <c r="M29" s="130">
        <v>0</v>
      </c>
      <c r="N29" s="131">
        <v>242</v>
      </c>
    </row>
    <row r="30" spans="1:14" ht="15.75" customHeight="1" x14ac:dyDescent="0.2">
      <c r="A30" s="126" t="s">
        <v>546</v>
      </c>
      <c r="B30" s="132" t="s">
        <v>539</v>
      </c>
      <c r="C30" s="128">
        <v>678</v>
      </c>
      <c r="D30" s="129">
        <v>468</v>
      </c>
      <c r="E30" s="129">
        <v>108</v>
      </c>
      <c r="F30" s="129">
        <v>80</v>
      </c>
      <c r="G30" s="129">
        <v>5</v>
      </c>
      <c r="H30" s="129">
        <v>17</v>
      </c>
      <c r="I30" s="130">
        <v>0</v>
      </c>
      <c r="J30" s="130">
        <v>0</v>
      </c>
      <c r="K30" s="130">
        <v>0</v>
      </c>
      <c r="L30" s="131">
        <v>187</v>
      </c>
      <c r="M30" s="130">
        <v>0</v>
      </c>
      <c r="N30" s="131">
        <v>106</v>
      </c>
    </row>
    <row r="31" spans="1:14" ht="15.75" customHeight="1" x14ac:dyDescent="0.2">
      <c r="A31" s="126" t="s">
        <v>546</v>
      </c>
      <c r="B31" s="133" t="s">
        <v>540</v>
      </c>
      <c r="C31" s="128">
        <v>713</v>
      </c>
      <c r="D31" s="129">
        <v>598</v>
      </c>
      <c r="E31" s="129">
        <v>91</v>
      </c>
      <c r="F31" s="129">
        <v>14</v>
      </c>
      <c r="G31" s="129">
        <v>6</v>
      </c>
      <c r="H31" s="129">
        <v>3</v>
      </c>
      <c r="I31" s="129">
        <v>1</v>
      </c>
      <c r="J31" s="130">
        <v>0</v>
      </c>
      <c r="K31" s="130">
        <v>0</v>
      </c>
      <c r="L31" s="131">
        <v>201</v>
      </c>
      <c r="M31" s="130">
        <v>0</v>
      </c>
      <c r="N31" s="131">
        <v>101</v>
      </c>
    </row>
    <row r="32" spans="1:14" ht="4.5" customHeight="1" x14ac:dyDescent="0.2">
      <c r="A32" s="134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</row>
    <row r="33" spans="1:14" ht="15.75" customHeight="1" x14ac:dyDescent="0.2">
      <c r="A33" s="126" t="s">
        <v>547</v>
      </c>
      <c r="B33" s="127" t="s">
        <v>538</v>
      </c>
      <c r="C33" s="128">
        <v>644</v>
      </c>
      <c r="D33" s="129">
        <v>208</v>
      </c>
      <c r="E33" s="129">
        <v>100</v>
      </c>
      <c r="F33" s="129">
        <v>173</v>
      </c>
      <c r="G33" s="129">
        <v>30</v>
      </c>
      <c r="H33" s="129">
        <v>79</v>
      </c>
      <c r="I33" s="129">
        <v>31</v>
      </c>
      <c r="J33" s="129">
        <v>23</v>
      </c>
      <c r="K33" s="130">
        <v>0</v>
      </c>
      <c r="L33" s="131">
        <v>242</v>
      </c>
      <c r="M33" s="130">
        <v>0</v>
      </c>
      <c r="N33" s="131">
        <v>294</v>
      </c>
    </row>
    <row r="34" spans="1:14" ht="15.75" customHeight="1" x14ac:dyDescent="0.2">
      <c r="A34" s="126" t="s">
        <v>547</v>
      </c>
      <c r="B34" s="132" t="s">
        <v>539</v>
      </c>
      <c r="C34" s="128">
        <v>819</v>
      </c>
      <c r="D34" s="129">
        <v>574</v>
      </c>
      <c r="E34" s="129">
        <v>131</v>
      </c>
      <c r="F34" s="129">
        <v>88</v>
      </c>
      <c r="G34" s="129">
        <v>10</v>
      </c>
      <c r="H34" s="129">
        <v>13</v>
      </c>
      <c r="I34" s="129">
        <v>3</v>
      </c>
      <c r="J34" s="130">
        <v>0</v>
      </c>
      <c r="K34" s="130">
        <v>0</v>
      </c>
      <c r="L34" s="131">
        <v>196</v>
      </c>
      <c r="M34" s="130">
        <v>0</v>
      </c>
      <c r="N34" s="131">
        <v>132</v>
      </c>
    </row>
    <row r="35" spans="1:14" ht="15.75" customHeight="1" x14ac:dyDescent="0.2">
      <c r="A35" s="126" t="s">
        <v>547</v>
      </c>
      <c r="B35" s="133" t="s">
        <v>540</v>
      </c>
      <c r="C35" s="128">
        <v>773</v>
      </c>
      <c r="D35" s="129">
        <v>646</v>
      </c>
      <c r="E35" s="129">
        <v>98</v>
      </c>
      <c r="F35" s="129">
        <v>13</v>
      </c>
      <c r="G35" s="129">
        <v>4</v>
      </c>
      <c r="H35" s="129">
        <v>8</v>
      </c>
      <c r="I35" s="129">
        <v>3</v>
      </c>
      <c r="J35" s="129">
        <v>1</v>
      </c>
      <c r="K35" s="130">
        <v>0</v>
      </c>
      <c r="L35" s="131">
        <v>198</v>
      </c>
      <c r="M35" s="130">
        <v>0</v>
      </c>
      <c r="N35" s="131">
        <v>129</v>
      </c>
    </row>
    <row r="36" spans="1:14" ht="4.5" customHeight="1" x14ac:dyDescent="0.2">
      <c r="A36" s="134"/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</row>
    <row r="37" spans="1:14" ht="15.75" customHeight="1" x14ac:dyDescent="0.2">
      <c r="A37" s="126" t="s">
        <v>548</v>
      </c>
      <c r="B37" s="127" t="s">
        <v>538</v>
      </c>
      <c r="C37" s="128">
        <v>517</v>
      </c>
      <c r="D37" s="129">
        <v>167</v>
      </c>
      <c r="E37" s="129">
        <v>95</v>
      </c>
      <c r="F37" s="129">
        <v>128</v>
      </c>
      <c r="G37" s="129">
        <v>15</v>
      </c>
      <c r="H37" s="129">
        <v>68</v>
      </c>
      <c r="I37" s="129">
        <v>25</v>
      </c>
      <c r="J37" s="129">
        <v>19</v>
      </c>
      <c r="K37" s="130">
        <v>0</v>
      </c>
      <c r="L37" s="131">
        <v>159</v>
      </c>
      <c r="M37" s="130">
        <v>0</v>
      </c>
      <c r="N37" s="131">
        <v>239</v>
      </c>
    </row>
    <row r="38" spans="1:14" ht="15.75" customHeight="1" x14ac:dyDescent="0.2">
      <c r="A38" s="126" t="s">
        <v>548</v>
      </c>
      <c r="B38" s="132" t="s">
        <v>539</v>
      </c>
      <c r="C38" s="128">
        <v>721</v>
      </c>
      <c r="D38" s="129">
        <v>531</v>
      </c>
      <c r="E38" s="129">
        <v>113</v>
      </c>
      <c r="F38" s="129">
        <v>54</v>
      </c>
      <c r="G38" s="129">
        <v>12</v>
      </c>
      <c r="H38" s="129">
        <v>10</v>
      </c>
      <c r="I38" s="129">
        <v>1</v>
      </c>
      <c r="J38" s="130">
        <v>0</v>
      </c>
      <c r="K38" s="130">
        <v>0</v>
      </c>
      <c r="L38" s="131">
        <v>174</v>
      </c>
      <c r="M38" s="130">
        <v>0</v>
      </c>
      <c r="N38" s="131">
        <v>116</v>
      </c>
    </row>
    <row r="39" spans="1:14" ht="15.75" customHeight="1" x14ac:dyDescent="0.2">
      <c r="A39" s="126" t="s">
        <v>548</v>
      </c>
      <c r="B39" s="133" t="s">
        <v>540</v>
      </c>
      <c r="C39" s="128">
        <v>667</v>
      </c>
      <c r="D39" s="129">
        <v>534</v>
      </c>
      <c r="E39" s="129">
        <v>113</v>
      </c>
      <c r="F39" s="129">
        <v>14</v>
      </c>
      <c r="G39" s="129">
        <v>3</v>
      </c>
      <c r="H39" s="129">
        <v>3</v>
      </c>
      <c r="I39" s="130">
        <v>0</v>
      </c>
      <c r="J39" s="130">
        <v>0</v>
      </c>
      <c r="K39" s="130">
        <v>0</v>
      </c>
      <c r="L39" s="131">
        <v>167</v>
      </c>
      <c r="M39" s="130">
        <v>0</v>
      </c>
      <c r="N39" s="131">
        <v>119</v>
      </c>
    </row>
    <row r="40" spans="1:14" ht="4.5" customHeight="1" x14ac:dyDescent="0.2">
      <c r="A40" s="134"/>
      <c r="B40" s="134"/>
      <c r="C40" s="134"/>
      <c r="D40" s="134"/>
      <c r="E40" s="134"/>
      <c r="F40" s="134"/>
      <c r="G40" s="134"/>
      <c r="H40" s="134"/>
      <c r="I40" s="134"/>
      <c r="J40" s="134"/>
      <c r="K40" s="134"/>
      <c r="L40" s="134"/>
      <c r="M40" s="134"/>
      <c r="N40" s="134"/>
    </row>
    <row r="41" spans="1:14" ht="15.75" customHeight="1" x14ac:dyDescent="0.2">
      <c r="A41" s="126" t="s">
        <v>549</v>
      </c>
      <c r="B41" s="127" t="s">
        <v>538</v>
      </c>
      <c r="C41" s="128">
        <v>797</v>
      </c>
      <c r="D41" s="129">
        <v>248</v>
      </c>
      <c r="E41" s="129">
        <v>140</v>
      </c>
      <c r="F41" s="129">
        <v>217</v>
      </c>
      <c r="G41" s="129">
        <v>29</v>
      </c>
      <c r="H41" s="129">
        <v>106</v>
      </c>
      <c r="I41" s="129">
        <v>42</v>
      </c>
      <c r="J41" s="129">
        <v>15</v>
      </c>
      <c r="K41" s="130">
        <v>0</v>
      </c>
      <c r="L41" s="131">
        <v>165</v>
      </c>
      <c r="M41" s="130">
        <v>0</v>
      </c>
      <c r="N41" s="131">
        <v>361</v>
      </c>
    </row>
    <row r="42" spans="1:14" ht="15.75" customHeight="1" x14ac:dyDescent="0.2">
      <c r="A42" s="126" t="s">
        <v>549</v>
      </c>
      <c r="B42" s="132" t="s">
        <v>539</v>
      </c>
      <c r="C42" s="128">
        <v>1009</v>
      </c>
      <c r="D42" s="129">
        <v>726</v>
      </c>
      <c r="E42" s="129">
        <v>190</v>
      </c>
      <c r="F42" s="129">
        <v>65</v>
      </c>
      <c r="G42" s="129">
        <v>11</v>
      </c>
      <c r="H42" s="129">
        <v>15</v>
      </c>
      <c r="I42" s="129">
        <v>2</v>
      </c>
      <c r="J42" s="130">
        <v>0</v>
      </c>
      <c r="K42" s="130">
        <v>0</v>
      </c>
      <c r="L42" s="131">
        <v>234</v>
      </c>
      <c r="M42" s="130">
        <v>0</v>
      </c>
      <c r="N42" s="131">
        <v>170</v>
      </c>
    </row>
    <row r="43" spans="1:14" ht="15.75" customHeight="1" x14ac:dyDescent="0.2">
      <c r="A43" s="126" t="s">
        <v>549</v>
      </c>
      <c r="B43" s="133" t="s">
        <v>540</v>
      </c>
      <c r="C43" s="128">
        <v>688</v>
      </c>
      <c r="D43" s="129">
        <v>588</v>
      </c>
      <c r="E43" s="129">
        <v>84</v>
      </c>
      <c r="F43" s="129">
        <v>8</v>
      </c>
      <c r="G43" s="129">
        <v>3</v>
      </c>
      <c r="H43" s="129">
        <v>4</v>
      </c>
      <c r="I43" s="129">
        <v>1</v>
      </c>
      <c r="J43" s="130">
        <v>0</v>
      </c>
      <c r="K43" s="130">
        <v>0</v>
      </c>
      <c r="L43" s="131">
        <v>167</v>
      </c>
      <c r="M43" s="130">
        <v>0</v>
      </c>
      <c r="N43" s="131">
        <v>99</v>
      </c>
    </row>
    <row r="44" spans="1:14" ht="4.5" customHeight="1" x14ac:dyDescent="0.2">
      <c r="A44" s="134"/>
      <c r="B44" s="134"/>
      <c r="C44" s="134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4"/>
    </row>
    <row r="45" spans="1:14" ht="15.75" customHeight="1" x14ac:dyDescent="0.2">
      <c r="A45" s="126" t="s">
        <v>550</v>
      </c>
      <c r="B45" s="127" t="s">
        <v>538</v>
      </c>
      <c r="C45" s="128">
        <v>1017</v>
      </c>
      <c r="D45" s="129">
        <v>334</v>
      </c>
      <c r="E45" s="129">
        <v>178</v>
      </c>
      <c r="F45" s="129">
        <v>277</v>
      </c>
      <c r="G45" s="129">
        <v>27</v>
      </c>
      <c r="H45" s="129">
        <v>123</v>
      </c>
      <c r="I45" s="129">
        <v>54</v>
      </c>
      <c r="J45" s="129">
        <v>24</v>
      </c>
      <c r="K45" s="130">
        <v>0</v>
      </c>
      <c r="L45" s="131">
        <v>246</v>
      </c>
      <c r="M45" s="130">
        <v>0</v>
      </c>
      <c r="N45" s="131">
        <v>456</v>
      </c>
    </row>
    <row r="46" spans="1:14" ht="15.75" customHeight="1" x14ac:dyDescent="0.2">
      <c r="A46" s="126" t="s">
        <v>550</v>
      </c>
      <c r="B46" s="132" t="s">
        <v>539</v>
      </c>
      <c r="C46" s="128">
        <v>1189</v>
      </c>
      <c r="D46" s="129">
        <v>876</v>
      </c>
      <c r="E46" s="129">
        <v>203</v>
      </c>
      <c r="F46" s="129">
        <v>88</v>
      </c>
      <c r="G46" s="129">
        <v>10</v>
      </c>
      <c r="H46" s="129">
        <v>11</v>
      </c>
      <c r="I46" s="129">
        <v>1</v>
      </c>
      <c r="J46" s="130">
        <v>0</v>
      </c>
      <c r="K46" s="130">
        <v>0</v>
      </c>
      <c r="L46" s="131">
        <v>275</v>
      </c>
      <c r="M46" s="130">
        <v>0</v>
      </c>
      <c r="N46" s="131">
        <v>210</v>
      </c>
    </row>
    <row r="47" spans="1:14" ht="15.75" customHeight="1" x14ac:dyDescent="0.2">
      <c r="A47" s="126" t="s">
        <v>550</v>
      </c>
      <c r="B47" s="133" t="s">
        <v>540</v>
      </c>
      <c r="C47" s="128">
        <v>1102</v>
      </c>
      <c r="D47" s="129">
        <v>915</v>
      </c>
      <c r="E47" s="129">
        <v>152</v>
      </c>
      <c r="F47" s="129">
        <v>20</v>
      </c>
      <c r="G47" s="129">
        <v>8</v>
      </c>
      <c r="H47" s="129">
        <v>6</v>
      </c>
      <c r="I47" s="129">
        <v>1</v>
      </c>
      <c r="J47" s="130">
        <v>0</v>
      </c>
      <c r="K47" s="130">
        <v>0</v>
      </c>
      <c r="L47" s="131">
        <v>261</v>
      </c>
      <c r="M47" s="130">
        <v>0</v>
      </c>
      <c r="N47" s="131">
        <v>166</v>
      </c>
    </row>
    <row r="48" spans="1:14" ht="4.5" customHeight="1" x14ac:dyDescent="0.2">
      <c r="A48" s="134"/>
      <c r="B48" s="134"/>
      <c r="C48" s="134"/>
      <c r="D48" s="134"/>
      <c r="E48" s="134"/>
      <c r="F48" s="134"/>
      <c r="G48" s="134"/>
      <c r="H48" s="134"/>
      <c r="I48" s="134"/>
      <c r="J48" s="134"/>
      <c r="K48" s="134"/>
      <c r="L48" s="134"/>
      <c r="M48" s="134"/>
      <c r="N48" s="134"/>
    </row>
    <row r="49" spans="1:14" ht="15.75" customHeight="1" x14ac:dyDescent="0.2">
      <c r="A49" s="126" t="s">
        <v>551</v>
      </c>
      <c r="B49" s="127" t="s">
        <v>538</v>
      </c>
      <c r="C49" s="128">
        <v>1102</v>
      </c>
      <c r="D49" s="129">
        <v>384</v>
      </c>
      <c r="E49" s="129">
        <v>175</v>
      </c>
      <c r="F49" s="129">
        <v>287</v>
      </c>
      <c r="G49" s="129">
        <v>24</v>
      </c>
      <c r="H49" s="129">
        <v>151</v>
      </c>
      <c r="I49" s="129">
        <v>60</v>
      </c>
      <c r="J49" s="129">
        <v>21</v>
      </c>
      <c r="K49" s="130">
        <v>0</v>
      </c>
      <c r="L49" s="131">
        <v>400</v>
      </c>
      <c r="M49" s="130">
        <v>0</v>
      </c>
      <c r="N49" s="131">
        <v>477</v>
      </c>
    </row>
    <row r="50" spans="1:14" ht="15.75" customHeight="1" x14ac:dyDescent="0.2">
      <c r="A50" s="126" t="s">
        <v>551</v>
      </c>
      <c r="B50" s="132" t="s">
        <v>539</v>
      </c>
      <c r="C50" s="128">
        <v>1204</v>
      </c>
      <c r="D50" s="129">
        <v>878</v>
      </c>
      <c r="E50" s="129">
        <v>186</v>
      </c>
      <c r="F50" s="129">
        <v>105</v>
      </c>
      <c r="G50" s="129">
        <v>16</v>
      </c>
      <c r="H50" s="129">
        <v>19</v>
      </c>
      <c r="I50" s="130">
        <v>0</v>
      </c>
      <c r="J50" s="130">
        <v>0</v>
      </c>
      <c r="K50" s="130">
        <v>0</v>
      </c>
      <c r="L50" s="131">
        <v>331</v>
      </c>
      <c r="M50" s="130">
        <v>0</v>
      </c>
      <c r="N50" s="131">
        <v>214</v>
      </c>
    </row>
    <row r="51" spans="1:14" ht="15.75" customHeight="1" x14ac:dyDescent="0.2">
      <c r="A51" s="126" t="s">
        <v>551</v>
      </c>
      <c r="B51" s="133" t="s">
        <v>540</v>
      </c>
      <c r="C51" s="128">
        <v>1092</v>
      </c>
      <c r="D51" s="129">
        <v>896</v>
      </c>
      <c r="E51" s="129">
        <v>154</v>
      </c>
      <c r="F51" s="129">
        <v>21</v>
      </c>
      <c r="G51" s="129">
        <v>11</v>
      </c>
      <c r="H51" s="129">
        <v>10</v>
      </c>
      <c r="I51" s="130">
        <v>0</v>
      </c>
      <c r="J51" s="130">
        <v>0</v>
      </c>
      <c r="K51" s="130">
        <v>0</v>
      </c>
      <c r="L51" s="131">
        <v>282</v>
      </c>
      <c r="M51" s="130">
        <v>0</v>
      </c>
      <c r="N51" s="131">
        <v>187</v>
      </c>
    </row>
    <row r="52" spans="1:14" ht="4.5" customHeight="1" x14ac:dyDescent="0.2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</row>
    <row r="53" spans="1:14" ht="15.75" customHeight="1" x14ac:dyDescent="0.2">
      <c r="A53" s="126" t="s">
        <v>552</v>
      </c>
      <c r="B53" s="127" t="s">
        <v>538</v>
      </c>
      <c r="C53" s="128">
        <v>1267</v>
      </c>
      <c r="D53" s="129">
        <v>454</v>
      </c>
      <c r="E53" s="129">
        <v>162</v>
      </c>
      <c r="F53" s="129">
        <v>339</v>
      </c>
      <c r="G53" s="129">
        <v>26</v>
      </c>
      <c r="H53" s="129">
        <v>184</v>
      </c>
      <c r="I53" s="129">
        <v>72</v>
      </c>
      <c r="J53" s="129">
        <v>30</v>
      </c>
      <c r="K53" s="130">
        <v>0</v>
      </c>
      <c r="L53" s="131">
        <v>489</v>
      </c>
      <c r="M53" s="130">
        <v>0</v>
      </c>
      <c r="N53" s="131">
        <v>561</v>
      </c>
    </row>
    <row r="54" spans="1:14" ht="15.75" customHeight="1" x14ac:dyDescent="0.2">
      <c r="A54" s="126" t="s">
        <v>552</v>
      </c>
      <c r="B54" s="132" t="s">
        <v>539</v>
      </c>
      <c r="C54" s="128">
        <v>1273</v>
      </c>
      <c r="D54" s="129">
        <v>940</v>
      </c>
      <c r="E54" s="129">
        <v>223</v>
      </c>
      <c r="F54" s="129">
        <v>76</v>
      </c>
      <c r="G54" s="129">
        <v>12</v>
      </c>
      <c r="H54" s="129">
        <v>20</v>
      </c>
      <c r="I54" s="129">
        <v>2</v>
      </c>
      <c r="J54" s="130">
        <v>0</v>
      </c>
      <c r="K54" s="130">
        <v>0</v>
      </c>
      <c r="L54" s="131">
        <v>338</v>
      </c>
      <c r="M54" s="130">
        <v>0</v>
      </c>
      <c r="N54" s="131">
        <v>221</v>
      </c>
    </row>
    <row r="55" spans="1:14" ht="15.75" customHeight="1" x14ac:dyDescent="0.2">
      <c r="A55" s="126" t="s">
        <v>552</v>
      </c>
      <c r="B55" s="133" t="s">
        <v>540</v>
      </c>
      <c r="C55" s="128">
        <v>1246</v>
      </c>
      <c r="D55" s="129">
        <v>1021</v>
      </c>
      <c r="E55" s="129">
        <v>174</v>
      </c>
      <c r="F55" s="129">
        <v>27</v>
      </c>
      <c r="G55" s="129">
        <v>9</v>
      </c>
      <c r="H55" s="129">
        <v>14</v>
      </c>
      <c r="I55" s="129">
        <v>1</v>
      </c>
      <c r="J55" s="130">
        <v>0</v>
      </c>
      <c r="K55" s="130">
        <v>0</v>
      </c>
      <c r="L55" s="131">
        <v>309</v>
      </c>
      <c r="M55" s="130">
        <v>0</v>
      </c>
      <c r="N55" s="131">
        <v>215</v>
      </c>
    </row>
    <row r="56" spans="1:14" ht="4.5" customHeight="1" x14ac:dyDescent="0.2">
      <c r="A56" s="134"/>
      <c r="B56" s="134"/>
      <c r="C56" s="134"/>
      <c r="D56" s="134"/>
      <c r="E56" s="134"/>
      <c r="F56" s="134"/>
      <c r="G56" s="134"/>
      <c r="H56" s="134"/>
      <c r="I56" s="134"/>
      <c r="J56" s="134"/>
      <c r="K56" s="134"/>
      <c r="L56" s="134"/>
      <c r="M56" s="134"/>
      <c r="N56" s="134"/>
    </row>
    <row r="57" spans="1:14" ht="15.75" customHeight="1" x14ac:dyDescent="0.2">
      <c r="A57" s="126" t="s">
        <v>553</v>
      </c>
      <c r="B57" s="127" t="s">
        <v>538</v>
      </c>
      <c r="C57" s="128">
        <v>791</v>
      </c>
      <c r="D57" s="129">
        <v>209</v>
      </c>
      <c r="E57" s="129">
        <v>84</v>
      </c>
      <c r="F57" s="129">
        <v>221</v>
      </c>
      <c r="G57" s="129">
        <v>21</v>
      </c>
      <c r="H57" s="129">
        <v>151</v>
      </c>
      <c r="I57" s="129">
        <v>76</v>
      </c>
      <c r="J57" s="129">
        <v>29</v>
      </c>
      <c r="K57" s="130">
        <v>0</v>
      </c>
      <c r="L57" s="131">
        <v>283</v>
      </c>
      <c r="M57" s="130">
        <v>0</v>
      </c>
      <c r="N57" s="131">
        <v>418</v>
      </c>
    </row>
    <row r="58" spans="1:14" ht="15.75" customHeight="1" x14ac:dyDescent="0.2">
      <c r="A58" s="126" t="s">
        <v>553</v>
      </c>
      <c r="B58" s="132" t="s">
        <v>539</v>
      </c>
      <c r="C58" s="128">
        <v>1138</v>
      </c>
      <c r="D58" s="129">
        <v>866</v>
      </c>
      <c r="E58" s="129">
        <v>188</v>
      </c>
      <c r="F58" s="129">
        <v>59</v>
      </c>
      <c r="G58" s="129">
        <v>12</v>
      </c>
      <c r="H58" s="129">
        <v>12</v>
      </c>
      <c r="I58" s="129">
        <v>1</v>
      </c>
      <c r="J58" s="130">
        <v>0</v>
      </c>
      <c r="K58" s="130">
        <v>0</v>
      </c>
      <c r="L58" s="131">
        <v>258</v>
      </c>
      <c r="M58" s="130">
        <v>0</v>
      </c>
      <c r="N58" s="131">
        <v>177</v>
      </c>
    </row>
    <row r="59" spans="1:14" ht="15.75" customHeight="1" x14ac:dyDescent="0.2">
      <c r="A59" s="126" t="s">
        <v>553</v>
      </c>
      <c r="B59" s="133" t="s">
        <v>540</v>
      </c>
      <c r="C59" s="128">
        <v>1015</v>
      </c>
      <c r="D59" s="129">
        <v>827</v>
      </c>
      <c r="E59" s="129">
        <v>137</v>
      </c>
      <c r="F59" s="129">
        <v>21</v>
      </c>
      <c r="G59" s="129">
        <v>15</v>
      </c>
      <c r="H59" s="129">
        <v>13</v>
      </c>
      <c r="I59" s="129">
        <v>2</v>
      </c>
      <c r="J59" s="130">
        <v>0</v>
      </c>
      <c r="K59" s="130">
        <v>0</v>
      </c>
      <c r="L59" s="131">
        <v>205</v>
      </c>
      <c r="M59" s="130">
        <v>0</v>
      </c>
      <c r="N59" s="131">
        <v>167</v>
      </c>
    </row>
    <row r="60" spans="1:14" ht="4.5" customHeight="1" x14ac:dyDescent="0.2">
      <c r="A60" s="134"/>
      <c r="B60" s="134"/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134"/>
      <c r="N60" s="134"/>
    </row>
    <row r="61" spans="1:14" ht="15.75" customHeight="1" x14ac:dyDescent="0.2">
      <c r="A61" s="126" t="s">
        <v>554</v>
      </c>
      <c r="B61" s="127" t="s">
        <v>538</v>
      </c>
      <c r="C61" s="128">
        <v>807</v>
      </c>
      <c r="D61" s="129">
        <v>258</v>
      </c>
      <c r="E61" s="129">
        <v>106</v>
      </c>
      <c r="F61" s="129">
        <v>198</v>
      </c>
      <c r="G61" s="129">
        <v>18</v>
      </c>
      <c r="H61" s="129">
        <v>135</v>
      </c>
      <c r="I61" s="129">
        <v>60</v>
      </c>
      <c r="J61" s="129">
        <v>32</v>
      </c>
      <c r="K61" s="131">
        <v>7</v>
      </c>
      <c r="L61" s="131">
        <v>275</v>
      </c>
      <c r="M61" s="131">
        <v>7</v>
      </c>
      <c r="N61" s="131">
        <v>358</v>
      </c>
    </row>
    <row r="62" spans="1:14" ht="15.75" customHeight="1" x14ac:dyDescent="0.2">
      <c r="A62" s="126" t="s">
        <v>554</v>
      </c>
      <c r="B62" s="132" t="s">
        <v>539</v>
      </c>
      <c r="C62" s="128">
        <v>942</v>
      </c>
      <c r="D62" s="129">
        <v>683</v>
      </c>
      <c r="E62" s="129">
        <v>165</v>
      </c>
      <c r="F62" s="129">
        <v>71</v>
      </c>
      <c r="G62" s="129">
        <v>9</v>
      </c>
      <c r="H62" s="129">
        <v>9</v>
      </c>
      <c r="I62" s="129">
        <v>5</v>
      </c>
      <c r="J62" s="130">
        <v>0</v>
      </c>
      <c r="K62" s="131">
        <v>79</v>
      </c>
      <c r="L62" s="131">
        <v>151</v>
      </c>
      <c r="M62" s="131">
        <v>51</v>
      </c>
      <c r="N62" s="131">
        <v>134</v>
      </c>
    </row>
    <row r="63" spans="1:14" ht="15.75" customHeight="1" x14ac:dyDescent="0.2">
      <c r="A63" s="126" t="s">
        <v>554</v>
      </c>
      <c r="B63" s="133" t="s">
        <v>540</v>
      </c>
      <c r="C63" s="128">
        <v>955</v>
      </c>
      <c r="D63" s="129">
        <v>788</v>
      </c>
      <c r="E63" s="129">
        <v>127</v>
      </c>
      <c r="F63" s="129">
        <v>15</v>
      </c>
      <c r="G63" s="129">
        <v>13</v>
      </c>
      <c r="H63" s="129">
        <v>12</v>
      </c>
      <c r="I63" s="130">
        <v>0</v>
      </c>
      <c r="J63" s="130">
        <v>0</v>
      </c>
      <c r="K63" s="131">
        <v>102</v>
      </c>
      <c r="L63" s="131">
        <v>158</v>
      </c>
      <c r="M63" s="131">
        <v>61</v>
      </c>
      <c r="N63" s="131">
        <v>155</v>
      </c>
    </row>
    <row r="64" spans="1:14" ht="4.5" customHeight="1" x14ac:dyDescent="0.2">
      <c r="A64" s="134"/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</row>
    <row r="65" spans="1:14" ht="15.75" customHeight="1" x14ac:dyDescent="0.2">
      <c r="A65" s="126" t="s">
        <v>555</v>
      </c>
      <c r="B65" s="127" t="s">
        <v>538</v>
      </c>
      <c r="C65" s="128">
        <v>741</v>
      </c>
      <c r="D65" s="129">
        <v>281</v>
      </c>
      <c r="E65" s="129">
        <v>82</v>
      </c>
      <c r="F65" s="129">
        <v>187</v>
      </c>
      <c r="G65" s="129">
        <v>10</v>
      </c>
      <c r="H65" s="129">
        <v>98</v>
      </c>
      <c r="I65" s="129">
        <v>53</v>
      </c>
      <c r="J65" s="129">
        <v>30</v>
      </c>
      <c r="K65" s="131">
        <v>17</v>
      </c>
      <c r="L65" s="131">
        <v>260</v>
      </c>
      <c r="M65" s="131">
        <v>7</v>
      </c>
      <c r="N65" s="131">
        <v>313</v>
      </c>
    </row>
    <row r="66" spans="1:14" ht="15.75" customHeight="1" x14ac:dyDescent="0.2">
      <c r="A66" s="126" t="s">
        <v>555</v>
      </c>
      <c r="B66" s="132" t="s">
        <v>539</v>
      </c>
      <c r="C66" s="128">
        <v>1002</v>
      </c>
      <c r="D66" s="129">
        <v>715</v>
      </c>
      <c r="E66" s="129">
        <v>187</v>
      </c>
      <c r="F66" s="129">
        <v>68</v>
      </c>
      <c r="G66" s="129">
        <v>12</v>
      </c>
      <c r="H66" s="129">
        <v>14</v>
      </c>
      <c r="I66" s="129">
        <v>6</v>
      </c>
      <c r="J66" s="130">
        <v>0</v>
      </c>
      <c r="K66" s="131">
        <v>213</v>
      </c>
      <c r="L66" s="131">
        <v>85</v>
      </c>
      <c r="M66" s="131">
        <v>127</v>
      </c>
      <c r="N66" s="131">
        <v>141</v>
      </c>
    </row>
    <row r="67" spans="1:14" ht="15.75" customHeight="1" x14ac:dyDescent="0.2">
      <c r="A67" s="126" t="s">
        <v>555</v>
      </c>
      <c r="B67" s="133" t="s">
        <v>540</v>
      </c>
      <c r="C67" s="128">
        <v>755</v>
      </c>
      <c r="D67" s="129">
        <v>603</v>
      </c>
      <c r="E67" s="129">
        <v>117</v>
      </c>
      <c r="F67" s="129">
        <v>20</v>
      </c>
      <c r="G67" s="129">
        <v>9</v>
      </c>
      <c r="H67" s="129">
        <v>4</v>
      </c>
      <c r="I67" s="129">
        <v>2</v>
      </c>
      <c r="J67" s="130">
        <v>0</v>
      </c>
      <c r="K67" s="131">
        <v>159</v>
      </c>
      <c r="L67" s="131">
        <v>82</v>
      </c>
      <c r="M67" s="131">
        <v>98</v>
      </c>
      <c r="N67" s="131">
        <v>127</v>
      </c>
    </row>
    <row r="68" spans="1:14" ht="4.5" customHeight="1" x14ac:dyDescent="0.2">
      <c r="A68" s="134"/>
      <c r="B68" s="134"/>
      <c r="C68" s="134"/>
      <c r="D68" s="134"/>
      <c r="E68" s="134"/>
      <c r="F68" s="134"/>
      <c r="G68" s="134"/>
      <c r="H68" s="134"/>
      <c r="I68" s="134"/>
      <c r="J68" s="134"/>
      <c r="K68" s="134"/>
      <c r="L68" s="134"/>
      <c r="M68" s="134"/>
      <c r="N68" s="134"/>
    </row>
    <row r="69" spans="1:14" ht="15.75" customHeight="1" x14ac:dyDescent="0.2">
      <c r="A69" s="126" t="s">
        <v>556</v>
      </c>
      <c r="B69" s="127" t="s">
        <v>538</v>
      </c>
      <c r="C69" s="128">
        <v>737</v>
      </c>
      <c r="D69" s="129">
        <v>293</v>
      </c>
      <c r="E69" s="129">
        <v>95</v>
      </c>
      <c r="F69" s="129">
        <v>171</v>
      </c>
      <c r="G69" s="129">
        <v>17</v>
      </c>
      <c r="H69" s="129">
        <v>87</v>
      </c>
      <c r="I69" s="129">
        <v>51</v>
      </c>
      <c r="J69" s="129">
        <v>23</v>
      </c>
      <c r="K69" s="131">
        <v>14</v>
      </c>
      <c r="L69" s="131">
        <v>232</v>
      </c>
      <c r="M69" s="131">
        <v>16</v>
      </c>
      <c r="N69" s="131">
        <v>301</v>
      </c>
    </row>
    <row r="70" spans="1:14" ht="15.75" customHeight="1" x14ac:dyDescent="0.2">
      <c r="A70" s="126" t="s">
        <v>556</v>
      </c>
      <c r="B70" s="132" t="s">
        <v>539</v>
      </c>
      <c r="C70" s="128">
        <v>986</v>
      </c>
      <c r="D70" s="129">
        <v>656</v>
      </c>
      <c r="E70" s="129">
        <v>201</v>
      </c>
      <c r="F70" s="129">
        <v>98</v>
      </c>
      <c r="G70" s="129">
        <v>14</v>
      </c>
      <c r="H70" s="129">
        <v>13</v>
      </c>
      <c r="I70" s="129">
        <v>4</v>
      </c>
      <c r="J70" s="130">
        <v>0</v>
      </c>
      <c r="K70" s="131">
        <v>205</v>
      </c>
      <c r="L70" s="131">
        <v>72</v>
      </c>
      <c r="M70" s="131">
        <v>116</v>
      </c>
      <c r="N70" s="131">
        <v>148</v>
      </c>
    </row>
    <row r="71" spans="1:14" ht="15.75" customHeight="1" x14ac:dyDescent="0.2">
      <c r="A71" s="126" t="s">
        <v>556</v>
      </c>
      <c r="B71" s="133" t="s">
        <v>540</v>
      </c>
      <c r="C71" s="128">
        <v>745</v>
      </c>
      <c r="D71" s="129">
        <v>601</v>
      </c>
      <c r="E71" s="129">
        <v>109</v>
      </c>
      <c r="F71" s="129">
        <v>19</v>
      </c>
      <c r="G71" s="129">
        <v>8</v>
      </c>
      <c r="H71" s="129">
        <v>8</v>
      </c>
      <c r="I71" s="130">
        <v>0</v>
      </c>
      <c r="J71" s="130">
        <v>0</v>
      </c>
      <c r="K71" s="131">
        <v>168</v>
      </c>
      <c r="L71" s="131">
        <v>68</v>
      </c>
      <c r="M71" s="131">
        <v>94</v>
      </c>
      <c r="N71" s="131">
        <v>129</v>
      </c>
    </row>
    <row r="72" spans="1:14" ht="4.5" customHeight="1" x14ac:dyDescent="0.2">
      <c r="A72" s="134"/>
      <c r="B72" s="134"/>
      <c r="C72" s="134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4"/>
    </row>
    <row r="73" spans="1:14" ht="15.75" customHeight="1" x14ac:dyDescent="0.2">
      <c r="A73" s="126" t="s">
        <v>485</v>
      </c>
      <c r="B73" s="127" t="s">
        <v>538</v>
      </c>
      <c r="C73" s="128">
        <v>717</v>
      </c>
      <c r="D73" s="129">
        <v>260</v>
      </c>
      <c r="E73" s="129">
        <v>80</v>
      </c>
      <c r="F73" s="129">
        <v>166</v>
      </c>
      <c r="G73" s="129">
        <v>14</v>
      </c>
      <c r="H73" s="129">
        <v>106</v>
      </c>
      <c r="I73" s="129">
        <v>66</v>
      </c>
      <c r="J73" s="129">
        <v>25</v>
      </c>
      <c r="K73" s="131">
        <v>12</v>
      </c>
      <c r="L73" s="131">
        <v>213</v>
      </c>
      <c r="M73" s="131">
        <v>11</v>
      </c>
      <c r="N73" s="131">
        <v>320</v>
      </c>
    </row>
    <row r="74" spans="1:14" ht="15.75" customHeight="1" x14ac:dyDescent="0.2">
      <c r="A74" s="126" t="s">
        <v>485</v>
      </c>
      <c r="B74" s="132" t="s">
        <v>539</v>
      </c>
      <c r="C74" s="128">
        <v>1052</v>
      </c>
      <c r="D74" s="129">
        <v>741</v>
      </c>
      <c r="E74" s="129">
        <v>206</v>
      </c>
      <c r="F74" s="129">
        <v>71</v>
      </c>
      <c r="G74" s="129">
        <v>13</v>
      </c>
      <c r="H74" s="129">
        <v>16</v>
      </c>
      <c r="I74" s="129">
        <v>5</v>
      </c>
      <c r="J74" s="130">
        <v>0</v>
      </c>
      <c r="K74" s="131">
        <v>180</v>
      </c>
      <c r="L74" s="131">
        <v>107</v>
      </c>
      <c r="M74" s="131">
        <v>126</v>
      </c>
      <c r="N74" s="131">
        <v>142</v>
      </c>
    </row>
    <row r="75" spans="1:14" ht="15.75" customHeight="1" x14ac:dyDescent="0.2">
      <c r="A75" s="126" t="s">
        <v>485</v>
      </c>
      <c r="B75" s="133" t="s">
        <v>540</v>
      </c>
      <c r="C75" s="128">
        <v>715</v>
      </c>
      <c r="D75" s="129">
        <v>591</v>
      </c>
      <c r="E75" s="129">
        <v>96</v>
      </c>
      <c r="F75" s="129">
        <v>16</v>
      </c>
      <c r="G75" s="129">
        <v>5</v>
      </c>
      <c r="H75" s="129">
        <v>7</v>
      </c>
      <c r="I75" s="130">
        <v>0</v>
      </c>
      <c r="J75" s="130">
        <v>0</v>
      </c>
      <c r="K75" s="131">
        <v>167</v>
      </c>
      <c r="L75" s="131">
        <v>66</v>
      </c>
      <c r="M75" s="131">
        <v>99</v>
      </c>
      <c r="N75" s="131">
        <v>109</v>
      </c>
    </row>
    <row r="76" spans="1:14" ht="4.5" customHeight="1" x14ac:dyDescent="0.2">
      <c r="A76" s="134"/>
      <c r="B76" s="134"/>
      <c r="C76" s="134"/>
      <c r="D76" s="134"/>
      <c r="E76" s="134"/>
      <c r="F76" s="134"/>
      <c r="G76" s="134"/>
      <c r="H76" s="134"/>
      <c r="I76" s="134"/>
      <c r="J76" s="134"/>
      <c r="K76" s="134"/>
      <c r="L76" s="134"/>
      <c r="M76" s="134"/>
      <c r="N76" s="134"/>
    </row>
    <row r="77" spans="1:14" ht="4.5" customHeight="1" x14ac:dyDescent="0.2">
      <c r="A77" s="126" t="s">
        <v>557</v>
      </c>
      <c r="B77" s="127" t="s">
        <v>538</v>
      </c>
      <c r="C77" s="128">
        <v>618</v>
      </c>
      <c r="D77" s="129">
        <v>247</v>
      </c>
      <c r="E77" s="129">
        <v>77</v>
      </c>
      <c r="F77" s="129">
        <v>144</v>
      </c>
      <c r="G77" s="129">
        <v>12</v>
      </c>
      <c r="H77" s="129">
        <v>66</v>
      </c>
      <c r="I77" s="129">
        <v>49</v>
      </c>
      <c r="J77" s="129">
        <v>23</v>
      </c>
      <c r="K77" s="131">
        <v>12</v>
      </c>
      <c r="L77" s="131">
        <v>184</v>
      </c>
      <c r="M77" s="131">
        <v>7</v>
      </c>
      <c r="N77" s="131">
        <v>276</v>
      </c>
    </row>
    <row r="78" spans="1:14" ht="19.5" customHeight="1" x14ac:dyDescent="0.2">
      <c r="A78" s="126" t="s">
        <v>557</v>
      </c>
      <c r="B78" s="132" t="s">
        <v>539</v>
      </c>
      <c r="C78" s="128">
        <v>961</v>
      </c>
      <c r="D78" s="129">
        <v>728</v>
      </c>
      <c r="E78" s="129">
        <v>164</v>
      </c>
      <c r="F78" s="129">
        <v>51</v>
      </c>
      <c r="G78" s="129">
        <v>6</v>
      </c>
      <c r="H78" s="129">
        <v>11</v>
      </c>
      <c r="I78" s="129">
        <v>1</v>
      </c>
      <c r="J78" s="130">
        <v>0</v>
      </c>
      <c r="K78" s="131">
        <v>175</v>
      </c>
      <c r="L78" s="131">
        <v>159</v>
      </c>
      <c r="M78" s="131">
        <v>147</v>
      </c>
      <c r="N78" s="131">
        <v>121</v>
      </c>
    </row>
    <row r="79" spans="1:14" ht="15.75" customHeight="1" x14ac:dyDescent="0.2">
      <c r="A79" s="126" t="s">
        <v>557</v>
      </c>
      <c r="B79" s="133" t="s">
        <v>540</v>
      </c>
      <c r="C79" s="128">
        <v>618</v>
      </c>
      <c r="D79" s="129">
        <v>499</v>
      </c>
      <c r="E79" s="129">
        <v>98</v>
      </c>
      <c r="F79" s="129">
        <v>13</v>
      </c>
      <c r="G79" s="129">
        <v>5</v>
      </c>
      <c r="H79" s="129">
        <v>3</v>
      </c>
      <c r="I79" s="130">
        <v>0</v>
      </c>
      <c r="J79" s="130">
        <v>0</v>
      </c>
      <c r="K79" s="131">
        <v>140</v>
      </c>
      <c r="L79" s="131">
        <v>51</v>
      </c>
      <c r="M79" s="131">
        <v>91</v>
      </c>
      <c r="N79" s="131">
        <v>101</v>
      </c>
    </row>
    <row r="80" spans="1:14" ht="15.75" customHeight="1" x14ac:dyDescent="0.2">
      <c r="A80" s="134"/>
      <c r="B80" s="134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</row>
    <row r="81" spans="1:14" ht="15.75" customHeight="1" x14ac:dyDescent="0.2">
      <c r="A81" s="168" t="s">
        <v>558</v>
      </c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</row>
    <row r="82" spans="1:14" ht="4.5" customHeight="1" x14ac:dyDescent="0.2">
      <c r="A82" s="126" t="s">
        <v>537</v>
      </c>
      <c r="B82" s="127" t="s">
        <v>538</v>
      </c>
      <c r="C82" s="128">
        <v>986</v>
      </c>
      <c r="D82" s="129">
        <v>344</v>
      </c>
      <c r="E82" s="129">
        <v>174</v>
      </c>
      <c r="F82" s="129">
        <v>329</v>
      </c>
      <c r="G82" s="129">
        <v>13</v>
      </c>
      <c r="H82" s="129">
        <v>100</v>
      </c>
      <c r="I82" s="129">
        <v>23</v>
      </c>
      <c r="J82" s="129">
        <v>3</v>
      </c>
      <c r="K82" s="131">
        <v>61</v>
      </c>
      <c r="L82" s="131">
        <v>258</v>
      </c>
      <c r="M82" s="131">
        <v>6</v>
      </c>
      <c r="N82" s="131">
        <v>522</v>
      </c>
    </row>
    <row r="83" spans="1:14" ht="15.75" customHeight="1" x14ac:dyDescent="0.2">
      <c r="A83" s="126" t="s">
        <v>537</v>
      </c>
      <c r="B83" s="132" t="s">
        <v>539</v>
      </c>
      <c r="C83" s="128">
        <v>898</v>
      </c>
      <c r="D83" s="129">
        <v>751</v>
      </c>
      <c r="E83" s="129">
        <v>109</v>
      </c>
      <c r="F83" s="129">
        <v>28</v>
      </c>
      <c r="G83" s="129">
        <v>2</v>
      </c>
      <c r="H83" s="129">
        <v>7</v>
      </c>
      <c r="I83" s="129">
        <v>1</v>
      </c>
      <c r="J83" s="130">
        <v>0</v>
      </c>
      <c r="K83" s="131">
        <v>506</v>
      </c>
      <c r="L83" s="131">
        <v>6</v>
      </c>
      <c r="M83" s="131">
        <v>9</v>
      </c>
      <c r="N83" s="131">
        <v>153</v>
      </c>
    </row>
    <row r="84" spans="1:14" ht="15.75" customHeight="1" x14ac:dyDescent="0.2">
      <c r="A84" s="126" t="s">
        <v>537</v>
      </c>
      <c r="B84" s="133" t="s">
        <v>540</v>
      </c>
      <c r="C84" s="128">
        <v>920</v>
      </c>
      <c r="D84" s="129">
        <v>871</v>
      </c>
      <c r="E84" s="129">
        <v>44</v>
      </c>
      <c r="F84" s="129">
        <v>3</v>
      </c>
      <c r="G84" s="129">
        <v>2</v>
      </c>
      <c r="H84" s="130">
        <v>0</v>
      </c>
      <c r="I84" s="130">
        <v>0</v>
      </c>
      <c r="J84" s="130">
        <v>0</v>
      </c>
      <c r="K84" s="131">
        <v>469</v>
      </c>
      <c r="L84" s="131">
        <v>4</v>
      </c>
      <c r="M84" s="131">
        <v>3</v>
      </c>
      <c r="N84" s="131">
        <v>79</v>
      </c>
    </row>
    <row r="85" spans="1:14" ht="15.75" customHeight="1" x14ac:dyDescent="0.2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</row>
    <row r="86" spans="1:14" ht="4.5" customHeight="1" x14ac:dyDescent="0.2">
      <c r="A86" s="126" t="s">
        <v>541</v>
      </c>
      <c r="B86" s="127" t="s">
        <v>538</v>
      </c>
      <c r="C86" s="128">
        <v>563</v>
      </c>
      <c r="D86" s="129">
        <v>273</v>
      </c>
      <c r="E86" s="129">
        <v>123</v>
      </c>
      <c r="F86" s="129">
        <v>67</v>
      </c>
      <c r="G86" s="129">
        <v>10</v>
      </c>
      <c r="H86" s="129">
        <v>69</v>
      </c>
      <c r="I86" s="129">
        <v>16</v>
      </c>
      <c r="J86" s="129">
        <v>5</v>
      </c>
      <c r="K86" s="131">
        <v>26</v>
      </c>
      <c r="L86" s="131">
        <v>180</v>
      </c>
      <c r="M86" s="131">
        <v>3</v>
      </c>
      <c r="N86" s="131">
        <v>218</v>
      </c>
    </row>
    <row r="87" spans="1:14" ht="15.75" customHeight="1" x14ac:dyDescent="0.2">
      <c r="A87" s="126" t="s">
        <v>541</v>
      </c>
      <c r="B87" s="132" t="s">
        <v>539</v>
      </c>
      <c r="C87" s="128">
        <v>324</v>
      </c>
      <c r="D87" s="129">
        <v>271</v>
      </c>
      <c r="E87" s="129">
        <v>42</v>
      </c>
      <c r="F87" s="129">
        <v>10</v>
      </c>
      <c r="G87" s="129">
        <v>1</v>
      </c>
      <c r="H87" s="130">
        <v>0</v>
      </c>
      <c r="I87" s="130">
        <v>0</v>
      </c>
      <c r="J87" s="130">
        <v>0</v>
      </c>
      <c r="K87" s="131">
        <v>172</v>
      </c>
      <c r="L87" s="131">
        <v>5</v>
      </c>
      <c r="M87" s="131">
        <v>2</v>
      </c>
      <c r="N87" s="131">
        <v>43</v>
      </c>
    </row>
    <row r="88" spans="1:14" ht="15.75" customHeight="1" x14ac:dyDescent="0.2">
      <c r="A88" s="126" t="s">
        <v>541</v>
      </c>
      <c r="B88" s="133" t="s">
        <v>540</v>
      </c>
      <c r="C88" s="128">
        <v>394</v>
      </c>
      <c r="D88" s="129">
        <v>359</v>
      </c>
      <c r="E88" s="129">
        <v>25</v>
      </c>
      <c r="F88" s="129">
        <v>3</v>
      </c>
      <c r="G88" s="129">
        <v>4</v>
      </c>
      <c r="H88" s="129">
        <v>3</v>
      </c>
      <c r="I88" s="130">
        <v>0</v>
      </c>
      <c r="J88" s="130">
        <v>0</v>
      </c>
      <c r="K88" s="131">
        <v>182</v>
      </c>
      <c r="L88" s="130">
        <v>0</v>
      </c>
      <c r="M88" s="131">
        <v>1</v>
      </c>
      <c r="N88" s="131">
        <v>44</v>
      </c>
    </row>
    <row r="89" spans="1:14" ht="15.75" customHeight="1" x14ac:dyDescent="0.2">
      <c r="A89" s="134"/>
      <c r="B89" s="134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</row>
    <row r="90" spans="1:14" ht="4.5" customHeight="1" x14ac:dyDescent="0.2">
      <c r="A90" s="126" t="s">
        <v>542</v>
      </c>
      <c r="B90" s="127" t="s">
        <v>538</v>
      </c>
      <c r="C90" s="128">
        <v>803</v>
      </c>
      <c r="D90" s="129">
        <v>408</v>
      </c>
      <c r="E90" s="129">
        <v>202</v>
      </c>
      <c r="F90" s="129">
        <v>92</v>
      </c>
      <c r="G90" s="129">
        <v>13</v>
      </c>
      <c r="H90" s="129">
        <v>68</v>
      </c>
      <c r="I90" s="129">
        <v>17</v>
      </c>
      <c r="J90" s="129">
        <v>3</v>
      </c>
      <c r="K90" s="131">
        <v>37</v>
      </c>
      <c r="L90" s="131">
        <v>280</v>
      </c>
      <c r="M90" s="131">
        <v>2</v>
      </c>
      <c r="N90" s="131">
        <v>305</v>
      </c>
    </row>
    <row r="91" spans="1:14" ht="15.75" customHeight="1" x14ac:dyDescent="0.2">
      <c r="A91" s="126" t="s">
        <v>542</v>
      </c>
      <c r="B91" s="132" t="s">
        <v>539</v>
      </c>
      <c r="C91" s="128">
        <v>351</v>
      </c>
      <c r="D91" s="129">
        <v>307</v>
      </c>
      <c r="E91" s="129">
        <v>31</v>
      </c>
      <c r="F91" s="129">
        <v>10</v>
      </c>
      <c r="G91" s="129">
        <v>1</v>
      </c>
      <c r="H91" s="129">
        <v>2</v>
      </c>
      <c r="I91" s="130">
        <v>0</v>
      </c>
      <c r="J91" s="130">
        <v>0</v>
      </c>
      <c r="K91" s="131">
        <v>202</v>
      </c>
      <c r="L91" s="131">
        <v>2</v>
      </c>
      <c r="M91" s="131">
        <v>2</v>
      </c>
      <c r="N91" s="131">
        <v>46</v>
      </c>
    </row>
    <row r="92" spans="1:14" ht="15.75" customHeight="1" x14ac:dyDescent="0.2">
      <c r="A92" s="126" t="s">
        <v>542</v>
      </c>
      <c r="B92" s="133" t="s">
        <v>540</v>
      </c>
      <c r="C92" s="128">
        <v>439</v>
      </c>
      <c r="D92" s="129">
        <v>396</v>
      </c>
      <c r="E92" s="129">
        <v>38</v>
      </c>
      <c r="F92" s="129">
        <v>2</v>
      </c>
      <c r="G92" s="129">
        <v>2</v>
      </c>
      <c r="H92" s="129">
        <v>1</v>
      </c>
      <c r="I92" s="130">
        <v>0</v>
      </c>
      <c r="J92" s="130">
        <v>0</v>
      </c>
      <c r="K92" s="131">
        <v>210</v>
      </c>
      <c r="L92" s="131">
        <v>1</v>
      </c>
      <c r="M92" s="131">
        <v>5</v>
      </c>
      <c r="N92" s="131">
        <v>58</v>
      </c>
    </row>
    <row r="93" spans="1:14" ht="15.75" customHeight="1" x14ac:dyDescent="0.2">
      <c r="A93" s="134"/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</row>
    <row r="94" spans="1:14" ht="4.5" customHeight="1" x14ac:dyDescent="0.2">
      <c r="A94" s="126" t="s">
        <v>543</v>
      </c>
      <c r="B94" s="127" t="s">
        <v>538</v>
      </c>
      <c r="C94" s="128">
        <v>847</v>
      </c>
      <c r="D94" s="129">
        <v>413</v>
      </c>
      <c r="E94" s="129">
        <v>228</v>
      </c>
      <c r="F94" s="129">
        <v>96</v>
      </c>
      <c r="G94" s="129">
        <v>20</v>
      </c>
      <c r="H94" s="129">
        <v>78</v>
      </c>
      <c r="I94" s="129">
        <v>9</v>
      </c>
      <c r="J94" s="129">
        <v>3</v>
      </c>
      <c r="K94" s="131">
        <v>33</v>
      </c>
      <c r="L94" s="131">
        <v>267</v>
      </c>
      <c r="M94" s="131">
        <v>4</v>
      </c>
      <c r="N94" s="131">
        <v>355</v>
      </c>
    </row>
    <row r="95" spans="1:14" ht="15.75" customHeight="1" x14ac:dyDescent="0.2">
      <c r="A95" s="126" t="s">
        <v>543</v>
      </c>
      <c r="B95" s="132" t="s">
        <v>539</v>
      </c>
      <c r="C95" s="128">
        <v>299</v>
      </c>
      <c r="D95" s="129">
        <v>253</v>
      </c>
      <c r="E95" s="129">
        <v>32</v>
      </c>
      <c r="F95" s="129">
        <v>11</v>
      </c>
      <c r="G95" s="129">
        <v>2</v>
      </c>
      <c r="H95" s="130">
        <v>0</v>
      </c>
      <c r="I95" s="129">
        <v>1</v>
      </c>
      <c r="J95" s="130">
        <v>0</v>
      </c>
      <c r="K95" s="131">
        <v>141</v>
      </c>
      <c r="L95" s="131">
        <v>7</v>
      </c>
      <c r="M95" s="131">
        <v>2</v>
      </c>
      <c r="N95" s="131">
        <v>54</v>
      </c>
    </row>
    <row r="96" spans="1:14" ht="15.75" customHeight="1" x14ac:dyDescent="0.2">
      <c r="A96" s="126" t="s">
        <v>543</v>
      </c>
      <c r="B96" s="133" t="s">
        <v>540</v>
      </c>
      <c r="C96" s="128">
        <v>460</v>
      </c>
      <c r="D96" s="129">
        <v>429</v>
      </c>
      <c r="E96" s="129">
        <v>29</v>
      </c>
      <c r="F96" s="129">
        <v>2</v>
      </c>
      <c r="G96" s="130">
        <v>0</v>
      </c>
      <c r="H96" s="130">
        <v>0</v>
      </c>
      <c r="I96" s="130">
        <v>0</v>
      </c>
      <c r="J96" s="130">
        <v>0</v>
      </c>
      <c r="K96" s="131">
        <v>223</v>
      </c>
      <c r="L96" s="131">
        <v>6</v>
      </c>
      <c r="M96" s="131">
        <v>3</v>
      </c>
      <c r="N96" s="131">
        <v>48</v>
      </c>
    </row>
    <row r="97" spans="1:14" ht="15.75" customHeight="1" x14ac:dyDescent="0.2">
      <c r="A97" s="134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</row>
    <row r="98" spans="1:14" ht="4.5" customHeight="1" x14ac:dyDescent="0.2">
      <c r="A98" s="126" t="s">
        <v>544</v>
      </c>
      <c r="B98" s="127" t="s">
        <v>538</v>
      </c>
      <c r="C98" s="128">
        <v>920</v>
      </c>
      <c r="D98" s="129">
        <v>508</v>
      </c>
      <c r="E98" s="129">
        <v>232</v>
      </c>
      <c r="F98" s="129">
        <v>95</v>
      </c>
      <c r="G98" s="129">
        <v>8</v>
      </c>
      <c r="H98" s="129">
        <v>66</v>
      </c>
      <c r="I98" s="129">
        <v>9</v>
      </c>
      <c r="J98" s="129">
        <v>2</v>
      </c>
      <c r="K98" s="131">
        <v>34</v>
      </c>
      <c r="L98" s="131">
        <v>316</v>
      </c>
      <c r="M98" s="131">
        <v>6</v>
      </c>
      <c r="N98" s="131">
        <v>306</v>
      </c>
    </row>
    <row r="99" spans="1:14" ht="15.75" customHeight="1" x14ac:dyDescent="0.2">
      <c r="A99" s="126" t="s">
        <v>544</v>
      </c>
      <c r="B99" s="132" t="s">
        <v>539</v>
      </c>
      <c r="C99" s="128">
        <v>368</v>
      </c>
      <c r="D99" s="129">
        <v>309</v>
      </c>
      <c r="E99" s="129">
        <v>37</v>
      </c>
      <c r="F99" s="129">
        <v>14</v>
      </c>
      <c r="G99" s="129">
        <v>6</v>
      </c>
      <c r="H99" s="129">
        <v>2</v>
      </c>
      <c r="I99" s="130">
        <v>0</v>
      </c>
      <c r="J99" s="130">
        <v>0</v>
      </c>
      <c r="K99" s="131">
        <v>194</v>
      </c>
      <c r="L99" s="131">
        <v>4</v>
      </c>
      <c r="M99" s="131">
        <v>3</v>
      </c>
      <c r="N99" s="131">
        <v>63</v>
      </c>
    </row>
    <row r="100" spans="1:14" ht="15.75" customHeight="1" x14ac:dyDescent="0.2">
      <c r="A100" s="126" t="s">
        <v>544</v>
      </c>
      <c r="B100" s="133" t="s">
        <v>540</v>
      </c>
      <c r="C100" s="128">
        <v>380</v>
      </c>
      <c r="D100" s="129">
        <v>358</v>
      </c>
      <c r="E100" s="129">
        <v>14</v>
      </c>
      <c r="F100" s="129">
        <v>5</v>
      </c>
      <c r="G100" s="129">
        <v>2</v>
      </c>
      <c r="H100" s="129">
        <v>1</v>
      </c>
      <c r="I100" s="130">
        <v>0</v>
      </c>
      <c r="J100" s="130">
        <v>0</v>
      </c>
      <c r="K100" s="131">
        <v>186</v>
      </c>
      <c r="L100" s="131">
        <v>1</v>
      </c>
      <c r="M100" s="131">
        <v>3</v>
      </c>
      <c r="N100" s="131">
        <v>30</v>
      </c>
    </row>
    <row r="101" spans="1:14" ht="15.75" customHeight="1" x14ac:dyDescent="0.2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</row>
    <row r="102" spans="1:14" ht="4.5" customHeight="1" x14ac:dyDescent="0.2">
      <c r="A102" s="126" t="s">
        <v>545</v>
      </c>
      <c r="B102" s="127" t="s">
        <v>538</v>
      </c>
      <c r="C102" s="128">
        <v>854</v>
      </c>
      <c r="D102" s="129">
        <v>425</v>
      </c>
      <c r="E102" s="129">
        <v>217</v>
      </c>
      <c r="F102" s="129">
        <v>113</v>
      </c>
      <c r="G102" s="129">
        <v>10</v>
      </c>
      <c r="H102" s="129">
        <v>71</v>
      </c>
      <c r="I102" s="129">
        <v>15</v>
      </c>
      <c r="J102" s="129">
        <v>3</v>
      </c>
      <c r="K102" s="131">
        <v>27</v>
      </c>
      <c r="L102" s="131">
        <v>298</v>
      </c>
      <c r="M102" s="131">
        <v>4</v>
      </c>
      <c r="N102" s="131">
        <v>325</v>
      </c>
    </row>
    <row r="103" spans="1:14" ht="15.75" customHeight="1" x14ac:dyDescent="0.2">
      <c r="A103" s="126" t="s">
        <v>545</v>
      </c>
      <c r="B103" s="132" t="s">
        <v>539</v>
      </c>
      <c r="C103" s="128">
        <v>426</v>
      </c>
      <c r="D103" s="129">
        <v>364</v>
      </c>
      <c r="E103" s="129">
        <v>43</v>
      </c>
      <c r="F103" s="129">
        <v>13</v>
      </c>
      <c r="G103" s="129">
        <v>2</v>
      </c>
      <c r="H103" s="129">
        <v>3</v>
      </c>
      <c r="I103" s="129">
        <v>1</v>
      </c>
      <c r="J103" s="130">
        <v>0</v>
      </c>
      <c r="K103" s="131">
        <v>217</v>
      </c>
      <c r="L103" s="131">
        <v>7</v>
      </c>
      <c r="M103" s="131">
        <v>15</v>
      </c>
      <c r="N103" s="131">
        <v>68</v>
      </c>
    </row>
    <row r="104" spans="1:14" ht="15.75" customHeight="1" x14ac:dyDescent="0.2">
      <c r="A104" s="126" t="s">
        <v>545</v>
      </c>
      <c r="B104" s="133" t="s">
        <v>540</v>
      </c>
      <c r="C104" s="128">
        <v>372</v>
      </c>
      <c r="D104" s="129">
        <v>339</v>
      </c>
      <c r="E104" s="129">
        <v>27</v>
      </c>
      <c r="F104" s="129">
        <v>4</v>
      </c>
      <c r="G104" s="129">
        <v>1</v>
      </c>
      <c r="H104" s="129">
        <v>1</v>
      </c>
      <c r="I104" s="130">
        <v>0</v>
      </c>
      <c r="J104" s="130">
        <v>0</v>
      </c>
      <c r="K104" s="131">
        <v>169</v>
      </c>
      <c r="L104" s="131">
        <v>6</v>
      </c>
      <c r="M104" s="131">
        <v>7</v>
      </c>
      <c r="N104" s="131">
        <v>46</v>
      </c>
    </row>
    <row r="105" spans="1:14" ht="15.75" customHeight="1" x14ac:dyDescent="0.2">
      <c r="A105" s="134"/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</row>
    <row r="106" spans="1:14" ht="4.5" customHeight="1" x14ac:dyDescent="0.2">
      <c r="A106" s="126" t="s">
        <v>546</v>
      </c>
      <c r="B106" s="127" t="s">
        <v>538</v>
      </c>
      <c r="C106" s="128">
        <v>915</v>
      </c>
      <c r="D106" s="129">
        <v>457</v>
      </c>
      <c r="E106" s="129">
        <v>256</v>
      </c>
      <c r="F106" s="129">
        <v>99</v>
      </c>
      <c r="G106" s="129">
        <v>13</v>
      </c>
      <c r="H106" s="129">
        <v>78</v>
      </c>
      <c r="I106" s="129">
        <v>9</v>
      </c>
      <c r="J106" s="129">
        <v>3</v>
      </c>
      <c r="K106" s="131">
        <v>26</v>
      </c>
      <c r="L106" s="131">
        <v>286</v>
      </c>
      <c r="M106" s="131">
        <v>3</v>
      </c>
      <c r="N106" s="131">
        <v>369</v>
      </c>
    </row>
    <row r="107" spans="1:14" ht="15.75" customHeight="1" x14ac:dyDescent="0.2">
      <c r="A107" s="126" t="s">
        <v>546</v>
      </c>
      <c r="B107" s="132" t="s">
        <v>539</v>
      </c>
      <c r="C107" s="128">
        <v>544</v>
      </c>
      <c r="D107" s="129">
        <v>454</v>
      </c>
      <c r="E107" s="129">
        <v>65</v>
      </c>
      <c r="F107" s="129">
        <v>16</v>
      </c>
      <c r="G107" s="129">
        <v>5</v>
      </c>
      <c r="H107" s="129">
        <v>3</v>
      </c>
      <c r="I107" s="130">
        <v>0</v>
      </c>
      <c r="J107" s="129">
        <v>1</v>
      </c>
      <c r="K107" s="131">
        <v>268</v>
      </c>
      <c r="L107" s="131">
        <v>7</v>
      </c>
      <c r="M107" s="131">
        <v>15</v>
      </c>
      <c r="N107" s="131">
        <v>109</v>
      </c>
    </row>
    <row r="108" spans="1:14" ht="15.75" customHeight="1" x14ac:dyDescent="0.2">
      <c r="A108" s="126" t="s">
        <v>546</v>
      </c>
      <c r="B108" s="133" t="s">
        <v>540</v>
      </c>
      <c r="C108" s="128">
        <v>404</v>
      </c>
      <c r="D108" s="129">
        <v>363</v>
      </c>
      <c r="E108" s="129">
        <v>35</v>
      </c>
      <c r="F108" s="129">
        <v>3</v>
      </c>
      <c r="G108" s="129">
        <v>1</v>
      </c>
      <c r="H108" s="129">
        <v>2</v>
      </c>
      <c r="I108" s="130">
        <v>0</v>
      </c>
      <c r="J108" s="130">
        <v>0</v>
      </c>
      <c r="K108" s="131">
        <v>207</v>
      </c>
      <c r="L108" s="131">
        <v>2</v>
      </c>
      <c r="M108" s="131">
        <v>6</v>
      </c>
      <c r="N108" s="131">
        <v>60</v>
      </c>
    </row>
    <row r="109" spans="1:14" ht="15.75" customHeight="1" x14ac:dyDescent="0.2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</row>
    <row r="110" spans="1:14" ht="4.5" customHeight="1" x14ac:dyDescent="0.2">
      <c r="A110" s="126" t="s">
        <v>547</v>
      </c>
      <c r="B110" s="127" t="s">
        <v>538</v>
      </c>
      <c r="C110" s="128">
        <v>865</v>
      </c>
      <c r="D110" s="129">
        <v>448</v>
      </c>
      <c r="E110" s="129">
        <v>239</v>
      </c>
      <c r="F110" s="129">
        <v>98</v>
      </c>
      <c r="G110" s="129">
        <v>12</v>
      </c>
      <c r="H110" s="129">
        <v>54</v>
      </c>
      <c r="I110" s="129">
        <v>12</v>
      </c>
      <c r="J110" s="129">
        <v>2</v>
      </c>
      <c r="K110" s="131">
        <v>36</v>
      </c>
      <c r="L110" s="131">
        <v>277</v>
      </c>
      <c r="M110" s="131">
        <v>5</v>
      </c>
      <c r="N110" s="131">
        <v>331</v>
      </c>
    </row>
    <row r="111" spans="1:14" ht="15.75" customHeight="1" x14ac:dyDescent="0.2">
      <c r="A111" s="126" t="s">
        <v>547</v>
      </c>
      <c r="B111" s="132" t="s">
        <v>539</v>
      </c>
      <c r="C111" s="128">
        <v>586</v>
      </c>
      <c r="D111" s="129">
        <v>510</v>
      </c>
      <c r="E111" s="129">
        <v>49</v>
      </c>
      <c r="F111" s="129">
        <v>19</v>
      </c>
      <c r="G111" s="129">
        <v>5</v>
      </c>
      <c r="H111" s="129">
        <v>2</v>
      </c>
      <c r="I111" s="129">
        <v>1</v>
      </c>
      <c r="J111" s="130">
        <v>0</v>
      </c>
      <c r="K111" s="131">
        <v>270</v>
      </c>
      <c r="L111" s="131">
        <v>7</v>
      </c>
      <c r="M111" s="131">
        <v>14</v>
      </c>
      <c r="N111" s="131">
        <v>113</v>
      </c>
    </row>
    <row r="112" spans="1:14" ht="15.75" customHeight="1" x14ac:dyDescent="0.2">
      <c r="A112" s="126" t="s">
        <v>547</v>
      </c>
      <c r="B112" s="133" t="s">
        <v>540</v>
      </c>
      <c r="C112" s="128">
        <v>351</v>
      </c>
      <c r="D112" s="129">
        <v>307</v>
      </c>
      <c r="E112" s="129">
        <v>33</v>
      </c>
      <c r="F112" s="129">
        <v>3</v>
      </c>
      <c r="G112" s="129">
        <v>5</v>
      </c>
      <c r="H112" s="129">
        <v>2</v>
      </c>
      <c r="I112" s="129">
        <v>1</v>
      </c>
      <c r="J112" s="130">
        <v>0</v>
      </c>
      <c r="K112" s="131">
        <v>167</v>
      </c>
      <c r="L112" s="131">
        <v>5</v>
      </c>
      <c r="M112" s="131">
        <v>11</v>
      </c>
      <c r="N112" s="131">
        <v>50</v>
      </c>
    </row>
    <row r="113" spans="1:14" ht="15.75" customHeight="1" x14ac:dyDescent="0.2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</row>
    <row r="114" spans="1:14" ht="4.5" customHeight="1" x14ac:dyDescent="0.2">
      <c r="A114" s="126" t="s">
        <v>548</v>
      </c>
      <c r="B114" s="127" t="s">
        <v>538</v>
      </c>
      <c r="C114" s="128">
        <v>882</v>
      </c>
      <c r="D114" s="129">
        <v>441</v>
      </c>
      <c r="E114" s="129">
        <v>215</v>
      </c>
      <c r="F114" s="129">
        <v>119</v>
      </c>
      <c r="G114" s="129">
        <v>25</v>
      </c>
      <c r="H114" s="129">
        <v>67</v>
      </c>
      <c r="I114" s="129">
        <v>13</v>
      </c>
      <c r="J114" s="129">
        <v>2</v>
      </c>
      <c r="K114" s="131">
        <v>39</v>
      </c>
      <c r="L114" s="131">
        <v>170</v>
      </c>
      <c r="M114" s="131">
        <v>3</v>
      </c>
      <c r="N114" s="131">
        <v>318</v>
      </c>
    </row>
    <row r="115" spans="1:14" ht="15.75" customHeight="1" x14ac:dyDescent="0.2">
      <c r="A115" s="126" t="s">
        <v>548</v>
      </c>
      <c r="B115" s="132" t="s">
        <v>539</v>
      </c>
      <c r="C115" s="128">
        <v>504</v>
      </c>
      <c r="D115" s="129">
        <v>426</v>
      </c>
      <c r="E115" s="129">
        <v>57</v>
      </c>
      <c r="F115" s="129">
        <v>15</v>
      </c>
      <c r="G115" s="130">
        <v>0</v>
      </c>
      <c r="H115" s="129">
        <v>6</v>
      </c>
      <c r="I115" s="130">
        <v>0</v>
      </c>
      <c r="J115" s="130">
        <v>0</v>
      </c>
      <c r="K115" s="131">
        <v>256</v>
      </c>
      <c r="L115" s="131">
        <v>3</v>
      </c>
      <c r="M115" s="131">
        <v>8</v>
      </c>
      <c r="N115" s="131">
        <v>97</v>
      </c>
    </row>
    <row r="116" spans="1:14" ht="15.75" customHeight="1" x14ac:dyDescent="0.2">
      <c r="A116" s="126" t="s">
        <v>548</v>
      </c>
      <c r="B116" s="133" t="s">
        <v>540</v>
      </c>
      <c r="C116" s="128">
        <v>292</v>
      </c>
      <c r="D116" s="129">
        <v>269</v>
      </c>
      <c r="E116" s="129">
        <v>15</v>
      </c>
      <c r="F116" s="129">
        <v>4</v>
      </c>
      <c r="G116" s="129">
        <v>2</v>
      </c>
      <c r="H116" s="129">
        <v>2</v>
      </c>
      <c r="I116" s="130">
        <v>0</v>
      </c>
      <c r="J116" s="130">
        <v>0</v>
      </c>
      <c r="K116" s="131">
        <v>139</v>
      </c>
      <c r="L116" s="131">
        <v>1</v>
      </c>
      <c r="M116" s="131">
        <v>1</v>
      </c>
      <c r="N116" s="131">
        <v>39</v>
      </c>
    </row>
    <row r="117" spans="1:14" ht="15.75" customHeight="1" x14ac:dyDescent="0.2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</row>
    <row r="118" spans="1:14" ht="4.5" customHeight="1" x14ac:dyDescent="0.2">
      <c r="A118" s="126" t="s">
        <v>549</v>
      </c>
      <c r="B118" s="127" t="s">
        <v>538</v>
      </c>
      <c r="C118" s="128">
        <v>1360</v>
      </c>
      <c r="D118" s="129">
        <v>710</v>
      </c>
      <c r="E118" s="129">
        <v>319</v>
      </c>
      <c r="F118" s="129">
        <v>174</v>
      </c>
      <c r="G118" s="129">
        <v>41</v>
      </c>
      <c r="H118" s="129">
        <v>109</v>
      </c>
      <c r="I118" s="129">
        <v>7</v>
      </c>
      <c r="J118" s="130">
        <v>0</v>
      </c>
      <c r="K118" s="131">
        <v>124</v>
      </c>
      <c r="L118" s="131">
        <v>104</v>
      </c>
      <c r="M118" s="131">
        <v>3</v>
      </c>
      <c r="N118" s="131">
        <v>576</v>
      </c>
    </row>
    <row r="119" spans="1:14" ht="15.75" customHeight="1" x14ac:dyDescent="0.2">
      <c r="A119" s="126" t="s">
        <v>549</v>
      </c>
      <c r="B119" s="132" t="s">
        <v>539</v>
      </c>
      <c r="C119" s="128">
        <v>764</v>
      </c>
      <c r="D119" s="129">
        <v>621</v>
      </c>
      <c r="E119" s="129">
        <v>106</v>
      </c>
      <c r="F119" s="129">
        <v>28</v>
      </c>
      <c r="G119" s="129">
        <v>5</v>
      </c>
      <c r="H119" s="129">
        <v>2</v>
      </c>
      <c r="I119" s="129">
        <v>1</v>
      </c>
      <c r="J119" s="129">
        <v>1</v>
      </c>
      <c r="K119" s="131">
        <v>407</v>
      </c>
      <c r="L119" s="131">
        <v>5</v>
      </c>
      <c r="M119" s="131">
        <v>7</v>
      </c>
      <c r="N119" s="131">
        <v>217</v>
      </c>
    </row>
    <row r="120" spans="1:14" ht="15.75" customHeight="1" x14ac:dyDescent="0.2">
      <c r="A120" s="126" t="s">
        <v>549</v>
      </c>
      <c r="B120" s="133" t="s">
        <v>540</v>
      </c>
      <c r="C120" s="128">
        <v>294</v>
      </c>
      <c r="D120" s="129">
        <v>271</v>
      </c>
      <c r="E120" s="129">
        <v>18</v>
      </c>
      <c r="F120" s="129">
        <v>4</v>
      </c>
      <c r="G120" s="129">
        <v>1</v>
      </c>
      <c r="H120" s="130">
        <v>0</v>
      </c>
      <c r="I120" s="130">
        <v>0</v>
      </c>
      <c r="J120" s="130">
        <v>0</v>
      </c>
      <c r="K120" s="131">
        <v>148</v>
      </c>
      <c r="L120" s="130">
        <v>0</v>
      </c>
      <c r="M120" s="131">
        <v>1</v>
      </c>
      <c r="N120" s="131">
        <v>87</v>
      </c>
    </row>
    <row r="121" spans="1:14" ht="15.75" customHeight="1" x14ac:dyDescent="0.2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</row>
    <row r="122" spans="1:14" ht="4.5" customHeight="1" x14ac:dyDescent="0.2">
      <c r="A122" s="126" t="s">
        <v>550</v>
      </c>
      <c r="B122" s="127" t="s">
        <v>538</v>
      </c>
      <c r="C122" s="128">
        <v>1379</v>
      </c>
      <c r="D122" s="129">
        <v>681</v>
      </c>
      <c r="E122" s="129">
        <v>368</v>
      </c>
      <c r="F122" s="129">
        <v>166</v>
      </c>
      <c r="G122" s="129">
        <v>54</v>
      </c>
      <c r="H122" s="129">
        <v>91</v>
      </c>
      <c r="I122" s="129">
        <v>17</v>
      </c>
      <c r="J122" s="129">
        <v>2</v>
      </c>
      <c r="K122" s="131">
        <v>67</v>
      </c>
      <c r="L122" s="131">
        <v>370</v>
      </c>
      <c r="M122" s="131">
        <v>12</v>
      </c>
      <c r="N122" s="131">
        <v>539</v>
      </c>
    </row>
    <row r="123" spans="1:14" ht="15.75" customHeight="1" x14ac:dyDescent="0.2">
      <c r="A123" s="126" t="s">
        <v>550</v>
      </c>
      <c r="B123" s="132" t="s">
        <v>539</v>
      </c>
      <c r="C123" s="128">
        <v>689</v>
      </c>
      <c r="D123" s="129">
        <v>575</v>
      </c>
      <c r="E123" s="129">
        <v>83</v>
      </c>
      <c r="F123" s="129">
        <v>25</v>
      </c>
      <c r="G123" s="129">
        <v>2</v>
      </c>
      <c r="H123" s="129">
        <v>1</v>
      </c>
      <c r="I123" s="129">
        <v>2</v>
      </c>
      <c r="J123" s="129">
        <v>1</v>
      </c>
      <c r="K123" s="131">
        <v>332</v>
      </c>
      <c r="L123" s="131">
        <v>8</v>
      </c>
      <c r="M123" s="131">
        <v>20</v>
      </c>
      <c r="N123" s="131">
        <v>165</v>
      </c>
    </row>
    <row r="124" spans="1:14" ht="15.75" customHeight="1" x14ac:dyDescent="0.2">
      <c r="A124" s="126" t="s">
        <v>550</v>
      </c>
      <c r="B124" s="133" t="s">
        <v>540</v>
      </c>
      <c r="C124" s="128">
        <v>333</v>
      </c>
      <c r="D124" s="129">
        <v>301</v>
      </c>
      <c r="E124" s="129">
        <v>23</v>
      </c>
      <c r="F124" s="129">
        <v>7</v>
      </c>
      <c r="G124" s="129">
        <v>1</v>
      </c>
      <c r="H124" s="129">
        <v>1</v>
      </c>
      <c r="I124" s="130">
        <v>0</v>
      </c>
      <c r="J124" s="130">
        <v>0</v>
      </c>
      <c r="K124" s="131">
        <v>192</v>
      </c>
      <c r="L124" s="131">
        <v>4</v>
      </c>
      <c r="M124" s="131">
        <v>7</v>
      </c>
      <c r="N124" s="131">
        <v>62</v>
      </c>
    </row>
    <row r="125" spans="1:14" ht="15.75" customHeight="1" x14ac:dyDescent="0.2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</row>
    <row r="126" spans="1:14" ht="4.5" customHeight="1" x14ac:dyDescent="0.2">
      <c r="A126" s="126" t="s">
        <v>551</v>
      </c>
      <c r="B126" s="127" t="s">
        <v>538</v>
      </c>
      <c r="C126" s="128">
        <v>1320</v>
      </c>
      <c r="D126" s="129">
        <v>682</v>
      </c>
      <c r="E126" s="129">
        <v>288</v>
      </c>
      <c r="F126" s="129">
        <v>207</v>
      </c>
      <c r="G126" s="129">
        <v>38</v>
      </c>
      <c r="H126" s="129">
        <v>86</v>
      </c>
      <c r="I126" s="129">
        <v>16</v>
      </c>
      <c r="J126" s="129">
        <v>3</v>
      </c>
      <c r="K126" s="131">
        <v>46</v>
      </c>
      <c r="L126" s="131">
        <v>400</v>
      </c>
      <c r="M126" s="131">
        <v>11</v>
      </c>
      <c r="N126" s="131">
        <v>467</v>
      </c>
    </row>
    <row r="127" spans="1:14" ht="15.75" customHeight="1" x14ac:dyDescent="0.2">
      <c r="A127" s="126" t="s">
        <v>551</v>
      </c>
      <c r="B127" s="132" t="s">
        <v>539</v>
      </c>
      <c r="C127" s="128">
        <v>737</v>
      </c>
      <c r="D127" s="129">
        <v>636</v>
      </c>
      <c r="E127" s="129">
        <v>78</v>
      </c>
      <c r="F127" s="129">
        <v>18</v>
      </c>
      <c r="G127" s="129">
        <v>3</v>
      </c>
      <c r="H127" s="129">
        <v>2</v>
      </c>
      <c r="I127" s="130">
        <v>0</v>
      </c>
      <c r="J127" s="130">
        <v>0</v>
      </c>
      <c r="K127" s="131">
        <v>376</v>
      </c>
      <c r="L127" s="131">
        <v>14</v>
      </c>
      <c r="M127" s="131">
        <v>27</v>
      </c>
      <c r="N127" s="131">
        <v>157</v>
      </c>
    </row>
    <row r="128" spans="1:14" ht="15.75" customHeight="1" x14ac:dyDescent="0.2">
      <c r="A128" s="126" t="s">
        <v>551</v>
      </c>
      <c r="B128" s="133" t="s">
        <v>540</v>
      </c>
      <c r="C128" s="128">
        <v>557</v>
      </c>
      <c r="D128" s="129">
        <v>508</v>
      </c>
      <c r="E128" s="129">
        <v>38</v>
      </c>
      <c r="F128" s="129">
        <v>5</v>
      </c>
      <c r="G128" s="129">
        <v>2</v>
      </c>
      <c r="H128" s="129">
        <v>4</v>
      </c>
      <c r="I128" s="130">
        <v>0</v>
      </c>
      <c r="J128" s="130">
        <v>0</v>
      </c>
      <c r="K128" s="131">
        <v>287</v>
      </c>
      <c r="L128" s="131">
        <v>9</v>
      </c>
      <c r="M128" s="131">
        <v>22</v>
      </c>
      <c r="N128" s="131">
        <v>73</v>
      </c>
    </row>
    <row r="129" spans="1:14" ht="15.75" customHeight="1" x14ac:dyDescent="0.2">
      <c r="A129" s="134"/>
      <c r="B129" s="134"/>
      <c r="C129" s="134"/>
      <c r="D129" s="134"/>
      <c r="E129" s="134"/>
      <c r="F129" s="134"/>
      <c r="G129" s="134"/>
      <c r="H129" s="134"/>
      <c r="I129" s="134"/>
      <c r="J129" s="134"/>
      <c r="K129" s="134"/>
      <c r="L129" s="134"/>
      <c r="M129" s="134"/>
      <c r="N129" s="134"/>
    </row>
    <row r="130" spans="1:14" ht="4.5" customHeight="1" x14ac:dyDescent="0.2">
      <c r="A130" s="126" t="s">
        <v>552</v>
      </c>
      <c r="B130" s="127" t="s">
        <v>538</v>
      </c>
      <c r="C130" s="128">
        <v>1587</v>
      </c>
      <c r="D130" s="129">
        <v>879</v>
      </c>
      <c r="E130" s="129">
        <v>254</v>
      </c>
      <c r="F130" s="129">
        <v>315</v>
      </c>
      <c r="G130" s="129">
        <v>23</v>
      </c>
      <c r="H130" s="129">
        <v>90</v>
      </c>
      <c r="I130" s="129">
        <v>18</v>
      </c>
      <c r="J130" s="129">
        <v>8</v>
      </c>
      <c r="K130" s="131">
        <v>85</v>
      </c>
      <c r="L130" s="131">
        <v>487</v>
      </c>
      <c r="M130" s="131">
        <v>14</v>
      </c>
      <c r="N130" s="131">
        <v>605</v>
      </c>
    </row>
    <row r="131" spans="1:14" ht="15.75" customHeight="1" x14ac:dyDescent="0.2">
      <c r="A131" s="126" t="s">
        <v>552</v>
      </c>
      <c r="B131" s="132" t="s">
        <v>539</v>
      </c>
      <c r="C131" s="128">
        <v>819</v>
      </c>
      <c r="D131" s="129">
        <v>685</v>
      </c>
      <c r="E131" s="129">
        <v>95</v>
      </c>
      <c r="F131" s="129">
        <v>29</v>
      </c>
      <c r="G131" s="129">
        <v>6</v>
      </c>
      <c r="H131" s="129">
        <v>3</v>
      </c>
      <c r="I131" s="129">
        <v>1</v>
      </c>
      <c r="J131" s="130">
        <v>0</v>
      </c>
      <c r="K131" s="131">
        <v>427</v>
      </c>
      <c r="L131" s="131">
        <v>3</v>
      </c>
      <c r="M131" s="131">
        <v>32</v>
      </c>
      <c r="N131" s="131">
        <v>195</v>
      </c>
    </row>
    <row r="132" spans="1:14" ht="15.75" customHeight="1" x14ac:dyDescent="0.2">
      <c r="A132" s="126" t="s">
        <v>552</v>
      </c>
      <c r="B132" s="133" t="s">
        <v>540</v>
      </c>
      <c r="C132" s="128">
        <v>600</v>
      </c>
      <c r="D132" s="129">
        <v>534</v>
      </c>
      <c r="E132" s="129">
        <v>53</v>
      </c>
      <c r="F132" s="129">
        <v>9</v>
      </c>
      <c r="G132" s="129">
        <v>3</v>
      </c>
      <c r="H132" s="129">
        <v>1</v>
      </c>
      <c r="I132" s="130">
        <v>0</v>
      </c>
      <c r="J132" s="130">
        <v>0</v>
      </c>
      <c r="K132" s="131">
        <v>301</v>
      </c>
      <c r="L132" s="131">
        <v>8</v>
      </c>
      <c r="M132" s="131">
        <v>18</v>
      </c>
      <c r="N132" s="131">
        <v>133</v>
      </c>
    </row>
    <row r="133" spans="1:14" ht="15.75" customHeight="1" x14ac:dyDescent="0.2">
      <c r="A133" s="134"/>
      <c r="B133" s="134"/>
      <c r="C133" s="134"/>
      <c r="D133" s="134"/>
      <c r="E133" s="134"/>
      <c r="F133" s="134"/>
      <c r="G133" s="134"/>
      <c r="H133" s="134"/>
      <c r="I133" s="134"/>
      <c r="J133" s="134"/>
      <c r="K133" s="134"/>
      <c r="L133" s="134"/>
      <c r="M133" s="134"/>
      <c r="N133" s="134"/>
    </row>
    <row r="134" spans="1:14" ht="4.5" customHeight="1" x14ac:dyDescent="0.2">
      <c r="A134" s="126" t="s">
        <v>553</v>
      </c>
      <c r="B134" s="127" t="s">
        <v>538</v>
      </c>
      <c r="C134" s="128">
        <v>1183</v>
      </c>
      <c r="D134" s="129">
        <v>561</v>
      </c>
      <c r="E134" s="129">
        <v>209</v>
      </c>
      <c r="F134" s="129">
        <v>255</v>
      </c>
      <c r="G134" s="129">
        <v>27</v>
      </c>
      <c r="H134" s="129">
        <v>111</v>
      </c>
      <c r="I134" s="129">
        <v>16</v>
      </c>
      <c r="J134" s="129">
        <v>4</v>
      </c>
      <c r="K134" s="131">
        <v>86</v>
      </c>
      <c r="L134" s="131">
        <v>379</v>
      </c>
      <c r="M134" s="131">
        <v>16</v>
      </c>
      <c r="N134" s="131">
        <v>545</v>
      </c>
    </row>
    <row r="135" spans="1:14" ht="15.75" customHeight="1" x14ac:dyDescent="0.2">
      <c r="A135" s="126" t="s">
        <v>553</v>
      </c>
      <c r="B135" s="132" t="s">
        <v>539</v>
      </c>
      <c r="C135" s="128">
        <v>1105</v>
      </c>
      <c r="D135" s="129">
        <v>947</v>
      </c>
      <c r="E135" s="129">
        <v>129</v>
      </c>
      <c r="F135" s="129">
        <v>19</v>
      </c>
      <c r="G135" s="129">
        <v>6</v>
      </c>
      <c r="H135" s="129">
        <v>2</v>
      </c>
      <c r="I135" s="129">
        <v>2</v>
      </c>
      <c r="J135" s="130">
        <v>0</v>
      </c>
      <c r="K135" s="131">
        <v>520</v>
      </c>
      <c r="L135" s="131">
        <v>21</v>
      </c>
      <c r="M135" s="131">
        <v>22</v>
      </c>
      <c r="N135" s="131">
        <v>257</v>
      </c>
    </row>
    <row r="136" spans="1:14" ht="15.75" customHeight="1" x14ac:dyDescent="0.2">
      <c r="A136" s="126" t="s">
        <v>553</v>
      </c>
      <c r="B136" s="133" t="s">
        <v>540</v>
      </c>
      <c r="C136" s="128">
        <v>688</v>
      </c>
      <c r="D136" s="129">
        <v>607</v>
      </c>
      <c r="E136" s="129">
        <v>64</v>
      </c>
      <c r="F136" s="129">
        <v>8</v>
      </c>
      <c r="G136" s="129">
        <v>5</v>
      </c>
      <c r="H136" s="129">
        <v>4</v>
      </c>
      <c r="I136" s="130">
        <v>0</v>
      </c>
      <c r="J136" s="130">
        <v>0</v>
      </c>
      <c r="K136" s="131">
        <v>319</v>
      </c>
      <c r="L136" s="131">
        <v>11</v>
      </c>
      <c r="M136" s="131">
        <v>24</v>
      </c>
      <c r="N136" s="131">
        <v>157</v>
      </c>
    </row>
    <row r="137" spans="1:14" ht="15.75" customHeight="1" x14ac:dyDescent="0.2">
      <c r="A137" s="134"/>
      <c r="B137" s="134"/>
      <c r="C137" s="134"/>
      <c r="D137" s="134"/>
      <c r="E137" s="134"/>
      <c r="F137" s="134"/>
      <c r="G137" s="134"/>
      <c r="H137" s="134"/>
      <c r="I137" s="134"/>
      <c r="J137" s="134"/>
      <c r="K137" s="134"/>
      <c r="L137" s="134"/>
      <c r="M137" s="134"/>
      <c r="N137" s="134"/>
    </row>
    <row r="138" spans="1:14" ht="4.5" customHeight="1" x14ac:dyDescent="0.2">
      <c r="A138" s="126" t="s">
        <v>554</v>
      </c>
      <c r="B138" s="127" t="s">
        <v>538</v>
      </c>
      <c r="C138" s="128">
        <v>852</v>
      </c>
      <c r="D138" s="129">
        <v>495</v>
      </c>
      <c r="E138" s="129">
        <v>147</v>
      </c>
      <c r="F138" s="129">
        <v>140</v>
      </c>
      <c r="G138" s="129">
        <v>12</v>
      </c>
      <c r="H138" s="129">
        <v>43</v>
      </c>
      <c r="I138" s="129">
        <v>14</v>
      </c>
      <c r="J138" s="129">
        <v>1</v>
      </c>
      <c r="K138" s="131">
        <v>30</v>
      </c>
      <c r="L138" s="131">
        <v>232</v>
      </c>
      <c r="M138" s="131">
        <v>10</v>
      </c>
      <c r="N138" s="131">
        <v>287</v>
      </c>
    </row>
    <row r="139" spans="1:14" ht="15.75" customHeight="1" x14ac:dyDescent="0.2">
      <c r="A139" s="126" t="s">
        <v>554</v>
      </c>
      <c r="B139" s="132" t="s">
        <v>539</v>
      </c>
      <c r="C139" s="128">
        <v>545</v>
      </c>
      <c r="D139" s="129">
        <v>480</v>
      </c>
      <c r="E139" s="129">
        <v>45</v>
      </c>
      <c r="F139" s="129">
        <v>14</v>
      </c>
      <c r="G139" s="129">
        <v>2</v>
      </c>
      <c r="H139" s="129">
        <v>2</v>
      </c>
      <c r="I139" s="129">
        <v>2</v>
      </c>
      <c r="J139" s="130">
        <v>0</v>
      </c>
      <c r="K139" s="131">
        <v>205</v>
      </c>
      <c r="L139" s="131">
        <v>24</v>
      </c>
      <c r="M139" s="131">
        <v>59</v>
      </c>
      <c r="N139" s="131">
        <v>103</v>
      </c>
    </row>
    <row r="140" spans="1:14" ht="15.75" customHeight="1" x14ac:dyDescent="0.2">
      <c r="A140" s="126" t="s">
        <v>554</v>
      </c>
      <c r="B140" s="133" t="s">
        <v>540</v>
      </c>
      <c r="C140" s="128">
        <v>400</v>
      </c>
      <c r="D140" s="129">
        <v>366</v>
      </c>
      <c r="E140" s="129">
        <v>26</v>
      </c>
      <c r="F140" s="129">
        <v>4</v>
      </c>
      <c r="G140" s="129">
        <v>1</v>
      </c>
      <c r="H140" s="129">
        <v>3</v>
      </c>
      <c r="I140" s="130">
        <v>0</v>
      </c>
      <c r="J140" s="130">
        <v>0</v>
      </c>
      <c r="K140" s="131">
        <v>143</v>
      </c>
      <c r="L140" s="131">
        <v>22</v>
      </c>
      <c r="M140" s="131">
        <v>37</v>
      </c>
      <c r="N140" s="131">
        <v>61</v>
      </c>
    </row>
    <row r="141" spans="1:14" ht="15.75" customHeight="1" x14ac:dyDescent="0.2">
      <c r="A141" s="134"/>
      <c r="B141" s="134"/>
      <c r="C141" s="134"/>
      <c r="D141" s="134"/>
      <c r="E141" s="134"/>
      <c r="F141" s="134"/>
      <c r="G141" s="134"/>
      <c r="H141" s="134"/>
      <c r="I141" s="134"/>
      <c r="J141" s="134"/>
      <c r="K141" s="134"/>
      <c r="L141" s="134"/>
      <c r="M141" s="134"/>
      <c r="N141" s="134"/>
    </row>
    <row r="142" spans="1:14" ht="4.5" customHeight="1" x14ac:dyDescent="0.2">
      <c r="A142" s="126" t="s">
        <v>555</v>
      </c>
      <c r="B142" s="127" t="s">
        <v>538</v>
      </c>
      <c r="C142" s="128">
        <v>893</v>
      </c>
      <c r="D142" s="129">
        <v>484</v>
      </c>
      <c r="E142" s="129">
        <v>133</v>
      </c>
      <c r="F142" s="129">
        <v>168</v>
      </c>
      <c r="G142" s="129">
        <v>23</v>
      </c>
      <c r="H142" s="129">
        <v>66</v>
      </c>
      <c r="I142" s="129">
        <v>16</v>
      </c>
      <c r="J142" s="129">
        <v>3</v>
      </c>
      <c r="K142" s="131">
        <v>22</v>
      </c>
      <c r="L142" s="131">
        <v>320</v>
      </c>
      <c r="M142" s="131">
        <v>12</v>
      </c>
      <c r="N142" s="131">
        <v>322</v>
      </c>
    </row>
    <row r="143" spans="1:14" ht="15.75" customHeight="1" x14ac:dyDescent="0.2">
      <c r="A143" s="126" t="s">
        <v>555</v>
      </c>
      <c r="B143" s="132" t="s">
        <v>539</v>
      </c>
      <c r="C143" s="128">
        <v>545</v>
      </c>
      <c r="D143" s="129">
        <v>478</v>
      </c>
      <c r="E143" s="129">
        <v>46</v>
      </c>
      <c r="F143" s="129">
        <v>15</v>
      </c>
      <c r="G143" s="129">
        <v>1</v>
      </c>
      <c r="H143" s="129">
        <v>3</v>
      </c>
      <c r="I143" s="130">
        <v>0</v>
      </c>
      <c r="J143" s="129">
        <v>2</v>
      </c>
      <c r="K143" s="131">
        <v>128</v>
      </c>
      <c r="L143" s="131">
        <v>42</v>
      </c>
      <c r="M143" s="131">
        <v>105</v>
      </c>
      <c r="N143" s="131">
        <v>101</v>
      </c>
    </row>
    <row r="144" spans="1:14" ht="15.75" customHeight="1" x14ac:dyDescent="0.2">
      <c r="A144" s="126" t="s">
        <v>555</v>
      </c>
      <c r="B144" s="133" t="s">
        <v>540</v>
      </c>
      <c r="C144" s="128">
        <v>357</v>
      </c>
      <c r="D144" s="129">
        <v>323</v>
      </c>
      <c r="E144" s="129">
        <v>23</v>
      </c>
      <c r="F144" s="129">
        <v>7</v>
      </c>
      <c r="G144" s="129">
        <v>2</v>
      </c>
      <c r="H144" s="129">
        <v>1</v>
      </c>
      <c r="I144" s="130">
        <v>0</v>
      </c>
      <c r="J144" s="129">
        <v>1</v>
      </c>
      <c r="K144" s="131">
        <v>95</v>
      </c>
      <c r="L144" s="131">
        <v>23</v>
      </c>
      <c r="M144" s="131">
        <v>71</v>
      </c>
      <c r="N144" s="131">
        <v>59</v>
      </c>
    </row>
    <row r="145" spans="1:14" ht="15.75" customHeight="1" x14ac:dyDescent="0.2">
      <c r="A145" s="134"/>
      <c r="B145" s="134"/>
      <c r="C145" s="134"/>
      <c r="D145" s="134"/>
      <c r="E145" s="134"/>
      <c r="F145" s="134"/>
      <c r="G145" s="134"/>
      <c r="H145" s="134"/>
      <c r="I145" s="134"/>
      <c r="J145" s="134"/>
      <c r="K145" s="134"/>
      <c r="L145" s="134"/>
      <c r="M145" s="134"/>
      <c r="N145" s="134"/>
    </row>
    <row r="146" spans="1:14" ht="4.5" customHeight="1" x14ac:dyDescent="0.2">
      <c r="A146" s="126" t="s">
        <v>556</v>
      </c>
      <c r="B146" s="127" t="s">
        <v>538</v>
      </c>
      <c r="C146" s="128">
        <v>810</v>
      </c>
      <c r="D146" s="129">
        <v>472</v>
      </c>
      <c r="E146" s="129">
        <v>117</v>
      </c>
      <c r="F146" s="129">
        <v>146</v>
      </c>
      <c r="G146" s="129">
        <v>15</v>
      </c>
      <c r="H146" s="129">
        <v>47</v>
      </c>
      <c r="I146" s="129">
        <v>9</v>
      </c>
      <c r="J146" s="129">
        <v>4</v>
      </c>
      <c r="K146" s="131">
        <v>19</v>
      </c>
      <c r="L146" s="131">
        <v>284</v>
      </c>
      <c r="M146" s="131">
        <v>20</v>
      </c>
      <c r="N146" s="131">
        <v>289</v>
      </c>
    </row>
    <row r="147" spans="1:14" ht="15.75" customHeight="1" x14ac:dyDescent="0.2">
      <c r="A147" s="126" t="s">
        <v>556</v>
      </c>
      <c r="B147" s="132" t="s">
        <v>539</v>
      </c>
      <c r="C147" s="128">
        <v>559</v>
      </c>
      <c r="D147" s="129">
        <v>487</v>
      </c>
      <c r="E147" s="129">
        <v>53</v>
      </c>
      <c r="F147" s="129">
        <v>13</v>
      </c>
      <c r="G147" s="129">
        <v>2</v>
      </c>
      <c r="H147" s="129">
        <v>3</v>
      </c>
      <c r="I147" s="129">
        <v>1</v>
      </c>
      <c r="J147" s="130">
        <v>0</v>
      </c>
      <c r="K147" s="131">
        <v>111</v>
      </c>
      <c r="L147" s="131">
        <v>57</v>
      </c>
      <c r="M147" s="131">
        <v>122</v>
      </c>
      <c r="N147" s="131">
        <v>100</v>
      </c>
    </row>
    <row r="148" spans="1:14" ht="15.75" customHeight="1" x14ac:dyDescent="0.2">
      <c r="A148" s="126" t="s">
        <v>556</v>
      </c>
      <c r="B148" s="133" t="s">
        <v>540</v>
      </c>
      <c r="C148" s="128">
        <v>287</v>
      </c>
      <c r="D148" s="129">
        <v>258</v>
      </c>
      <c r="E148" s="129">
        <v>24</v>
      </c>
      <c r="F148" s="129">
        <v>2</v>
      </c>
      <c r="G148" s="129">
        <v>1</v>
      </c>
      <c r="H148" s="129">
        <v>2</v>
      </c>
      <c r="I148" s="130">
        <v>0</v>
      </c>
      <c r="J148" s="130">
        <v>0</v>
      </c>
      <c r="K148" s="131">
        <v>81</v>
      </c>
      <c r="L148" s="131">
        <v>16</v>
      </c>
      <c r="M148" s="131">
        <v>49</v>
      </c>
      <c r="N148" s="131">
        <v>44</v>
      </c>
    </row>
    <row r="149" spans="1:14" ht="15.75" customHeight="1" x14ac:dyDescent="0.2">
      <c r="A149" s="134"/>
      <c r="B149" s="134"/>
      <c r="C149" s="134"/>
      <c r="D149" s="134"/>
      <c r="E149" s="134"/>
      <c r="F149" s="134"/>
      <c r="G149" s="134"/>
      <c r="H149" s="134"/>
      <c r="I149" s="134"/>
      <c r="J149" s="134"/>
      <c r="K149" s="134"/>
      <c r="L149" s="134"/>
      <c r="M149" s="134"/>
      <c r="N149" s="134"/>
    </row>
    <row r="150" spans="1:14" ht="4.5" customHeight="1" x14ac:dyDescent="0.2">
      <c r="A150" s="126" t="s">
        <v>485</v>
      </c>
      <c r="B150" s="127" t="s">
        <v>538</v>
      </c>
      <c r="C150" s="128">
        <v>731</v>
      </c>
      <c r="D150" s="129">
        <v>420</v>
      </c>
      <c r="E150" s="129">
        <v>91</v>
      </c>
      <c r="F150" s="129">
        <v>141</v>
      </c>
      <c r="G150" s="129">
        <v>10</v>
      </c>
      <c r="H150" s="129">
        <v>51</v>
      </c>
      <c r="I150" s="129">
        <v>15</v>
      </c>
      <c r="J150" s="129">
        <v>3</v>
      </c>
      <c r="K150" s="131">
        <v>20</v>
      </c>
      <c r="L150" s="131">
        <v>244</v>
      </c>
      <c r="M150" s="131">
        <v>23</v>
      </c>
      <c r="N150" s="131">
        <v>285</v>
      </c>
    </row>
    <row r="151" spans="1:14" ht="13.5" customHeight="1" x14ac:dyDescent="0.2">
      <c r="A151" s="126" t="s">
        <v>485</v>
      </c>
      <c r="B151" s="132" t="s">
        <v>539</v>
      </c>
      <c r="C151" s="128">
        <v>568</v>
      </c>
      <c r="D151" s="129">
        <v>497</v>
      </c>
      <c r="E151" s="129">
        <v>54</v>
      </c>
      <c r="F151" s="129">
        <v>13</v>
      </c>
      <c r="G151" s="129">
        <v>2</v>
      </c>
      <c r="H151" s="129">
        <v>2</v>
      </c>
      <c r="I151" s="130">
        <v>0</v>
      </c>
      <c r="J151" s="130">
        <v>0</v>
      </c>
      <c r="K151" s="131">
        <v>115</v>
      </c>
      <c r="L151" s="131">
        <v>57</v>
      </c>
      <c r="M151" s="131">
        <v>134</v>
      </c>
      <c r="N151" s="131">
        <v>115</v>
      </c>
    </row>
    <row r="152" spans="1:14" ht="13.5" customHeight="1" x14ac:dyDescent="0.2">
      <c r="A152" s="126" t="s">
        <v>485</v>
      </c>
      <c r="B152" s="133" t="s">
        <v>540</v>
      </c>
      <c r="C152" s="128">
        <v>293</v>
      </c>
      <c r="D152" s="129">
        <v>255</v>
      </c>
      <c r="E152" s="129">
        <v>30</v>
      </c>
      <c r="F152" s="129">
        <v>4</v>
      </c>
      <c r="G152" s="130">
        <v>3</v>
      </c>
      <c r="H152" s="129">
        <v>1</v>
      </c>
      <c r="I152" s="130">
        <v>0</v>
      </c>
      <c r="J152" s="130">
        <v>0</v>
      </c>
      <c r="K152" s="131">
        <v>74</v>
      </c>
      <c r="L152" s="131">
        <v>27</v>
      </c>
      <c r="M152" s="131">
        <v>62</v>
      </c>
      <c r="N152" s="131">
        <v>68</v>
      </c>
    </row>
    <row r="153" spans="1:14" ht="13.5" customHeight="1" x14ac:dyDescent="0.2">
      <c r="A153" s="134"/>
      <c r="B153" s="134"/>
      <c r="C153" s="134"/>
      <c r="D153" s="134"/>
      <c r="E153" s="134"/>
      <c r="F153" s="134"/>
      <c r="G153" s="134"/>
      <c r="H153" s="134"/>
      <c r="I153" s="134"/>
      <c r="J153" s="134"/>
      <c r="K153" s="134"/>
      <c r="L153" s="134"/>
      <c r="M153" s="134"/>
      <c r="N153" s="134"/>
    </row>
    <row r="154" spans="1:14" ht="13.5" customHeight="1" x14ac:dyDescent="0.2">
      <c r="A154" s="126" t="s">
        <v>557</v>
      </c>
      <c r="B154" s="127" t="s">
        <v>538</v>
      </c>
      <c r="C154" s="128">
        <v>615</v>
      </c>
      <c r="D154" s="129">
        <v>357</v>
      </c>
      <c r="E154" s="129">
        <v>69</v>
      </c>
      <c r="F154" s="129">
        <v>126</v>
      </c>
      <c r="G154" s="129">
        <v>8</v>
      </c>
      <c r="H154" s="129">
        <v>42</v>
      </c>
      <c r="I154" s="129">
        <v>11</v>
      </c>
      <c r="J154" s="129">
        <v>2</v>
      </c>
      <c r="K154" s="131">
        <v>11</v>
      </c>
      <c r="L154" s="131">
        <v>213</v>
      </c>
      <c r="M154" s="131">
        <v>13</v>
      </c>
      <c r="N154" s="131">
        <v>229</v>
      </c>
    </row>
    <row r="155" spans="1:14" ht="13.5" customHeight="1" x14ac:dyDescent="0.2">
      <c r="A155" s="126" t="s">
        <v>557</v>
      </c>
      <c r="B155" s="132" t="s">
        <v>539</v>
      </c>
      <c r="C155" s="128">
        <v>502</v>
      </c>
      <c r="D155" s="129">
        <v>436</v>
      </c>
      <c r="E155" s="129">
        <v>48</v>
      </c>
      <c r="F155" s="129">
        <v>12</v>
      </c>
      <c r="G155" s="129">
        <v>3</v>
      </c>
      <c r="H155" s="129">
        <v>3</v>
      </c>
      <c r="I155" s="130">
        <v>0</v>
      </c>
      <c r="J155" s="130">
        <v>0</v>
      </c>
      <c r="K155" s="131">
        <v>105</v>
      </c>
      <c r="L155" s="131">
        <v>58</v>
      </c>
      <c r="M155" s="131">
        <v>109</v>
      </c>
      <c r="N155" s="131">
        <v>94</v>
      </c>
    </row>
    <row r="156" spans="1:14" ht="13.5" customHeight="1" x14ac:dyDescent="0.2">
      <c r="A156" s="126" t="s">
        <v>557</v>
      </c>
      <c r="B156" s="133" t="s">
        <v>540</v>
      </c>
      <c r="C156" s="128">
        <v>246</v>
      </c>
      <c r="D156" s="129">
        <v>219</v>
      </c>
      <c r="E156" s="129">
        <v>16</v>
      </c>
      <c r="F156" s="129">
        <v>6</v>
      </c>
      <c r="G156" s="130">
        <v>2</v>
      </c>
      <c r="H156" s="129">
        <v>3</v>
      </c>
      <c r="I156" s="130">
        <v>0</v>
      </c>
      <c r="J156" s="130">
        <v>0</v>
      </c>
      <c r="K156" s="131">
        <v>55</v>
      </c>
      <c r="L156" s="131">
        <v>25</v>
      </c>
      <c r="M156" s="131">
        <v>52</v>
      </c>
      <c r="N156" s="131">
        <v>42</v>
      </c>
    </row>
  </sheetData>
  <mergeCells count="4">
    <mergeCell ref="A4:N4"/>
    <mergeCell ref="A81:N81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📖 ĐỊNH NGHĨA CHỈ SỐ</vt:lpstr>
      <vt:lpstr>📊 MASTER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2026-07-27T04:42:29Z</dcterms:modified>
  <dc:language>en-US</dc:language>
</cp:coreProperties>
</file>