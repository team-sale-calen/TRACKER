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47D45F4D-14D1-1849-8E8A-6C7CC13C73E8}" xr6:coauthVersionLast="47" xr6:coauthVersionMax="47" xr10:uidLastSave="{00000000-0000-0000-0000-000000000000}"/>
  <bookViews>
    <workbookView xWindow="80" yWindow="660" windowWidth="2932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5" l="1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C5" i="25"/>
  <c r="H4" i="25"/>
  <c r="I4" i="25" s="1"/>
  <c r="F4" i="25"/>
  <c r="G4" i="25" s="1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Q32" i="24"/>
  <c r="P32" i="24"/>
  <c r="O32" i="24"/>
  <c r="M32" i="24"/>
  <c r="N32" i="24" s="1"/>
  <c r="Q31" i="24"/>
  <c r="P31" i="24"/>
  <c r="O31" i="24"/>
  <c r="M31" i="24"/>
  <c r="N31" i="24" s="1"/>
  <c r="Q30" i="24"/>
  <c r="P30" i="24"/>
  <c r="O30" i="24"/>
  <c r="M30" i="24"/>
  <c r="N30" i="24" s="1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M27" i="24"/>
  <c r="N27" i="24" s="1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M23" i="24"/>
  <c r="N23" i="24" s="1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M20" i="24"/>
  <c r="N20" i="24" s="1"/>
  <c r="Q19" i="24"/>
  <c r="P19" i="24"/>
  <c r="O19" i="24"/>
  <c r="M19" i="24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M11" i="24"/>
  <c r="N11" i="24" s="1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M7" i="24"/>
  <c r="N7" i="24" s="1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C8" i="23"/>
  <c r="J7" i="23"/>
  <c r="L7" i="23" s="1"/>
  <c r="H7" i="23"/>
  <c r="I7" i="23" s="1"/>
  <c r="F7" i="23"/>
  <c r="G7" i="23" s="1"/>
  <c r="C7" i="23"/>
  <c r="J6" i="23"/>
  <c r="L6" i="23" s="1"/>
  <c r="H6" i="23"/>
  <c r="I6" i="23" s="1"/>
  <c r="F6" i="23"/>
  <c r="G6" i="23" s="1"/>
  <c r="C6" i="23"/>
  <c r="J5" i="23"/>
  <c r="L5" i="23" s="1"/>
  <c r="H5" i="23"/>
  <c r="I5" i="23" s="1"/>
  <c r="F5" i="23"/>
  <c r="G5" i="23" s="1"/>
  <c r="C5" i="23"/>
  <c r="J4" i="23"/>
  <c r="L4" i="23" s="1"/>
  <c r="H4" i="23"/>
  <c r="I4" i="23" s="1"/>
  <c r="F4" i="23"/>
  <c r="G4" i="23" s="1"/>
  <c r="C4" i="23"/>
  <c r="Q35" i="22"/>
  <c r="P35" i="22"/>
  <c r="O35" i="22"/>
  <c r="M35" i="22"/>
  <c r="Q34" i="22"/>
  <c r="P34" i="22"/>
  <c r="O34" i="22"/>
  <c r="M34" i="22"/>
  <c r="N34" i="22" s="1"/>
  <c r="Q33" i="22"/>
  <c r="P33" i="22"/>
  <c r="O33" i="22"/>
  <c r="M33" i="22"/>
  <c r="N33" i="22" s="1"/>
  <c r="Q32" i="22"/>
  <c r="P32" i="22"/>
  <c r="O32" i="22"/>
  <c r="M32" i="22"/>
  <c r="N32" i="22" s="1"/>
  <c r="Q31" i="22"/>
  <c r="P31" i="22"/>
  <c r="O31" i="22"/>
  <c r="M31" i="22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N28" i="22" s="1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M21" i="22"/>
  <c r="N21" i="22" s="1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M14" i="22"/>
  <c r="N14" i="22" s="1"/>
  <c r="Q13" i="22"/>
  <c r="P13" i="22"/>
  <c r="O13" i="22"/>
  <c r="M13" i="22"/>
  <c r="N13" i="22" s="1"/>
  <c r="Q12" i="22"/>
  <c r="P12" i="22"/>
  <c r="O12" i="22"/>
  <c r="M12" i="22"/>
  <c r="N12" i="22" s="1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M8" i="22"/>
  <c r="N8" i="22" s="1"/>
  <c r="Q7" i="22"/>
  <c r="P7" i="22"/>
  <c r="O7" i="22"/>
  <c r="M7" i="22"/>
  <c r="N7" i="22" s="1"/>
  <c r="Q6" i="22"/>
  <c r="P6" i="22"/>
  <c r="O6" i="22"/>
  <c r="M6" i="22"/>
  <c r="N6" i="22" s="1"/>
  <c r="H8" i="21"/>
  <c r="I8" i="21" s="1"/>
  <c r="F8" i="21"/>
  <c r="G8" i="21" s="1"/>
  <c r="C8" i="21"/>
  <c r="H7" i="21"/>
  <c r="I7" i="21" s="1"/>
  <c r="F7" i="21"/>
  <c r="G7" i="21" s="1"/>
  <c r="C7" i="21"/>
  <c r="H6" i="21"/>
  <c r="I6" i="21" s="1"/>
  <c r="F6" i="21"/>
  <c r="G6" i="21" s="1"/>
  <c r="C6" i="21"/>
  <c r="H5" i="21"/>
  <c r="I5" i="21" s="1"/>
  <c r="F5" i="21"/>
  <c r="G5" i="21" s="1"/>
  <c r="C5" i="21"/>
  <c r="J4" i="21"/>
  <c r="L4" i="21" s="1"/>
  <c r="H4" i="21"/>
  <c r="I4" i="21" s="1"/>
  <c r="F4" i="21"/>
  <c r="G4" i="21" s="1"/>
  <c r="C4" i="21"/>
  <c r="Q36" i="20"/>
  <c r="P36" i="20"/>
  <c r="O36" i="20"/>
  <c r="M36" i="20"/>
  <c r="N36" i="20" s="1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M26" i="20"/>
  <c r="N26" i="20" s="1"/>
  <c r="Q25" i="20"/>
  <c r="P25" i="20"/>
  <c r="O25" i="20"/>
  <c r="M25" i="20"/>
  <c r="N25" i="20" s="1"/>
  <c r="Q24" i="20"/>
  <c r="P24" i="20"/>
  <c r="O24" i="20"/>
  <c r="M24" i="20"/>
  <c r="Q23" i="20"/>
  <c r="P23" i="20"/>
  <c r="O23" i="20"/>
  <c r="M23" i="20"/>
  <c r="N23" i="20" s="1"/>
  <c r="Q22" i="20"/>
  <c r="P22" i="20"/>
  <c r="O22" i="20"/>
  <c r="M22" i="20"/>
  <c r="N22" i="20" s="1"/>
  <c r="Q21" i="20"/>
  <c r="P21" i="20"/>
  <c r="O21" i="20"/>
  <c r="M21" i="20"/>
  <c r="N21" i="20" s="1"/>
  <c r="Q20" i="20"/>
  <c r="P20" i="20"/>
  <c r="O20" i="20"/>
  <c r="M20" i="20"/>
  <c r="N20" i="20" s="1"/>
  <c r="Q19" i="20"/>
  <c r="P19" i="20"/>
  <c r="O19" i="20"/>
  <c r="M19" i="20"/>
  <c r="N19" i="20" s="1"/>
  <c r="Q18" i="20"/>
  <c r="P18" i="20"/>
  <c r="O18" i="20"/>
  <c r="M18" i="20"/>
  <c r="N18" i="20" s="1"/>
  <c r="Q17" i="20"/>
  <c r="P17" i="20"/>
  <c r="O17" i="20"/>
  <c r="M17" i="20"/>
  <c r="Q16" i="20"/>
  <c r="P16" i="20"/>
  <c r="O16" i="20"/>
  <c r="M16" i="20"/>
  <c r="N16" i="20" s="1"/>
  <c r="Q15" i="20"/>
  <c r="P15" i="20"/>
  <c r="O15" i="20"/>
  <c r="M15" i="20"/>
  <c r="Q14" i="20"/>
  <c r="P14" i="20"/>
  <c r="O14" i="20"/>
  <c r="M14" i="20"/>
  <c r="N14" i="20" s="1"/>
  <c r="Q13" i="20"/>
  <c r="P13" i="20"/>
  <c r="O13" i="20"/>
  <c r="M13" i="20"/>
  <c r="N13" i="20" s="1"/>
  <c r="Q12" i="20"/>
  <c r="P12" i="20"/>
  <c r="O12" i="20"/>
  <c r="M12" i="20"/>
  <c r="N12" i="20" s="1"/>
  <c r="Q11" i="20"/>
  <c r="P11" i="20"/>
  <c r="O11" i="20"/>
  <c r="M11" i="20"/>
  <c r="N11" i="20" s="1"/>
  <c r="Q10" i="20"/>
  <c r="P10" i="20"/>
  <c r="O10" i="20"/>
  <c r="M10" i="20"/>
  <c r="N10" i="20" s="1"/>
  <c r="Q9" i="20"/>
  <c r="P9" i="20"/>
  <c r="O9" i="20"/>
  <c r="M9" i="20"/>
  <c r="N9" i="20" s="1"/>
  <c r="Q8" i="20"/>
  <c r="P8" i="20"/>
  <c r="O8" i="20"/>
  <c r="M8" i="20"/>
  <c r="N8" i="20" s="1"/>
  <c r="Q7" i="20"/>
  <c r="P7" i="20"/>
  <c r="O7" i="20"/>
  <c r="M7" i="20"/>
  <c r="N7" i="20" s="1"/>
  <c r="Q6" i="20"/>
  <c r="P6" i="20"/>
  <c r="O6" i="20"/>
  <c r="M6" i="20"/>
  <c r="N6" i="20" s="1"/>
  <c r="H8" i="19"/>
  <c r="I8" i="19" s="1"/>
  <c r="F8" i="19"/>
  <c r="G8" i="19" s="1"/>
  <c r="C8" i="19"/>
  <c r="H7" i="19"/>
  <c r="I7" i="19" s="1"/>
  <c r="F7" i="19"/>
  <c r="G7" i="19" s="1"/>
  <c r="C7" i="19"/>
  <c r="H6" i="19"/>
  <c r="I6" i="19" s="1"/>
  <c r="F6" i="19"/>
  <c r="G6" i="19" s="1"/>
  <c r="C6" i="19"/>
  <c r="H5" i="19"/>
  <c r="I5" i="19" s="1"/>
  <c r="F5" i="19"/>
  <c r="G5" i="19" s="1"/>
  <c r="C5" i="19"/>
  <c r="H4" i="19"/>
  <c r="I4" i="19" s="1"/>
  <c r="F4" i="19"/>
  <c r="G4" i="19" s="1"/>
  <c r="C4" i="19"/>
  <c r="Q35" i="18"/>
  <c r="P35" i="18"/>
  <c r="O35" i="18"/>
  <c r="M35" i="18"/>
  <c r="N35" i="18" s="1"/>
  <c r="Q34" i="18"/>
  <c r="P34" i="18"/>
  <c r="O34" i="18"/>
  <c r="M34" i="18"/>
  <c r="N34" i="18" s="1"/>
  <c r="Q33" i="18"/>
  <c r="P33" i="18"/>
  <c r="O33" i="18"/>
  <c r="M33" i="18"/>
  <c r="Q32" i="18"/>
  <c r="P32" i="18"/>
  <c r="O32" i="18"/>
  <c r="M32" i="18"/>
  <c r="N32" i="18" s="1"/>
  <c r="Q31" i="18"/>
  <c r="P31" i="18"/>
  <c r="O31" i="18"/>
  <c r="M31" i="18"/>
  <c r="N31" i="18" s="1"/>
  <c r="Q30" i="18"/>
  <c r="P30" i="18"/>
  <c r="O30" i="18"/>
  <c r="M30" i="18"/>
  <c r="N30" i="18" s="1"/>
  <c r="Q29" i="18"/>
  <c r="P29" i="18"/>
  <c r="O29" i="18"/>
  <c r="M29" i="18"/>
  <c r="N29" i="18" s="1"/>
  <c r="Q28" i="18"/>
  <c r="P28" i="18"/>
  <c r="O28" i="18"/>
  <c r="M28" i="18"/>
  <c r="N28" i="18" s="1"/>
  <c r="Q27" i="18"/>
  <c r="P27" i="18"/>
  <c r="O27" i="18"/>
  <c r="M27" i="18"/>
  <c r="N27" i="18" s="1"/>
  <c r="Q26" i="18"/>
  <c r="P26" i="18"/>
  <c r="O26" i="18"/>
  <c r="M26" i="18"/>
  <c r="Q25" i="18"/>
  <c r="P25" i="18"/>
  <c r="O25" i="18"/>
  <c r="M25" i="18"/>
  <c r="N25" i="18" s="1"/>
  <c r="Q24" i="18"/>
  <c r="P24" i="18"/>
  <c r="O24" i="18"/>
  <c r="M24" i="18"/>
  <c r="N24" i="18" s="1"/>
  <c r="Q23" i="18"/>
  <c r="P23" i="18"/>
  <c r="O23" i="18"/>
  <c r="M23" i="18"/>
  <c r="N23" i="18" s="1"/>
  <c r="Q22" i="18"/>
  <c r="P22" i="18"/>
  <c r="O22" i="18"/>
  <c r="M22" i="18"/>
  <c r="N22" i="18" s="1"/>
  <c r="Q21" i="18"/>
  <c r="P21" i="18"/>
  <c r="O21" i="18"/>
  <c r="M21" i="18"/>
  <c r="N21" i="18" s="1"/>
  <c r="Q20" i="18"/>
  <c r="P20" i="18"/>
  <c r="O20" i="18"/>
  <c r="M20" i="18"/>
  <c r="N20" i="18" s="1"/>
  <c r="Q19" i="18"/>
  <c r="P19" i="18"/>
  <c r="O19" i="18"/>
  <c r="M19" i="18"/>
  <c r="Q18" i="18"/>
  <c r="P18" i="18"/>
  <c r="O18" i="18"/>
  <c r="M18" i="18"/>
  <c r="N18" i="18" s="1"/>
  <c r="Q17" i="18"/>
  <c r="P17" i="18"/>
  <c r="O17" i="18"/>
  <c r="M17" i="18"/>
  <c r="N17" i="18" s="1"/>
  <c r="Q16" i="18"/>
  <c r="P16" i="18"/>
  <c r="O16" i="18"/>
  <c r="M16" i="18"/>
  <c r="N16" i="18" s="1"/>
  <c r="Q15" i="18"/>
  <c r="P15" i="18"/>
  <c r="O15" i="18"/>
  <c r="M15" i="18"/>
  <c r="N15" i="18" s="1"/>
  <c r="Q14" i="18"/>
  <c r="P14" i="18"/>
  <c r="O14" i="18"/>
  <c r="M14" i="18"/>
  <c r="N14" i="18" s="1"/>
  <c r="Q13" i="18"/>
  <c r="P13" i="18"/>
  <c r="O13" i="18"/>
  <c r="M13" i="18"/>
  <c r="N13" i="18" s="1"/>
  <c r="Q12" i="18"/>
  <c r="P12" i="18"/>
  <c r="O12" i="18"/>
  <c r="M12" i="18"/>
  <c r="Q11" i="18"/>
  <c r="P11" i="18"/>
  <c r="O11" i="18"/>
  <c r="M11" i="18"/>
  <c r="N11" i="18" s="1"/>
  <c r="Q10" i="18"/>
  <c r="P10" i="18"/>
  <c r="O10" i="18"/>
  <c r="M10" i="18"/>
  <c r="N10" i="18" s="1"/>
  <c r="Q9" i="18"/>
  <c r="P9" i="18"/>
  <c r="O9" i="18"/>
  <c r="M9" i="18"/>
  <c r="N9" i="18" s="1"/>
  <c r="Q8" i="18"/>
  <c r="P8" i="18"/>
  <c r="O8" i="18"/>
  <c r="M8" i="18"/>
  <c r="N8" i="18" s="1"/>
  <c r="Q7" i="18"/>
  <c r="P7" i="18"/>
  <c r="O7" i="18"/>
  <c r="M7" i="18"/>
  <c r="N7" i="18" s="1"/>
  <c r="Q6" i="18"/>
  <c r="P6" i="18"/>
  <c r="O6" i="18"/>
  <c r="M6" i="18"/>
  <c r="K22" i="17"/>
  <c r="J22" i="17"/>
  <c r="H22" i="17"/>
  <c r="G22" i="17"/>
  <c r="F22" i="17"/>
  <c r="E22" i="17"/>
  <c r="D22" i="17"/>
  <c r="C22" i="17"/>
  <c r="K9" i="17"/>
  <c r="J9" i="17"/>
  <c r="H9" i="17"/>
  <c r="G9" i="17"/>
  <c r="F9" i="17"/>
  <c r="E9" i="17"/>
  <c r="D9" i="17"/>
  <c r="C9" i="17"/>
  <c r="K8" i="17"/>
  <c r="J8" i="17"/>
  <c r="H8" i="17"/>
  <c r="F8" i="17"/>
  <c r="D8" i="17"/>
  <c r="C8" i="17"/>
  <c r="K7" i="17"/>
  <c r="J7" i="17"/>
  <c r="H7" i="17"/>
  <c r="G7" i="17"/>
  <c r="F7" i="17"/>
  <c r="E7" i="17"/>
  <c r="D7" i="17"/>
  <c r="C7" i="17"/>
  <c r="K6" i="17"/>
  <c r="J6" i="17"/>
  <c r="H6" i="17"/>
  <c r="G6" i="17"/>
  <c r="F6" i="17"/>
  <c r="E6" i="17"/>
  <c r="D6" i="17"/>
  <c r="C6" i="17"/>
  <c r="J5" i="17"/>
  <c r="G5" i="17"/>
  <c r="F5" i="17"/>
  <c r="E5" i="17"/>
  <c r="D5" i="17"/>
  <c r="C5" i="17"/>
  <c r="J4" i="17"/>
  <c r="G4" i="17"/>
  <c r="F4" i="17"/>
  <c r="E4" i="17"/>
  <c r="D4" i="17"/>
  <c r="C4" i="17"/>
  <c r="Q36" i="16"/>
  <c r="P36" i="16"/>
  <c r="O36" i="16"/>
  <c r="M36" i="16"/>
  <c r="N36" i="16" s="1"/>
  <c r="Q35" i="16"/>
  <c r="P35" i="16"/>
  <c r="O35" i="16"/>
  <c r="M35" i="16"/>
  <c r="N35" i="16" s="1"/>
  <c r="Q34" i="16"/>
  <c r="P34" i="16"/>
  <c r="O34" i="16"/>
  <c r="M34" i="16"/>
  <c r="N34" i="16" s="1"/>
  <c r="I9" i="17" s="1"/>
  <c r="Q33" i="16"/>
  <c r="P33" i="16"/>
  <c r="O33" i="16"/>
  <c r="M33" i="16"/>
  <c r="N33" i="16" s="1"/>
  <c r="Q32" i="16"/>
  <c r="P32" i="16"/>
  <c r="O32" i="16"/>
  <c r="M32" i="16"/>
  <c r="N32" i="16" s="1"/>
  <c r="Q31" i="16"/>
  <c r="P31" i="16"/>
  <c r="O31" i="16"/>
  <c r="M31" i="16"/>
  <c r="N31" i="16" s="1"/>
  <c r="Q30" i="16"/>
  <c r="P30" i="16"/>
  <c r="O30" i="16"/>
  <c r="M30" i="16"/>
  <c r="N30" i="16" s="1"/>
  <c r="Q29" i="16"/>
  <c r="P29" i="16"/>
  <c r="O29" i="16"/>
  <c r="M29" i="16"/>
  <c r="N29" i="16" s="1"/>
  <c r="Q28" i="16"/>
  <c r="O28" i="16"/>
  <c r="M28" i="16"/>
  <c r="Q27" i="16"/>
  <c r="O27" i="16"/>
  <c r="M27" i="16"/>
  <c r="Q26" i="16"/>
  <c r="O26" i="16"/>
  <c r="M26" i="16"/>
  <c r="Q25" i="16"/>
  <c r="O25" i="16"/>
  <c r="M25" i="16"/>
  <c r="Q24" i="16"/>
  <c r="O24" i="16"/>
  <c r="M24" i="16"/>
  <c r="Q23" i="16"/>
  <c r="O23" i="16"/>
  <c r="M23" i="16"/>
  <c r="Q22" i="16"/>
  <c r="O22" i="16"/>
  <c r="M22" i="16"/>
  <c r="Q21" i="16"/>
  <c r="O21" i="16"/>
  <c r="M21" i="16"/>
  <c r="Q20" i="16"/>
  <c r="O20" i="16"/>
  <c r="M20" i="16"/>
  <c r="Q19" i="16"/>
  <c r="O19" i="16"/>
  <c r="M19" i="16"/>
  <c r="Q18" i="16"/>
  <c r="O18" i="16"/>
  <c r="M18" i="16"/>
  <c r="Q17" i="16"/>
  <c r="O17" i="16"/>
  <c r="M17" i="16"/>
  <c r="Q16" i="16"/>
  <c r="O16" i="16"/>
  <c r="M16" i="16"/>
  <c r="Q15" i="16"/>
  <c r="O15" i="16"/>
  <c r="M15" i="16"/>
  <c r="Q14" i="16"/>
  <c r="O14" i="16"/>
  <c r="M14" i="16"/>
  <c r="Q13" i="16"/>
  <c r="O13" i="16"/>
  <c r="M13" i="16"/>
  <c r="Q12" i="16"/>
  <c r="O12" i="16"/>
  <c r="M12" i="16"/>
  <c r="Q11" i="16"/>
  <c r="O11" i="16"/>
  <c r="M11" i="16"/>
  <c r="Q10" i="16"/>
  <c r="O10" i="16"/>
  <c r="M10" i="16"/>
  <c r="Q9" i="16"/>
  <c r="O9" i="16"/>
  <c r="M9" i="16"/>
  <c r="Q8" i="16"/>
  <c r="O8" i="16"/>
  <c r="M8" i="16"/>
  <c r="Q7" i="16"/>
  <c r="O7" i="16"/>
  <c r="M7" i="16"/>
  <c r="Q6" i="16"/>
  <c r="O6" i="16"/>
  <c r="M6" i="16"/>
  <c r="J21" i="15"/>
  <c r="G21" i="15"/>
  <c r="F21" i="15"/>
  <c r="E21" i="15"/>
  <c r="D21" i="15"/>
  <c r="C21" i="15"/>
  <c r="J8" i="15"/>
  <c r="G8" i="15"/>
  <c r="F8" i="15"/>
  <c r="E8" i="15"/>
  <c r="D8" i="15"/>
  <c r="C8" i="15"/>
  <c r="J7" i="15"/>
  <c r="G7" i="15"/>
  <c r="F7" i="15"/>
  <c r="E7" i="15"/>
  <c r="D7" i="15"/>
  <c r="C7" i="15"/>
  <c r="J6" i="15"/>
  <c r="G6" i="15"/>
  <c r="F6" i="15"/>
  <c r="E6" i="15"/>
  <c r="D6" i="15"/>
  <c r="C6" i="15"/>
  <c r="J5" i="15"/>
  <c r="G5" i="15"/>
  <c r="F5" i="15"/>
  <c r="E5" i="15"/>
  <c r="D5" i="15"/>
  <c r="C5" i="15"/>
  <c r="J4" i="15"/>
  <c r="G4" i="15"/>
  <c r="F4" i="15"/>
  <c r="E4" i="15"/>
  <c r="D4" i="15"/>
  <c r="C4" i="15"/>
  <c r="Q36" i="14"/>
  <c r="O36" i="14"/>
  <c r="M36" i="14"/>
  <c r="Q35" i="14"/>
  <c r="O35" i="14"/>
  <c r="M35" i="14"/>
  <c r="Q34" i="14"/>
  <c r="O34" i="14"/>
  <c r="M34" i="14"/>
  <c r="Q33" i="14"/>
  <c r="O33" i="14"/>
  <c r="M33" i="14"/>
  <c r="Q32" i="14"/>
  <c r="O32" i="14"/>
  <c r="M32" i="14"/>
  <c r="Q31" i="14"/>
  <c r="O31" i="14"/>
  <c r="M31" i="14"/>
  <c r="Q30" i="14"/>
  <c r="O30" i="14"/>
  <c r="M30" i="14"/>
  <c r="Q29" i="14"/>
  <c r="O29" i="14"/>
  <c r="M29" i="14"/>
  <c r="Q28" i="14"/>
  <c r="O28" i="14"/>
  <c r="M28" i="14"/>
  <c r="Q27" i="14"/>
  <c r="O27" i="14"/>
  <c r="M27" i="14"/>
  <c r="Q26" i="14"/>
  <c r="O26" i="14"/>
  <c r="M26" i="14"/>
  <c r="Q25" i="14"/>
  <c r="O25" i="14"/>
  <c r="M25" i="14"/>
  <c r="Q24" i="14"/>
  <c r="O24" i="14"/>
  <c r="M24" i="14"/>
  <c r="Q23" i="14"/>
  <c r="O23" i="14"/>
  <c r="M23" i="14"/>
  <c r="Q22" i="14"/>
  <c r="O22" i="14"/>
  <c r="M22" i="14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M35" i="12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M30" i="12"/>
  <c r="Q29" i="12"/>
  <c r="O29" i="12"/>
  <c r="M29" i="12"/>
  <c r="Q28" i="12"/>
  <c r="O28" i="12"/>
  <c r="M28" i="12"/>
  <c r="Q27" i="12"/>
  <c r="O27" i="12"/>
  <c r="M27" i="12"/>
  <c r="Q26" i="12"/>
  <c r="O26" i="12"/>
  <c r="M26" i="12"/>
  <c r="Q25" i="12"/>
  <c r="O25" i="12"/>
  <c r="M25" i="12"/>
  <c r="Q24" i="12"/>
  <c r="O24" i="12"/>
  <c r="M24" i="12"/>
  <c r="Q23" i="12"/>
  <c r="O23" i="12"/>
  <c r="M23" i="12"/>
  <c r="Q22" i="12"/>
  <c r="O22" i="12"/>
  <c r="M22" i="12"/>
  <c r="Q21" i="12"/>
  <c r="O21" i="12"/>
  <c r="M21" i="12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M15" i="12"/>
  <c r="Q14" i="12"/>
  <c r="O14" i="12"/>
  <c r="M14" i="12"/>
  <c r="Q13" i="12"/>
  <c r="O13" i="12"/>
  <c r="M13" i="12"/>
  <c r="Q12" i="12"/>
  <c r="O12" i="12"/>
  <c r="M12" i="12"/>
  <c r="Q11" i="12"/>
  <c r="O11" i="12"/>
  <c r="M11" i="12"/>
  <c r="Q10" i="12"/>
  <c r="O10" i="12"/>
  <c r="M10" i="12"/>
  <c r="Q9" i="12"/>
  <c r="O9" i="12"/>
  <c r="M9" i="12"/>
  <c r="Q8" i="12"/>
  <c r="O8" i="12"/>
  <c r="M8" i="12"/>
  <c r="Q7" i="12"/>
  <c r="O7" i="12"/>
  <c r="M7" i="12"/>
  <c r="Q6" i="12"/>
  <c r="O6" i="12"/>
  <c r="M6" i="12"/>
  <c r="Q36" i="11"/>
  <c r="O36" i="11"/>
  <c r="M36" i="11"/>
  <c r="Q35" i="11"/>
  <c r="O35" i="11"/>
  <c r="M35" i="11"/>
  <c r="Q34" i="11"/>
  <c r="O34" i="11"/>
  <c r="M34" i="11"/>
  <c r="Q33" i="11"/>
  <c r="O33" i="11"/>
  <c r="M33" i="11"/>
  <c r="Q32" i="11"/>
  <c r="O32" i="11"/>
  <c r="M32" i="11"/>
  <c r="Q31" i="11"/>
  <c r="P31" i="11"/>
  <c r="O31" i="11"/>
  <c r="N31" i="11"/>
  <c r="M31" i="11"/>
  <c r="Q30" i="11"/>
  <c r="O30" i="11"/>
  <c r="M30" i="11"/>
  <c r="Q29" i="11"/>
  <c r="O29" i="11"/>
  <c r="M29" i="1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N23" i="11"/>
  <c r="M23" i="11"/>
  <c r="P23" i="11" s="1"/>
  <c r="Q22" i="11"/>
  <c r="O22" i="11"/>
  <c r="N22" i="11"/>
  <c r="M22" i="11"/>
  <c r="P22" i="11" s="1"/>
  <c r="Q21" i="11"/>
  <c r="O21" i="11"/>
  <c r="M21" i="11"/>
  <c r="Q20" i="11"/>
  <c r="O20" i="11"/>
  <c r="M20" i="11"/>
  <c r="Q19" i="11"/>
  <c r="O19" i="11"/>
  <c r="M19" i="11"/>
  <c r="Q18" i="11"/>
  <c r="O18" i="11"/>
  <c r="M18" i="11"/>
  <c r="Q17" i="11"/>
  <c r="O17" i="11"/>
  <c r="M17" i="11"/>
  <c r="Q16" i="11"/>
  <c r="P16" i="11"/>
  <c r="O16" i="11"/>
  <c r="M16" i="11"/>
  <c r="N16" i="11" s="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M9" i="11"/>
  <c r="Q8" i="11"/>
  <c r="O8" i="11"/>
  <c r="M8" i="11"/>
  <c r="Q7" i="11"/>
  <c r="O7" i="11"/>
  <c r="M7" i="11"/>
  <c r="Q6" i="11"/>
  <c r="O6" i="11"/>
  <c r="M6" i="11"/>
  <c r="Q35" i="10"/>
  <c r="O35" i="10"/>
  <c r="M35" i="10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M23" i="10"/>
  <c r="Q22" i="10"/>
  <c r="O22" i="10"/>
  <c r="M22" i="10"/>
  <c r="Q21" i="10"/>
  <c r="O21" i="10"/>
  <c r="M21" i="10"/>
  <c r="Q20" i="10"/>
  <c r="O20" i="10"/>
  <c r="M20" i="10"/>
  <c r="Q19" i="10"/>
  <c r="O19" i="10"/>
  <c r="M19" i="10"/>
  <c r="Q18" i="10"/>
  <c r="O18" i="10"/>
  <c r="M18" i="10"/>
  <c r="Q17" i="10"/>
  <c r="O17" i="10"/>
  <c r="M17" i="10"/>
  <c r="Q16" i="10"/>
  <c r="O16" i="10"/>
  <c r="M16" i="10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M10" i="10"/>
  <c r="Q9" i="10"/>
  <c r="O9" i="10"/>
  <c r="M9" i="10"/>
  <c r="Q8" i="10"/>
  <c r="O8" i="10"/>
  <c r="M8" i="10"/>
  <c r="Q7" i="10"/>
  <c r="O7" i="10"/>
  <c r="M7" i="10"/>
  <c r="Q6" i="10"/>
  <c r="O6" i="10"/>
  <c r="M6" i="10"/>
  <c r="Q36" i="9"/>
  <c r="O36" i="9"/>
  <c r="M36" i="9"/>
  <c r="Q35" i="9"/>
  <c r="O35" i="9"/>
  <c r="M35" i="9"/>
  <c r="Q34" i="9"/>
  <c r="O34" i="9"/>
  <c r="M34" i="9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M6" i="9"/>
  <c r="Q33" i="8"/>
  <c r="O33" i="8"/>
  <c r="M33" i="8"/>
  <c r="Q32" i="8"/>
  <c r="O32" i="8"/>
  <c r="M32" i="8"/>
  <c r="Q31" i="8"/>
  <c r="O31" i="8"/>
  <c r="M31" i="8"/>
  <c r="Q30" i="8"/>
  <c r="O30" i="8"/>
  <c r="M30" i="8"/>
  <c r="Q29" i="8"/>
  <c r="O29" i="8"/>
  <c r="M29" i="8"/>
  <c r="Q28" i="8"/>
  <c r="O28" i="8"/>
  <c r="M28" i="8"/>
  <c r="Q27" i="8"/>
  <c r="O27" i="8"/>
  <c r="M27" i="8"/>
  <c r="Q26" i="8"/>
  <c r="O26" i="8"/>
  <c r="M26" i="8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M23" i="8"/>
  <c r="N23" i="8" s="1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M18" i="8"/>
  <c r="Q17" i="8"/>
  <c r="O17" i="8"/>
  <c r="M17" i="8"/>
  <c r="Q16" i="8"/>
  <c r="O16" i="8"/>
  <c r="M16" i="8"/>
  <c r="Q15" i="8"/>
  <c r="O15" i="8"/>
  <c r="M15" i="8"/>
  <c r="Q14" i="8"/>
  <c r="O14" i="8"/>
  <c r="M14" i="8"/>
  <c r="Q13" i="8"/>
  <c r="O13" i="8"/>
  <c r="M13" i="8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O8" i="8"/>
  <c r="M8" i="8"/>
  <c r="Q7" i="8"/>
  <c r="O7" i="8"/>
  <c r="M7" i="8"/>
  <c r="Q6" i="8"/>
  <c r="O6" i="8"/>
  <c r="M6" i="8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N31" i="7"/>
  <c r="M31" i="7"/>
  <c r="P31" i="7" s="1"/>
  <c r="Q30" i="7"/>
  <c r="O30" i="7"/>
  <c r="N30" i="7"/>
  <c r="M30" i="7"/>
  <c r="P30" i="7" s="1"/>
  <c r="Q29" i="7"/>
  <c r="O29" i="7"/>
  <c r="M29" i="7"/>
  <c r="Q28" i="7"/>
  <c r="O28" i="7"/>
  <c r="M28" i="7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M16" i="7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M8" i="7"/>
  <c r="Q7" i="7"/>
  <c r="O7" i="7"/>
  <c r="M7" i="7"/>
  <c r="Q6" i="7"/>
  <c r="O6" i="7"/>
  <c r="M6" i="7"/>
  <c r="Q36" i="6"/>
  <c r="O36" i="6"/>
  <c r="M36" i="6"/>
  <c r="Q35" i="6"/>
  <c r="O35" i="6"/>
  <c r="N35" i="6"/>
  <c r="M35" i="6"/>
  <c r="P35" i="6" s="1"/>
  <c r="Q34" i="6"/>
  <c r="O34" i="6"/>
  <c r="M34" i="6"/>
  <c r="Q33" i="6"/>
  <c r="O33" i="6"/>
  <c r="M33" i="6"/>
  <c r="Q32" i="6"/>
  <c r="O32" i="6"/>
  <c r="M32" i="6"/>
  <c r="Q31" i="6"/>
  <c r="O31" i="6"/>
  <c r="M31" i="6"/>
  <c r="Q30" i="6"/>
  <c r="O30" i="6"/>
  <c r="M30" i="6"/>
  <c r="Q29" i="6"/>
  <c r="O29" i="6"/>
  <c r="M29" i="6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N22" i="6"/>
  <c r="M22" i="6"/>
  <c r="P22" i="6" s="1"/>
  <c r="Q21" i="6"/>
  <c r="O21" i="6"/>
  <c r="M21" i="6"/>
  <c r="Q20" i="6"/>
  <c r="O20" i="6"/>
  <c r="M20" i="6"/>
  <c r="Q19" i="6"/>
  <c r="O19" i="6"/>
  <c r="M19" i="6"/>
  <c r="Q18" i="6"/>
  <c r="O18" i="6"/>
  <c r="M18" i="6"/>
  <c r="Q17" i="6"/>
  <c r="O17" i="6"/>
  <c r="M17" i="6"/>
  <c r="Q16" i="6"/>
  <c r="O16" i="6"/>
  <c r="M16" i="6"/>
  <c r="Q15" i="6"/>
  <c r="O15" i="6"/>
  <c r="M15" i="6"/>
  <c r="Q14" i="6"/>
  <c r="O14" i="6"/>
  <c r="M14" i="6"/>
  <c r="Q13" i="6"/>
  <c r="O13" i="6"/>
  <c r="M13" i="6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M21" i="4"/>
  <c r="Q20" i="4"/>
  <c r="O20" i="4"/>
  <c r="M20" i="4"/>
  <c r="Q19" i="4"/>
  <c r="O19" i="4"/>
  <c r="M19" i="4"/>
  <c r="Q18" i="4"/>
  <c r="P18" i="4"/>
  <c r="O18" i="4"/>
  <c r="M18" i="4"/>
  <c r="N18" i="4" s="1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Q35" i="3"/>
  <c r="P35" i="3"/>
  <c r="O35" i="3"/>
  <c r="M35" i="3"/>
  <c r="N35" i="3" s="1"/>
  <c r="Q34" i="3"/>
  <c r="O34" i="3"/>
  <c r="N34" i="3"/>
  <c r="M34" i="3"/>
  <c r="P34" i="3" s="1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X40" i="2"/>
  <c r="X39" i="2"/>
  <c r="X38" i="2"/>
  <c r="X37" i="2"/>
  <c r="X36" i="2"/>
  <c r="X35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X7" i="2"/>
  <c r="X6" i="2"/>
  <c r="E8" i="25" l="1"/>
  <c r="E7" i="25"/>
  <c r="E6" i="25"/>
  <c r="E5" i="25"/>
  <c r="E4" i="25"/>
  <c r="N33" i="24"/>
  <c r="J8" i="25"/>
  <c r="J7" i="25"/>
  <c r="N26" i="24"/>
  <c r="N19" i="24"/>
  <c r="J6" i="25"/>
  <c r="J5" i="25"/>
  <c r="N12" i="24"/>
  <c r="J4" i="25"/>
  <c r="N6" i="24"/>
  <c r="E9" i="23"/>
  <c r="E8" i="23"/>
  <c r="E7" i="23"/>
  <c r="M7" i="23"/>
  <c r="E6" i="23"/>
  <c r="M6" i="23"/>
  <c r="E5" i="23"/>
  <c r="M5" i="23"/>
  <c r="E4" i="23"/>
  <c r="M4" i="23"/>
  <c r="N35" i="22"/>
  <c r="J9" i="23"/>
  <c r="J8" i="23"/>
  <c r="N31" i="22"/>
  <c r="E8" i="21"/>
  <c r="E7" i="21"/>
  <c r="E6" i="21"/>
  <c r="E5" i="21"/>
  <c r="E4" i="21"/>
  <c r="M4" i="21"/>
  <c r="N31" i="20"/>
  <c r="J8" i="21"/>
  <c r="N24" i="20"/>
  <c r="J7" i="21"/>
  <c r="N17" i="20"/>
  <c r="J6" i="21"/>
  <c r="J5" i="21"/>
  <c r="N15" i="20"/>
  <c r="E8" i="19"/>
  <c r="E7" i="19"/>
  <c r="M6" i="19"/>
  <c r="E6" i="19"/>
  <c r="M5" i="19"/>
  <c r="E5" i="19"/>
  <c r="E4" i="19"/>
  <c r="M4" i="19"/>
  <c r="J8" i="19"/>
  <c r="N33" i="18"/>
  <c r="J7" i="19"/>
  <c r="N26" i="18"/>
  <c r="N19" i="18"/>
  <c r="J6" i="19"/>
  <c r="L6" i="19" s="1"/>
  <c r="J5" i="19"/>
  <c r="L5" i="19" s="1"/>
  <c r="N12" i="18"/>
  <c r="J4" i="19"/>
  <c r="L4" i="19" s="1"/>
  <c r="N6" i="18"/>
  <c r="P28" i="16"/>
  <c r="N28" i="16"/>
  <c r="I8" i="17" s="1"/>
  <c r="P27" i="16"/>
  <c r="N27" i="16"/>
  <c r="I7" i="17" s="1"/>
  <c r="P26" i="16"/>
  <c r="N26" i="16"/>
  <c r="P25" i="16"/>
  <c r="N25" i="16"/>
  <c r="P24" i="16"/>
  <c r="N24" i="16"/>
  <c r="P23" i="16"/>
  <c r="N23" i="16"/>
  <c r="P22" i="16"/>
  <c r="N22" i="16"/>
  <c r="P21" i="16"/>
  <c r="N21" i="16"/>
  <c r="N20" i="16"/>
  <c r="I6" i="17" s="1"/>
  <c r="P20" i="16"/>
  <c r="P19" i="16"/>
  <c r="N19" i="16"/>
  <c r="P18" i="16"/>
  <c r="N18" i="16"/>
  <c r="P17" i="16"/>
  <c r="N17" i="16"/>
  <c r="P16" i="16"/>
  <c r="N16" i="16"/>
  <c r="P15" i="16"/>
  <c r="N15" i="16"/>
  <c r="P14" i="16"/>
  <c r="N14" i="16"/>
  <c r="N13" i="16"/>
  <c r="I5" i="17" s="1"/>
  <c r="P13" i="16"/>
  <c r="H5" i="17"/>
  <c r="N12" i="16"/>
  <c r="P12" i="16"/>
  <c r="P11" i="16"/>
  <c r="N11" i="16"/>
  <c r="P10" i="16"/>
  <c r="N10" i="16"/>
  <c r="P9" i="16"/>
  <c r="N9" i="16"/>
  <c r="N8" i="16"/>
  <c r="P8" i="16"/>
  <c r="P7" i="16"/>
  <c r="N7" i="16"/>
  <c r="N6" i="16"/>
  <c r="P6" i="16"/>
  <c r="K4" i="17"/>
  <c r="K5" i="17"/>
  <c r="H4" i="17"/>
  <c r="N36" i="14"/>
  <c r="P36" i="14"/>
  <c r="N35" i="14"/>
  <c r="P35" i="14"/>
  <c r="N34" i="14"/>
  <c r="P34" i="14"/>
  <c r="N33" i="14"/>
  <c r="P33" i="14"/>
  <c r="N32" i="14"/>
  <c r="I8" i="15" s="1"/>
  <c r="P32" i="14"/>
  <c r="H8" i="15"/>
  <c r="N31" i="14"/>
  <c r="P31" i="14"/>
  <c r="N30" i="14"/>
  <c r="P30" i="14"/>
  <c r="N29" i="14"/>
  <c r="P29" i="14"/>
  <c r="P28" i="14"/>
  <c r="N28" i="14"/>
  <c r="P27" i="14"/>
  <c r="N27" i="14"/>
  <c r="N26" i="14"/>
  <c r="P26" i="14"/>
  <c r="P25" i="14"/>
  <c r="H7" i="15"/>
  <c r="N25" i="14"/>
  <c r="N24" i="14"/>
  <c r="P24" i="14"/>
  <c r="N23" i="14"/>
  <c r="P23" i="14"/>
  <c r="N22" i="14"/>
  <c r="P22" i="14"/>
  <c r="N21" i="14"/>
  <c r="P21" i="14"/>
  <c r="P20" i="14"/>
  <c r="N20" i="14"/>
  <c r="N19" i="14"/>
  <c r="P19" i="14"/>
  <c r="H6" i="15"/>
  <c r="N18" i="14"/>
  <c r="I6" i="15" s="1"/>
  <c r="P18" i="14"/>
  <c r="P17" i="14"/>
  <c r="N17" i="14"/>
  <c r="P16" i="14"/>
  <c r="N16" i="14"/>
  <c r="P15" i="14"/>
  <c r="N15" i="14"/>
  <c r="P14" i="14"/>
  <c r="N14" i="14"/>
  <c r="P13" i="14"/>
  <c r="N13" i="14"/>
  <c r="P12" i="14"/>
  <c r="N12" i="14"/>
  <c r="H5" i="15"/>
  <c r="P11" i="14"/>
  <c r="N11" i="14"/>
  <c r="I5" i="15" s="1"/>
  <c r="P10" i="14"/>
  <c r="N10" i="14"/>
  <c r="N9" i="14"/>
  <c r="P9" i="14"/>
  <c r="P8" i="14"/>
  <c r="N8" i="14"/>
  <c r="P7" i="14"/>
  <c r="N7" i="14"/>
  <c r="K4" i="15"/>
  <c r="K5" i="15"/>
  <c r="K6" i="15"/>
  <c r="K7" i="15"/>
  <c r="K8" i="15"/>
  <c r="H21" i="15"/>
  <c r="K21" i="15"/>
  <c r="N6" i="14"/>
  <c r="P6" i="14"/>
  <c r="H4" i="15"/>
  <c r="P35" i="12"/>
  <c r="N35" i="12"/>
  <c r="N34" i="12"/>
  <c r="P34" i="12"/>
  <c r="P33" i="12"/>
  <c r="N33" i="12"/>
  <c r="N32" i="12"/>
  <c r="P32" i="12"/>
  <c r="P31" i="12"/>
  <c r="N31" i="12"/>
  <c r="N30" i="12"/>
  <c r="P30" i="12"/>
  <c r="P29" i="12"/>
  <c r="N29" i="12"/>
  <c r="P28" i="12"/>
  <c r="N28" i="12"/>
  <c r="P27" i="12"/>
  <c r="N27" i="12"/>
  <c r="P26" i="12"/>
  <c r="N26" i="12"/>
  <c r="P25" i="12"/>
  <c r="N25" i="12"/>
  <c r="P24" i="12"/>
  <c r="N24" i="12"/>
  <c r="N23" i="12"/>
  <c r="P23" i="12"/>
  <c r="N22" i="12"/>
  <c r="P22" i="12"/>
  <c r="P21" i="12"/>
  <c r="N21" i="12"/>
  <c r="N20" i="12"/>
  <c r="P20" i="12"/>
  <c r="N19" i="12"/>
  <c r="P19" i="12"/>
  <c r="P18" i="12"/>
  <c r="N18" i="12"/>
  <c r="P17" i="12"/>
  <c r="N17" i="12"/>
  <c r="P16" i="12"/>
  <c r="N16" i="12"/>
  <c r="P15" i="12"/>
  <c r="N15" i="12"/>
  <c r="P14" i="12"/>
  <c r="N14" i="12"/>
  <c r="N13" i="12"/>
  <c r="P13" i="12"/>
  <c r="N12" i="12"/>
  <c r="P12" i="12"/>
  <c r="N11" i="12"/>
  <c r="P11" i="12"/>
  <c r="N10" i="12"/>
  <c r="P10" i="12"/>
  <c r="N9" i="12"/>
  <c r="P9" i="12"/>
  <c r="N8" i="12"/>
  <c r="P8" i="12"/>
  <c r="N7" i="12"/>
  <c r="P7" i="12"/>
  <c r="N6" i="12"/>
  <c r="P6" i="12"/>
  <c r="P36" i="11"/>
  <c r="N36" i="11"/>
  <c r="N35" i="11"/>
  <c r="P35" i="11"/>
  <c r="N34" i="11"/>
  <c r="P34" i="11"/>
  <c r="N33" i="11"/>
  <c r="P33" i="11"/>
  <c r="N32" i="11"/>
  <c r="P32" i="11"/>
  <c r="N30" i="11"/>
  <c r="P30" i="11"/>
  <c r="P29" i="11"/>
  <c r="N29" i="11"/>
  <c r="P28" i="11"/>
  <c r="N28" i="11"/>
  <c r="N27" i="11"/>
  <c r="P27" i="11"/>
  <c r="N26" i="11"/>
  <c r="P26" i="11"/>
  <c r="P25" i="11"/>
  <c r="N25" i="11"/>
  <c r="P24" i="11"/>
  <c r="N24" i="11"/>
  <c r="N21" i="11"/>
  <c r="P21" i="11"/>
  <c r="N20" i="11"/>
  <c r="P20" i="11"/>
  <c r="N19" i="11"/>
  <c r="P19" i="11"/>
  <c r="N18" i="11"/>
  <c r="P18" i="11"/>
  <c r="P17" i="11"/>
  <c r="N17" i="11"/>
  <c r="P15" i="11"/>
  <c r="N15" i="11"/>
  <c r="N14" i="11"/>
  <c r="P14" i="11"/>
  <c r="P13" i="11"/>
  <c r="N13" i="11"/>
  <c r="P12" i="11"/>
  <c r="N12" i="11"/>
  <c r="P11" i="11"/>
  <c r="N11" i="11"/>
  <c r="P10" i="11"/>
  <c r="N10" i="11"/>
  <c r="P9" i="11"/>
  <c r="N9" i="11"/>
  <c r="P8" i="11"/>
  <c r="N8" i="11"/>
  <c r="N7" i="11"/>
  <c r="P7" i="11"/>
  <c r="P6" i="11"/>
  <c r="N6" i="11"/>
  <c r="N35" i="10"/>
  <c r="P35" i="10"/>
  <c r="N34" i="10"/>
  <c r="P34" i="10"/>
  <c r="N33" i="10"/>
  <c r="P33" i="10"/>
  <c r="N32" i="10"/>
  <c r="P32" i="10"/>
  <c r="P31" i="10"/>
  <c r="N31" i="10"/>
  <c r="P30" i="10"/>
  <c r="N30" i="10"/>
  <c r="N29" i="10"/>
  <c r="P29" i="10"/>
  <c r="N28" i="10"/>
  <c r="P28" i="10"/>
  <c r="N27" i="10"/>
  <c r="P27" i="10"/>
  <c r="P26" i="10"/>
  <c r="N26" i="10"/>
  <c r="P25" i="10"/>
  <c r="N25" i="10"/>
  <c r="N24" i="10"/>
  <c r="P24" i="10"/>
  <c r="N23" i="10"/>
  <c r="P23" i="10"/>
  <c r="P22" i="10"/>
  <c r="N22" i="10"/>
  <c r="P21" i="10"/>
  <c r="N21" i="10"/>
  <c r="P20" i="10"/>
  <c r="N20" i="10"/>
  <c r="P19" i="10"/>
  <c r="N19" i="10"/>
  <c r="P18" i="10"/>
  <c r="N18" i="10"/>
  <c r="P17" i="10"/>
  <c r="N17" i="10"/>
  <c r="P16" i="10"/>
  <c r="N16" i="10"/>
  <c r="P15" i="10"/>
  <c r="N15" i="10"/>
  <c r="P14" i="10"/>
  <c r="N14" i="10"/>
  <c r="N13" i="10"/>
  <c r="P13" i="10"/>
  <c r="P12" i="10"/>
  <c r="N12" i="10"/>
  <c r="N11" i="10"/>
  <c r="P11" i="10"/>
  <c r="P10" i="10"/>
  <c r="N10" i="10"/>
  <c r="P9" i="10"/>
  <c r="N9" i="10"/>
  <c r="N8" i="10"/>
  <c r="P8" i="10"/>
  <c r="N7" i="10"/>
  <c r="P7" i="10"/>
  <c r="P6" i="10"/>
  <c r="N6" i="10"/>
  <c r="N36" i="9"/>
  <c r="P36" i="9"/>
  <c r="P35" i="9"/>
  <c r="N35" i="9"/>
  <c r="P34" i="9"/>
  <c r="N34" i="9"/>
  <c r="P33" i="9"/>
  <c r="N33" i="9"/>
  <c r="P32" i="9"/>
  <c r="N32" i="9"/>
  <c r="P31" i="9"/>
  <c r="N31" i="9"/>
  <c r="N30" i="9"/>
  <c r="P30" i="9"/>
  <c r="P29" i="9"/>
  <c r="N29" i="9"/>
  <c r="P28" i="9"/>
  <c r="N28" i="9"/>
  <c r="P27" i="9"/>
  <c r="N27" i="9"/>
  <c r="P26" i="9"/>
  <c r="N26" i="9"/>
  <c r="P25" i="9"/>
  <c r="N25" i="9"/>
  <c r="P24" i="9"/>
  <c r="N24" i="9"/>
  <c r="P23" i="9"/>
  <c r="N23" i="9"/>
  <c r="P22" i="9"/>
  <c r="N22" i="9"/>
  <c r="P21" i="9"/>
  <c r="N21" i="9"/>
  <c r="N20" i="9"/>
  <c r="P20" i="9"/>
  <c r="N19" i="9"/>
  <c r="P19" i="9"/>
  <c r="N18" i="9"/>
  <c r="P18" i="9"/>
  <c r="P17" i="9"/>
  <c r="N17" i="9"/>
  <c r="P16" i="9"/>
  <c r="N16" i="9"/>
  <c r="P15" i="9"/>
  <c r="N15" i="9"/>
  <c r="P14" i="9"/>
  <c r="N14" i="9"/>
  <c r="P13" i="9"/>
  <c r="N13" i="9"/>
  <c r="P12" i="9"/>
  <c r="N12" i="9"/>
  <c r="P11" i="9"/>
  <c r="N11" i="9"/>
  <c r="P10" i="9"/>
  <c r="N10" i="9"/>
  <c r="P9" i="9"/>
  <c r="N9" i="9"/>
  <c r="N8" i="9"/>
  <c r="P8" i="9"/>
  <c r="N7" i="9"/>
  <c r="P7" i="9"/>
  <c r="P6" i="9"/>
  <c r="N6" i="9"/>
  <c r="N33" i="8"/>
  <c r="P33" i="8"/>
  <c r="N32" i="8"/>
  <c r="P32" i="8"/>
  <c r="P31" i="8"/>
  <c r="N31" i="8"/>
  <c r="N30" i="8"/>
  <c r="P30" i="8"/>
  <c r="N29" i="8"/>
  <c r="P29" i="8"/>
  <c r="N28" i="8"/>
  <c r="P28" i="8"/>
  <c r="N27" i="8"/>
  <c r="P27" i="8"/>
  <c r="N26" i="8"/>
  <c r="P26" i="8"/>
  <c r="P21" i="8"/>
  <c r="N21" i="8"/>
  <c r="P20" i="8"/>
  <c r="N20" i="8"/>
  <c r="P19" i="8"/>
  <c r="N19" i="8"/>
  <c r="P18" i="8"/>
  <c r="N18" i="8"/>
  <c r="N17" i="8"/>
  <c r="P17" i="8"/>
  <c r="N16" i="8"/>
  <c r="P16" i="8"/>
  <c r="P15" i="8"/>
  <c r="N15" i="8"/>
  <c r="P14" i="8"/>
  <c r="N14" i="8"/>
  <c r="P13" i="8"/>
  <c r="N13" i="8"/>
  <c r="N12" i="8"/>
  <c r="P12" i="8"/>
  <c r="N11" i="8"/>
  <c r="P11" i="8"/>
  <c r="P10" i="8"/>
  <c r="N10" i="8"/>
  <c r="P9" i="8"/>
  <c r="N9" i="8"/>
  <c r="P8" i="8"/>
  <c r="N8" i="8"/>
  <c r="P7" i="8"/>
  <c r="N7" i="8"/>
  <c r="P6" i="8"/>
  <c r="N6" i="8"/>
  <c r="N36" i="7"/>
  <c r="P36" i="7"/>
  <c r="P35" i="7"/>
  <c r="N35" i="7"/>
  <c r="N34" i="7"/>
  <c r="P34" i="7"/>
  <c r="P33" i="7"/>
  <c r="N33" i="7"/>
  <c r="N32" i="7"/>
  <c r="P32" i="7"/>
  <c r="P29" i="7"/>
  <c r="N29" i="7"/>
  <c r="P28" i="7"/>
  <c r="N28" i="7"/>
  <c r="N27" i="7"/>
  <c r="P27" i="7"/>
  <c r="P26" i="7"/>
  <c r="N26" i="7"/>
  <c r="P25" i="7"/>
  <c r="N25" i="7"/>
  <c r="N24" i="7"/>
  <c r="P24" i="7"/>
  <c r="P23" i="7"/>
  <c r="N23" i="7"/>
  <c r="P22" i="7"/>
  <c r="N22" i="7"/>
  <c r="N21" i="7"/>
  <c r="P21" i="7"/>
  <c r="P20" i="7"/>
  <c r="N20" i="7"/>
  <c r="P19" i="7"/>
  <c r="N19" i="7"/>
  <c r="P18" i="7"/>
  <c r="N18" i="7"/>
  <c r="P17" i="7"/>
  <c r="N17" i="7"/>
  <c r="N16" i="7"/>
  <c r="P16" i="7"/>
  <c r="N15" i="7"/>
  <c r="P15" i="7"/>
  <c r="N14" i="7"/>
  <c r="P14" i="7"/>
  <c r="N13" i="7"/>
  <c r="P13" i="7"/>
  <c r="P12" i="7"/>
  <c r="N12" i="7"/>
  <c r="N11" i="7"/>
  <c r="P11" i="7"/>
  <c r="N10" i="7"/>
  <c r="P10" i="7"/>
  <c r="P9" i="7"/>
  <c r="N9" i="7"/>
  <c r="P8" i="7"/>
  <c r="N8" i="7"/>
  <c r="P7" i="7"/>
  <c r="N7" i="7"/>
  <c r="N6" i="7"/>
  <c r="P6" i="7"/>
  <c r="N36" i="6"/>
  <c r="P36" i="6"/>
  <c r="P34" i="6"/>
  <c r="N34" i="6"/>
  <c r="P33" i="6"/>
  <c r="N33" i="6"/>
  <c r="N32" i="6"/>
  <c r="P32" i="6"/>
  <c r="N31" i="6"/>
  <c r="P31" i="6"/>
  <c r="N30" i="6"/>
  <c r="P30" i="6"/>
  <c r="P29" i="6"/>
  <c r="N29" i="6"/>
  <c r="N28" i="6"/>
  <c r="P28" i="6"/>
  <c r="N27" i="6"/>
  <c r="P27" i="6"/>
  <c r="N26" i="6"/>
  <c r="P26" i="6"/>
  <c r="N25" i="6"/>
  <c r="P25" i="6"/>
  <c r="P24" i="6"/>
  <c r="N24" i="6"/>
  <c r="P23" i="6"/>
  <c r="N23" i="6"/>
  <c r="P21" i="6"/>
  <c r="N21" i="6"/>
  <c r="P20" i="6"/>
  <c r="N20" i="6"/>
  <c r="N19" i="6"/>
  <c r="P19" i="6"/>
  <c r="P18" i="6"/>
  <c r="N18" i="6"/>
  <c r="N17" i="6"/>
  <c r="P17" i="6"/>
  <c r="P16" i="6"/>
  <c r="N16" i="6"/>
  <c r="N15" i="6"/>
  <c r="P15" i="6"/>
  <c r="P14" i="6"/>
  <c r="N14" i="6"/>
  <c r="N13" i="6"/>
  <c r="P13" i="6"/>
  <c r="N12" i="6"/>
  <c r="P12" i="6"/>
  <c r="N11" i="6"/>
  <c r="P11" i="6"/>
  <c r="P10" i="6"/>
  <c r="N10" i="6"/>
  <c r="N9" i="6"/>
  <c r="P9" i="6"/>
  <c r="N8" i="6"/>
  <c r="P8" i="6"/>
  <c r="N7" i="6"/>
  <c r="P7" i="6"/>
  <c r="P6" i="6"/>
  <c r="N6" i="6"/>
  <c r="P35" i="5"/>
  <c r="N35" i="5"/>
  <c r="P34" i="5"/>
  <c r="N34" i="5"/>
  <c r="P33" i="5"/>
  <c r="N33" i="5"/>
  <c r="P32" i="5"/>
  <c r="N32" i="5"/>
  <c r="N31" i="5"/>
  <c r="P31" i="5"/>
  <c r="P30" i="5"/>
  <c r="N30" i="5"/>
  <c r="P29" i="5"/>
  <c r="N29" i="5"/>
  <c r="P28" i="5"/>
  <c r="N28" i="5"/>
  <c r="P27" i="5"/>
  <c r="N27" i="5"/>
  <c r="P26" i="5"/>
  <c r="N26" i="5"/>
  <c r="P25" i="5"/>
  <c r="N25" i="5"/>
  <c r="P24" i="5"/>
  <c r="N24" i="5"/>
  <c r="P23" i="5"/>
  <c r="N23" i="5"/>
  <c r="P22" i="5"/>
  <c r="N22" i="5"/>
  <c r="P21" i="5"/>
  <c r="N21" i="5"/>
  <c r="P20" i="5"/>
  <c r="N20" i="5"/>
  <c r="P19" i="5"/>
  <c r="N19" i="5"/>
  <c r="N18" i="5"/>
  <c r="P18" i="5"/>
  <c r="P17" i="5"/>
  <c r="N17" i="5"/>
  <c r="P16" i="5"/>
  <c r="N16" i="5"/>
  <c r="P15" i="5"/>
  <c r="N15" i="5"/>
  <c r="P14" i="5"/>
  <c r="N14" i="5"/>
  <c r="P13" i="5"/>
  <c r="N13" i="5"/>
  <c r="P12" i="5"/>
  <c r="N12" i="5"/>
  <c r="N11" i="5"/>
  <c r="P11" i="5"/>
  <c r="N10" i="5"/>
  <c r="P10" i="5"/>
  <c r="P9" i="5"/>
  <c r="N9" i="5"/>
  <c r="P8" i="5"/>
  <c r="N8" i="5"/>
  <c r="P7" i="5"/>
  <c r="N7" i="5"/>
  <c r="P6" i="5"/>
  <c r="N6" i="5"/>
  <c r="P36" i="4"/>
  <c r="N36" i="4"/>
  <c r="N35" i="4"/>
  <c r="P35" i="4"/>
  <c r="P34" i="4"/>
  <c r="N34" i="4"/>
  <c r="P33" i="4"/>
  <c r="N33" i="4"/>
  <c r="N32" i="4"/>
  <c r="P32" i="4"/>
  <c r="P31" i="4"/>
  <c r="N31" i="4"/>
  <c r="P30" i="4"/>
  <c r="N30" i="4"/>
  <c r="P29" i="4"/>
  <c r="N29" i="4"/>
  <c r="N28" i="4"/>
  <c r="P28" i="4"/>
  <c r="N27" i="4"/>
  <c r="P27" i="4"/>
  <c r="N26" i="4"/>
  <c r="P26" i="4"/>
  <c r="P25" i="4"/>
  <c r="N25" i="4"/>
  <c r="P24" i="4"/>
  <c r="N24" i="4"/>
  <c r="P23" i="4"/>
  <c r="N23" i="4"/>
  <c r="P22" i="4"/>
  <c r="N22" i="4"/>
  <c r="P21" i="4"/>
  <c r="N21" i="4"/>
  <c r="P20" i="4"/>
  <c r="N20" i="4"/>
  <c r="P19" i="4"/>
  <c r="N19" i="4"/>
  <c r="N17" i="4"/>
  <c r="P17" i="4"/>
  <c r="P16" i="4"/>
  <c r="N16" i="4"/>
  <c r="P15" i="4"/>
  <c r="N15" i="4"/>
  <c r="P14" i="4"/>
  <c r="N14" i="4"/>
  <c r="P13" i="4"/>
  <c r="N13" i="4"/>
  <c r="P12" i="4"/>
  <c r="N12" i="4"/>
  <c r="P11" i="4"/>
  <c r="N11" i="4"/>
  <c r="P10" i="4"/>
  <c r="N10" i="4"/>
  <c r="N9" i="4"/>
  <c r="P9" i="4"/>
  <c r="N8" i="4"/>
  <c r="P8" i="4"/>
  <c r="N7" i="4"/>
  <c r="P7" i="4"/>
  <c r="N6" i="4"/>
  <c r="P6" i="4"/>
  <c r="P33" i="3"/>
  <c r="N33" i="3"/>
  <c r="N32" i="3"/>
  <c r="P32" i="3"/>
  <c r="N31" i="3"/>
  <c r="P31" i="3"/>
  <c r="P30" i="3"/>
  <c r="N30" i="3"/>
  <c r="P29" i="3"/>
  <c r="N29" i="3"/>
  <c r="P28" i="3"/>
  <c r="N28" i="3"/>
  <c r="P27" i="3"/>
  <c r="N27" i="3"/>
  <c r="P26" i="3"/>
  <c r="N26" i="3"/>
  <c r="P25" i="3"/>
  <c r="N25" i="3"/>
  <c r="P24" i="3"/>
  <c r="N24" i="3"/>
  <c r="P23" i="3"/>
  <c r="N23" i="3"/>
  <c r="P22" i="3"/>
  <c r="N22" i="3"/>
  <c r="N21" i="3"/>
  <c r="P21" i="3"/>
  <c r="P20" i="3"/>
  <c r="N20" i="3"/>
  <c r="N19" i="3"/>
  <c r="P19" i="3"/>
  <c r="P18" i="3"/>
  <c r="N18" i="3"/>
  <c r="P17" i="3"/>
  <c r="N17" i="3"/>
  <c r="P16" i="3"/>
  <c r="N16" i="3"/>
  <c r="P15" i="3"/>
  <c r="N15" i="3"/>
  <c r="P14" i="3"/>
  <c r="N14" i="3"/>
  <c r="N13" i="3"/>
  <c r="P13" i="3"/>
  <c r="N12" i="3"/>
  <c r="P12" i="3"/>
  <c r="N11" i="3"/>
  <c r="P11" i="3"/>
  <c r="P10" i="3"/>
  <c r="N10" i="3"/>
  <c r="N9" i="3"/>
  <c r="P9" i="3"/>
  <c r="N8" i="3"/>
  <c r="P8" i="3"/>
  <c r="N7" i="3"/>
  <c r="P7" i="3"/>
  <c r="N6" i="3"/>
  <c r="P6" i="3"/>
  <c r="I4" i="17" l="1"/>
  <c r="I22" i="17"/>
  <c r="I4" i="15"/>
  <c r="I21" i="15"/>
  <c r="I7" i="15"/>
  <c r="L8" i="25"/>
  <c r="M8" i="25"/>
  <c r="L7" i="25"/>
  <c r="M7" i="25"/>
  <c r="L6" i="25"/>
  <c r="M6" i="25"/>
  <c r="L5" i="25"/>
  <c r="M5" i="25"/>
  <c r="L4" i="25"/>
  <c r="M4" i="25"/>
  <c r="L9" i="23"/>
  <c r="M9" i="23"/>
  <c r="L8" i="23"/>
  <c r="M8" i="23"/>
  <c r="L8" i="21"/>
  <c r="M8" i="21"/>
  <c r="L7" i="21"/>
  <c r="M7" i="21"/>
  <c r="L6" i="21"/>
  <c r="M6" i="21"/>
  <c r="L5" i="21"/>
  <c r="M5" i="21"/>
  <c r="L8" i="19"/>
  <c r="M8" i="19"/>
  <c r="L7" i="19"/>
  <c r="M7" i="19"/>
</calcChain>
</file>

<file path=xl/sharedStrings.xml><?xml version="1.0" encoding="utf-8"?>
<sst xmlns="http://schemas.openxmlformats.org/spreadsheetml/2006/main" count="2028" uniqueCount="614">
  <si>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</si>
  <si>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</si>
  <si>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</si>
  <si>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</si>
  <si>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</si>
  <si>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</si>
  <si>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</si>
  <si>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</si>
  <si>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</si>
  <si>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</si>
  <si>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</si>
  <si>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</si>
  <si>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</si>
  <si>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</si>
  <si>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</si>
  <si>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</si>
  <si>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</si>
  <si>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</si>
  <si>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</si>
  <si>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</si>
  <si>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</si>
  <si>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</si>
  <si>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</si>
  <si>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</si>
  <si>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</si>
  <si>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</si>
  <si>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</si>
  <si>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</si>
  <si>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</si>
  <si>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</si>
  <si>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</si>
  <si>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</si>
  <si>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</si>
  <si>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</si>
  <si>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</si>
  <si>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</si>
  <si>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</si>
  <si>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</si>
  <si>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</si>
  <si>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</si>
  <si>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</si>
  <si>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</si>
  <si>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</si>
  <si>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</si>
  <si>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</si>
  <si>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</si>
  <si>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</si>
  <si>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</si>
  <si>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</si>
  <si>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</si>
  <si>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</si>
  <si>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</si>
  <si>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</si>
  <si>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</si>
  <si>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</si>
  <si>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</si>
  <si>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</si>
  <si>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</si>
  <si>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</si>
  <si>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</si>
  <si>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</si>
  <si>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</si>
  <si>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</si>
  <si>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</si>
  <si>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</si>
  <si>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</si>
  <si>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</si>
  <si>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</si>
  <si>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</si>
  <si>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</si>
  <si>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</si>
  <si>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</si>
  <si>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</si>
  <si>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</si>
  <si>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</si>
  <si>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</si>
  <si>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</si>
  <si>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</si>
  <si>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</si>
  <si>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</si>
  <si>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</si>
  <si>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</si>
  <si>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</si>
  <si>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</si>
  <si>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</si>
  <si>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</si>
  <si>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</si>
  <si>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</si>
  <si>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</si>
  <si>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</si>
  <si>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</si>
  <si>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</si>
  <si>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</si>
  <si>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</si>
  <si>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</si>
  <si>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  (Cập nhật T8/2026)</t>
  </si>
  <si>
    <t>⚠️  ĐỌC KỸ TRƯỚC KHI LÀM BÁO CÁO — Cột NGUỒN = fill_daily.py / metrics_script / Nhập tay. Dùng đúng công thức ghi trong cột này.</t>
  </si>
  <si>
    <t>🟢 NGUỒN fill_daily.py = DT FB / Đơn FB / DT Store / Đơn Store / DT O3 / DT Tổng   |   🟡 NGUỒN metrics_script = KH mới/cũ / Retention / CLV / Tần suất / Win-back   |   🟠 Nhập tay = Ads / CMT+IB</t>
  </si>
  <si>
    <t>Row
MASTER</t>
  </si>
  <si>
    <t>Kênh</t>
  </si>
  <si>
    <t>Tên chỉ số</t>
  </si>
  <si>
    <t>Định nghĩa đầy đủ</t>
  </si>
  <si>
    <t>⚠️ CÔNG THỨC ĐÚNG (duy nhất được dùng)</t>
  </si>
  <si>
    <t>🔴 NGUỒN LẤY SỐ</t>
  </si>
  <si>
    <t>Cách đọc &amp; Ý nghĩa</t>
  </si>
  <si>
    <t>Ngưỡng / T8/26 (16 ngày)</t>
  </si>
  <si>
    <t>📦 DOANH THU &amp; ĐƠN HÀNG — FACEBOOK</t>
  </si>
  <si>
    <t>R6</t>
  </si>
  <si>
    <t>FB</t>
  </si>
  <si>
    <t>Tổng tiền thu từ đơn FB giao thành công trong tháng, đã trừ đơn trả hàng.</t>
  </si>
  <si>
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</si>
  <si>
    <t>🟢 fill_daily.py
(DAILY sheet, dòng DT FB)
KHÔNG lấy từ metrics_script</t>
  </si>
  <si>
    <t>Chỉ số chính kênh FB. Xem cùng CP Ads để tính ROAS.</t>
  </si>
  <si>
    <t>T8/26 (16d): 586,903,041đ
Target T8: 1,292,244,677đ → 45.4%</t>
  </si>
  <si>
    <t>R7</t>
  </si>
  <si>
    <t>Số đơn FB giao thành công trong tháng, đã trừ đơn trả.</t>
  </si>
  <si>
    <t>COUNT DISTINCT ID đơn FB với 'Ngày thành công' trong T, 'Loại đơn' ≠ trả.
⚠️ ffill ID và 'Loại đơn' trước khi đếm.</t>
  </si>
  <si>
    <t>🟢 fill_daily.py
KHÔNG lấy từ metrics_script</t>
  </si>
  <si>
    <t>Kết hợp với DT FB để tính AOV. Đơn tăng mà DT không tăng = AOV giảm.</t>
  </si>
  <si>
    <t>T8/26 (16d): 1,331 đơn</t>
  </si>
  <si>
    <t>R8</t>
  </si>
  <si>
    <t>Giá trị đơn hàng trung bình kênh Facebook.</t>
  </si>
  <si>
    <t>DT FB ÷ Đơn FB
(tính từ 2 chỉ số fill_daily — không tính riêng trong script)</t>
  </si>
  <si>
    <t>🟢 Tính từ fill_daily</t>
  </si>
  <si>
    <t>Giảm đột ngột = kiểm tra mix sản phẩm hoặc promotion mạnh.</t>
  </si>
  <si>
    <t>T8/26 (16d): ~441,026đ</t>
  </si>
  <si>
    <t>R9</t>
  </si>
  <si>
    <t>Tổng comment + inbox trên Fanpage FB trong tháng.</t>
  </si>
  <si>
    <t>Nhập tay từ phần mềm fanpage / báo cáo nội bộ. Không lấy từ Nhanh.vn.</t>
  </si>
  <si>
    <t>🟠 Nhập tay</t>
  </si>
  <si>
    <t>Tử số CR%. Tăng nhưng CR giảm = content kéo traffic kém chất lượng.</t>
  </si>
  <si>
    <t>Benchmark CR%: 35–55%</t>
  </si>
  <si>
    <t>R11</t>
  </si>
  <si>
    <t>Tỷ lệ chuyển đổi tương tác → đơn hàng.</t>
  </si>
  <si>
    <t>Đơn FB ÷ CMT+IB</t>
  </si>
  <si>
    <t>🟢 Tính từ fill_daily
+ nhập tay</t>
  </si>
  <si>
    <t>CR% &lt;30% = chốt sale yếu. &gt;60% = đang reach đúng tệp.</t>
  </si>
  <si>
    <t>👤 KHÁCH HÀNG — FACEBOOK</t>
  </si>
  <si>
    <t>R15</t>
  </si>
  <si>
    <t>Số SĐT mua đơn FB trong T chưa từng mua FB trước T_START (tính từ T6/2024).</t>
  </si>
  <si>
    <t>COUNT DISTINCT SĐT đơn FB trong T, SĐT KHÔNG có trong pkl FB với _date &lt; T_START.
⚠️ lstrip('0') SĐT khi so sánh với pkl.
⚠️ ffill SĐT trước khi groupby.</t>
  </si>
  <si>
    <t>🟡 metrics_script</t>
  </si>
  <si>
    <t>Nguồn tăng trưởng. KH mới ≥20% tổng KH FB là tốt.</t>
  </si>
  <si>
    <t>T8/26 (16d): 270 KH</t>
  </si>
  <si>
    <t>R16</t>
  </si>
  <si>
    <t>AOV lần đầu FB</t>
  </si>
  <si>
    <t>Tổng DT của KH mới trong T ÷ số KH mới (tính tất cả đơn của họ trong tháng T).</t>
  </si>
  <si>
    <t>Σ DT đơn của KH mới trong T ÷ COUNT KH mới</t>
  </si>
  <si>
    <t>R17</t>
  </si>
  <si>
    <t>Activation Rate FB
(cohort T-3 → 90 ngày)</t>
  </si>
  <si>
    <t>% KH mới tháng T-3 đã mua lần 2 trong vòng 90 ngày từ ngày đơn đầu tiên.</t>
  </si>
  <si>
    <t>COUNT(KH mới T-3 có đơn 2 trong [ngay_don1, ngay_don1+90d])
÷ COUNT(tổng KH mới T-3)
⚠️ Cửa sổ 90 ngày tính từ ngày đơn 1 của TỪNG KH, không phải từ 1/T-3.</t>
  </si>
  <si>
    <t>Quan trọng nhất để đo sức khỏe CRM. Mục tiêu ≥25%. &lt;20% cần cải thiện hậu mãi.</t>
  </si>
  <si>
    <t>T8/26: 13.94% (cohort T5)</t>
  </si>
  <si>
    <t>R18</t>
  </si>
  <si>
    <t>Cohort T-1→T
(mua lại tháng tiếp theo)</t>
  </si>
  <si>
    <t>% KH mới tháng T-1 có ít nhất 1 đơn FB trong tháng T.</t>
  </si>
  <si>
    <t>COUNT(KH mới T-1 có đơn FB trong T) ÷ COUNT(tổng KH mới T-1)</t>
  </si>
  <si>
    <t>5–12% là bình thường. &gt;15% = rất tốt.</t>
  </si>
  <si>
    <t>T8/26: 5.35% (cohort T7)</t>
  </si>
  <si>
    <t>R20</t>
  </si>
  <si>
    <t>KH cũ FB mua lại</t>
  </si>
  <si>
    <t>Số SĐT có đơn FB trong T VÀ đã có đơn FB trước T_START.</t>
  </si>
  <si>
    <t>COUNT DISTINCT SĐT đơn FB trong T, SĐT CÓ trong pkl FB với _date &lt; T_START</t>
  </si>
  <si>
    <t>Nguồn DT ổn định, chi phí thấp. Mục tiêu: chiếm 65–75% tổng KH FB.</t>
  </si>
  <si>
    <t>T8/26 (16d): 743 KH</t>
  </si>
  <si>
    <t>R21</t>
  </si>
  <si>
    <t>AOV KH cũ FB
← dùng tính CLV</t>
  </si>
  <si>
    <t>Tổng DT của KH cũ trong T ÷ số KH cũ.
⚠️ ĐÂY LÀ GIÁ TRỊ QUAN TRỌNG — dùng để tính CLV 12M và CLV realized.</t>
  </si>
  <si>
    <t>Σ DT đơn của KH cũ trong T ÷ COUNT KH cũ
⚠️ Tính theo customer (mỗi KH cộng dồn tất cả đơn trong T), không phải per đơn.</t>
  </si>
  <si>
    <t>KH cũ thường AOV cao hơn KH mới. AOV KH cũ &lt; KH mới = bất thường.</t>
  </si>
  <si>
    <t>T8/26 (16d): 454,269đ</t>
  </si>
  <si>
    <t>R22</t>
  </si>
  <si>
    <t>Tỷ lệ KH cũ trong tổng KH FB tháng T.</t>
  </si>
  <si>
    <t>KH cũ FB ÷ (KH mới FB + KH cũ FB)</t>
  </si>
  <si>
    <t>🟡 Tính từ R15+R20</t>
  </si>
  <si>
    <t>Target: 65–75%.</t>
  </si>
  <si>
    <t>T8/26 (16d): 73.36%</t>
  </si>
  <si>
    <t>R23</t>
  </si>
  <si>
    <t>↳ Mua lại ≤30 ngày</t>
  </si>
  <si>
    <t>KH cũ FB trong T có ngày mua cuối trước T_START cách T_START ≤30 ngày.</t>
  </si>
  <si>
    <t>COUNT KH cũ FB trong T,
(T_START − max(_date trước T_START)) ≤ 30</t>
  </si>
  <si>
    <t>Nhóm 'nóng' nhất — lens 1 tháng quay lại đúng chu kỳ.</t>
  </si>
  <si>
    <t>T8/26 (16d): 236 KH</t>
  </si>
  <si>
    <t>R25</t>
  </si>
  <si>
    <t>↳ Mua lại 31–90 ngày</t>
  </si>
  <si>
    <t>KH cũ FB trong T có ngày mua cuối cách T_START 31–90 ngày.</t>
  </si>
  <si>
    <t>COUNT KH cũ FB trong T,
31 ≤ (T_START − max(_date trước T_START)) ≤ 90</t>
  </si>
  <si>
    <t>Core nhóm lens 1M/3M.</t>
  </si>
  <si>
    <t>T8/26 (16d): 278 KH</t>
  </si>
  <si>
    <t>R27</t>
  </si>
  <si>
    <t>↳ Mua lại &gt;90 ngày</t>
  </si>
  <si>
    <t>KH cũ FB trong T có ngày mua cuối cách T_START &gt;90 ngày.</t>
  </si>
  <si>
    <t>COUNT KH cũ FB trong T,
(T_START − max(_date trước T_START)) &gt; 90</t>
  </si>
  <si>
    <t>Semi-dormant tự quay lại.</t>
  </si>
  <si>
    <t>T8/26 (16d): 229 KH</t>
  </si>
  <si>
    <t>R30</t>
  </si>
  <si>
    <t>Số KH trong T đã có ≥3 đơn tích lũy trên kênh FB (tính đến cuối T).</t>
  </si>
  <si>
    <t>COUNT KH trong T, tổng đơn FB (pkl + data tháng T) ≥ 3</t>
  </si>
  <si>
    <t>Nhóm trung thành thực sự. Nền tảng VIP program.</t>
  </si>
  <si>
    <t>R32</t>
  </si>
  <si>
    <t>CLV 12M (FB)
— dự báo 12 tháng tới</t>
  </si>
  <si>
    <t>Dự báo giá trị 1 KH cũ FB đóng góp trong 12 tháng tới, dựa trên AOV và tần suất CỐ ĐỊNH.</t>
  </si>
  <si>
    <t>AOV_KH_cũ_FB × (365 ÷ 105)
⚠️ freq_FB = 105 ngày — CỐ ĐỊNH từ T8/26, KHÔNG tính động.
⚠️ KHÔNG tính theo cửa sổ 12 tháng rolling.
⚠️ Dùng AOV_KH_cũ_FB (R21), không phải AOV_lần_đầu.</t>
  </si>
  <si>
    <t>🟡 metrics_script
(công thức cố định)</t>
  </si>
  <si>
    <t>Tăng khi AOV_KH_cũ tăng. Dùng so sánh vs CAC để đánh giá hiệu quả acquisition.</t>
  </si>
  <si>
    <t>T8/26: 1,579,126đ</t>
  </si>
  <si>
    <t>📦 DOANH THU &amp; ĐƠN HÀNG — STORE</t>
  </si>
  <si>
    <t>R35</t>
  </si>
  <si>
    <t>Store</t>
  </si>
  <si>
    <t>DT Store Tổng</t>
  </si>
  <si>
    <t>Tổng DT 3 cửa hàng (NDC+PH+NGT) sau khi trừ đơn trả.</t>
  </si>
  <si>
    <t>Σ 'Doanh thu SP sau chiết khấu' của đơn Store trong T, loại ID đơn trả (từ file TRA).
⚠️ fill_daily dùng SCALE = DT_fill / DT_script để bù mismatch do TRA ID ≠ original ID.
⚠️ KHÔNG lấy tổng từ metrics_script.</t>
  </si>
  <si>
    <t>Chỉ số tổng Store. So sánh 3 chi nhánh để tìm điểm yếu.</t>
  </si>
  <si>
    <t>T8/26 (16d): 257,031,320đ
Target T8: 730,208,327đ → 35.2%</t>
  </si>
  <si>
    <t>R36</t>
  </si>
  <si>
    <t>↳ NDC (619 NĐC)</t>
  </si>
  <si>
    <t>DT riêng chi nhánh Nguyễn Đình Chiểu.</t>
  </si>
  <si>
    <t>Lọc Store theo Kho = 'NDC', Σ 'Doanh thu SP sau chiết khấu'</t>
  </si>
  <si>
    <t>🟢 fill_daily.py</t>
  </si>
  <si>
    <t>NDC thường ~45–55% DT Store.</t>
  </si>
  <si>
    <t>R37</t>
  </si>
  <si>
    <t>↳ Phố Huế (PH)</t>
  </si>
  <si>
    <t>DT riêng chi nhánh Phố Huế.</t>
  </si>
  <si>
    <t>Lọc Store theo Kho = 'PH'</t>
  </si>
  <si>
    <t>R38</t>
  </si>
  <si>
    <t>↳ NGT (88 NGT)</t>
  </si>
  <si>
    <t>DT riêng chi nhánh Nguyễn Gia Trí.</t>
  </si>
  <si>
    <t>Lọc Store theo Kho = 'NGT'</t>
  </si>
  <si>
    <t>R39</t>
  </si>
  <si>
    <t>Số đơn Store giao/bán trong T, đã trừ đơn trả.</t>
  </si>
  <si>
    <t>COUNT DISTINCT ID đơn Store trong T, loại ID có trong file TRA.
⚠️ ffill cột 'Ngày', 'ID', 'SĐT Khách hàng' trước khi đếm.
⚠️ 1 ID = 1 đơn dù có nhiều dòng sản phẩm.</t>
  </si>
  <si>
    <t>Theo dõi traffic bước chân.</t>
  </si>
  <si>
    <t>R40</t>
  </si>
  <si>
    <t>Giá trị đơn TB tại Store.</t>
  </si>
  <si>
    <t>DT Store ÷ Đơn Store</t>
  </si>
  <si>
    <t>&gt;300K là tốt cho lens walk-in.</t>
  </si>
  <si>
    <t>👤 KHÁCH HÀNG — STORE</t>
  </si>
  <si>
    <t>R43</t>
  </si>
  <si>
    <t>Số SĐT mua Store trong T chưa từng mua Store trước T_START.</t>
  </si>
  <si>
    <t>COUNT DISTINCT SĐT đơn Store trong T, SĐT KHÔNG có trong pkl Store với _date &lt; T_START
⚠️ Cột SĐT Store = 'SĐT Khách hàng' (col 12 file Store). ffill trước khi dùng.</t>
  </si>
  <si>
    <t>Mục tiêu: KH mới ≥30% tổng KH Store.</t>
  </si>
  <si>
    <t>T8/26 (16d): 165 KH</t>
  </si>
  <si>
    <t>R44</t>
  </si>
  <si>
    <t>AOV lần đầu Store</t>
  </si>
  <si>
    <t>Chi tiêu TB KH mới Store.</t>
  </si>
  <si>
    <t>Σ DT đơn KH mới Store trong T ÷ COUNT KH mới Store</t>
  </si>
  <si>
    <t>R45</t>
  </si>
  <si>
    <t>Activation Rate Store
(cohort T-3 → 90 ngày)</t>
  </si>
  <si>
    <t>% KH mới Store tháng T-3 đã mua lần 2 trong 90 ngày.</t>
  </si>
  <si>
    <t>COUNT(KH mới Store T-3 có đơn 2 trong [ngay_don1, ngay_don1+90d])
÷ COUNT(KH mới Store T-3)</t>
  </si>
  <si>
    <t>Benchmark ≥25%. Store nên cao hơn FB.</t>
  </si>
  <si>
    <t>T8/26: 14.33% (cohort T5)</t>
  </si>
  <si>
    <t>R46</t>
  </si>
  <si>
    <t>Cohort T-1→T (Store)</t>
  </si>
  <si>
    <t>% KH mới Store tháng T-1 có đơn Store trong T.</t>
  </si>
  <si>
    <t>COUNT(KH mới Store T-1 có đơn Store trong T) ÷ COUNT(KH mới Store T-1)</t>
  </si>
  <si>
    <t>T8/26: 3.58% (cohort T7)</t>
  </si>
  <si>
    <t>R48</t>
  </si>
  <si>
    <t>KH cũ Store mua lại</t>
  </si>
  <si>
    <t>Số SĐT có đơn Store trong T VÀ đã có đơn Store trước T_START.</t>
  </si>
  <si>
    <t>COUNT DISTINCT SĐT đơn Store trong T, SĐT CÓ trong pkl Store với _date &lt; T_START</t>
  </si>
  <si>
    <t>T8/26 (16d): 338 KH</t>
  </si>
  <si>
    <t>R49</t>
  </si>
  <si>
    <t>AOV KH cũ Store
← dùng tính CLV</t>
  </si>
  <si>
    <t>Tổng DT KH cũ Store ÷ số KH cũ.
⚠️ Dùng để tính CLV 12M Store và CLV realized Store.</t>
  </si>
  <si>
    <t>Σ DT đơn KH cũ Store trong T ÷ COUNT KH cũ Store</t>
  </si>
  <si>
    <t>T8/26 (16d): 343,177đ</t>
  </si>
  <si>
    <t>R50</t>
  </si>
  <si>
    <t>Tỷ lệ KH cũ / tổng KH Store trong T.</t>
  </si>
  <si>
    <t>KH cũ Store ÷ (KH mới + KH cũ Store)</t>
  </si>
  <si>
    <t>🟡 Tính từ R43+R48</t>
  </si>
  <si>
    <t>T8/26 (16d): 67.2%</t>
  </si>
  <si>
    <t>R51</t>
  </si>
  <si>
    <t>↳ Mua lại ≤30 ngày (Store)</t>
  </si>
  <si>
    <t>KH cũ Store trong T có ngày mua cuối ≤30 ngày trước T_START.</t>
  </si>
  <si>
    <t>COUNT KH cũ Store trong T, (T_START − max(_date trước T)) ≤ 30</t>
  </si>
  <si>
    <t>R53</t>
  </si>
  <si>
    <t>↳ Mua lại 31–90 ngày (Store)</t>
  </si>
  <si>
    <t>KH cũ Store trong T có ngày mua cuối 31–90 ngày trước T_START.</t>
  </si>
  <si>
    <t>COUNT KH cũ Store trong T, 31 ≤ (T_START − max(_date trước T)) ≤ 90</t>
  </si>
  <si>
    <t>R55</t>
  </si>
  <si>
    <t>↳ Mua lại &gt;90 ngày (Store)</t>
  </si>
  <si>
    <t>KH cũ Store trong T có ngày mua cuối &gt;90 ngày trước T_START.</t>
  </si>
  <si>
    <t>COUNT KH cũ Store trong T, (T_START − max(_date trước T)) &gt; 90</t>
  </si>
  <si>
    <t>R58</t>
  </si>
  <si>
    <t>Số KH trong T có ≥3 đơn tích lũy tại Store.</t>
  </si>
  <si>
    <t>COUNT KH trong T, tổng đơn Store (pkl + T) ≥ 3</t>
  </si>
  <si>
    <t>R60</t>
  </si>
  <si>
    <t>CLV 12M (Store)
— dự báo 12 tháng tới</t>
  </si>
  <si>
    <t>Dự báo giá trị 1 KH cũ Store đóng góp trong 12 tháng tới.</t>
  </si>
  <si>
    <t>AOV_KH_cũ_Store × (365 ÷ 100)
⚠️ freq_Store = 100 ngày — CỐ ĐỊNH từ T8/26.
⚠️ KHÔNG tính theo cửa sổ 12 tháng rolling.
⚠️ Dùng AOV_KH_cũ_Store (R49).</t>
  </si>
  <si>
    <t>T8/26: 1,252,596đ</t>
  </si>
  <si>
    <t>👓 O3 + TỔNG HỢP</t>
  </si>
  <si>
    <t>R63</t>
  </si>
  <si>
    <t>FB+Store</t>
  </si>
  <si>
    <t>DT O3</t>
  </si>
  <si>
    <t>Tổng DT từ nhóm O3 (Tròng Kính, Mắt Kính) trên cả 2 kênh.</t>
  </si>
  <si>
    <t>FB: Σ DT đơn có Danh mục thuộc O3
Store: Σ DT đơn có Danh mục cấp 1/2 thuộc O3
→ Cộng FB + Store</t>
  </si>
  <si>
    <t>Biên lợi nhuận cao. Mục tiêu O3 chiếm 2–4% DT Tổng.</t>
  </si>
  <si>
    <t>T8/26 (16d): 12,437,090đ</t>
  </si>
  <si>
    <t>R64</t>
  </si>
  <si>
    <t>% O3 / DT Tổng</t>
  </si>
  <si>
    <t>Tỷ trọng O3 trong tổng DT.</t>
  </si>
  <si>
    <t>DT O3 ÷ DT Tổng</t>
  </si>
  <si>
    <t>Target: 3–5%.</t>
  </si>
  <si>
    <t>T8/26 (16d): 1.47%</t>
  </si>
  <si>
    <t>R68</t>
  </si>
  <si>
    <t>DT Tổng (FB+Store)</t>
  </si>
  <si>
    <t>Tổng DT toàn hệ thống trong tháng.</t>
  </si>
  <si>
    <t>DT FB + DT Store (cả 2 từ fill_daily.py)</t>
  </si>
  <si>
    <t>Chỉ số revenue chính so Target Q3.</t>
  </si>
  <si>
    <t>T8/26 (16d): 843,934,361đ</t>
  </si>
  <si>
    <t>R70</t>
  </si>
  <si>
    <t>Số lần mua TB/KH trong tháng</t>
  </si>
  <si>
    <t>Trung bình số đơn mỗi KH đặt trong tháng T (mỗi kênh tính riêng).</t>
  </si>
  <si>
    <t>(Σ đơn FB ÷ KH FB trong T + Σ đơn Store ÷ KH Store trong T) ÷ 2</t>
  </si>
  <si>
    <t>Bình thường: 1.05–1.25.</t>
  </si>
  <si>
    <t>R71</t>
  </si>
  <si>
    <t>Win-back Pool</t>
  </si>
  <si>
    <t>Số KH (gộp FB+Store, unique SĐT) có ≥2 đơn lịch sử VÀ lần mua cuối &gt;60 ngày trước T_END.</t>
  </si>
  <si>
    <t>COUNT DISTINCT SĐT (FB ∪ Store) với:
- tổng đơn ≥ 2
- (T_END − ngay_mua_cuoi) &gt; 60 ngày
⚠️ Cutoff tính từ T_END (ngày cuối data), KHÔNG phải TODAY!
⚠️ WB_CUTOFF = T_END − timedelta(days=60)</t>
  </si>
  <si>
    <t>🟡 metrics_script
(WB_CUTOFF = T_END-60d)</t>
  </si>
  <si>
    <t>Pool lớn = nhiều cơ hội. Chạy chiến dịch Zalo/SMS định kỳ để giảm pool.</t>
  </si>
  <si>
    <t>T8/26 (16d): 19,442 KH</t>
  </si>
  <si>
    <t>R72</t>
  </si>
  <si>
    <t>Win-back Thành Công</t>
  </si>
  <si>
    <t>Số KH trong Pool tháng TRƯỚC có đơn trong tháng T.</t>
  </si>
  <si>
    <t>COUNT(Pool tại T_END_tháng_trước ∩ KH có đơn trong T)
Pool tháng trước = KH với ≥2 đơn VÀ (T_START − ngay_mua_cuoi) &gt; 60 ngày</t>
  </si>
  <si>
    <t>Win-back rate = Win-back / Pool tháng trước. Target: 8–12%.</t>
  </si>
  <si>
    <t>T8/26 (16d): 715 KH (3.68%)</t>
  </si>
  <si>
    <t>📊 TẦN SUẤT MUA &amp; CLV</t>
  </si>
  <si>
    <t>R73</t>
  </si>
  <si>
    <t>Tần suất mua TB
(ngày/lần) — WEIGHTED</t>
  </si>
  <si>
    <t>Khoảng cách TB giữa 2 lần mua liên tiếp, tính WEIGHTED trên TẤT CẢ KH ≥2 đơn (FB+Store gộp, tích lũy đến cuối T).</t>
  </si>
  <si>
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</si>
  <si>
    <t>🟡 metrics_script
(weighted, tích lũy)</t>
  </si>
  <si>
    <t>Giảm dần theo tháng là tốt (KH mua thường xuyên hơn).</t>
  </si>
  <si>
    <t>T8/26: 98 ngày
(tích lũy T6/24→T8/26)</t>
  </si>
  <si>
    <t>R74</t>
  </si>
  <si>
    <t>↳ Tần suất mua FB
(ngày/lần)</t>
  </si>
  <si>
    <t>Tương tự R73 nhưng chỉ tính riêng kênh FB, KH có ≥2 đơn FB.</t>
  </si>
  <si>
    <t>round( Σ(last-first)[KH FB ≥2 đơn] ÷ Σ(cnt-1)[KH FB ≥2 đơn] )
⚠️ Cùng công thức weighted, chỉ filter data FB.
⚠️ Giá trị này dùng làm FIXED_FREQ trong tính CLV FB.</t>
  </si>
  <si>
    <t>🟡 metrics_script
(weighted, chỉ FB)</t>
  </si>
  <si>
    <t>Lưu vào R74 — CHỈ để ghi nhận, KHÔNG dùng tính CLV động.</t>
  </si>
  <si>
    <t>T8/26: 105 ngày → FIXED freq cho CLV FB</t>
  </si>
  <si>
    <t>R75</t>
  </si>
  <si>
    <t>↳ Tần suất mua Store
(ngày/lần)</t>
  </si>
  <si>
    <t>Tương tự R73 nhưng chỉ tính riêng kênh Store.</t>
  </si>
  <si>
    <t>round( Σ(last-first)[KH Store ≥2 đơn] ÷ Σ(cnt-1)[KH Store ≥2 đơn] )
⚠️ Giá trị này dùng làm FIXED_FREQ trong tính CLV Store.</t>
  </si>
  <si>
    <t>🟡 metrics_script
(weighted, chỉ Store)</t>
  </si>
  <si>
    <t>Lưu vào R75 — CHỈ để ghi nhận, KHÔNG dùng tính CLV động.</t>
  </si>
  <si>
    <t>T8/26: 100 ngày → FIXED freq cho CLV Store</t>
  </si>
  <si>
    <t>R77</t>
  </si>
  <si>
    <t>CLV FB realized
(avg_life model)</t>
  </si>
  <si>
    <t>Ước tính tổng giá trị 1 KH FB trong toàn vòng đời, dựa trên avg_life thực tế T8/26.</t>
  </si>
  <si>
    <t>AOV_KH_cũ_FB × (9.921 × 30 ÷ 105)
⚠️ avg_life_FB = 9.921 tháng — từ T8/26 actual, CỐ ĐỊNH.
⚠️ freq = 105 CỐ ĐỊNH.
⚠️ KHÔNG dùng Σ(tất cả DT lịch sử) ÷ COUNT(SĐT) — bị ảnh hưởng bởi độ dài dataset.</t>
  </si>
  <si>
    <t>CLV realized &gt; CLV 12M = KH giữ &gt;12 tháng. Tốt nếu CLV/CAC &gt; 3.</t>
  </si>
  <si>
    <t>T8/26: 1,287,658đ</t>
  </si>
  <si>
    <t>R78</t>
  </si>
  <si>
    <t>CLV Store realized
(avg_life model)</t>
  </si>
  <si>
    <t>Ước tính tổng giá trị 1 KH Store trong toàn vòng đời.</t>
  </si>
  <si>
    <t>AOV_KH_cũ_Store × (8.005 × 30 ÷ 100)
⚠️ avg_life_Store = 8.005 tháng — từ T8/26 actual, CỐ ĐỊNH.
⚠️ freq = 100 CỐ ĐỊNH.</t>
  </si>
  <si>
    <t>T8/26: 824,140đ</t>
  </si>
  <si>
    <t>R79</t>
  </si>
  <si>
    <t>CLV FB 12M rolling
(= R32)</t>
  </si>
  <si>
    <t>Cùng giá trị R32 — đặt ở đây để compare song song FB vs Store.</t>
  </si>
  <si>
    <t>🟡 = R32</t>
  </si>
  <si>
    <t>R80</t>
  </si>
  <si>
    <t>CLV Store 12M rolling
(= R60)</t>
  </si>
  <si>
    <t>Cùng giá trị R60 — đặt ở đây để compare song song.</t>
  </si>
  <si>
    <t>🟡 = R60</t>
  </si>
  <si>
    <t>DAILY INPUT  •  THÁNG 9/2025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</si>
  <si>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</si>
  <si>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</si>
  <si>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</si>
  <si>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</si>
  <si>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</si>
  <si>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</si>
  <si>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</si>
  <si>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</si>
  <si>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</si>
  <si>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</si>
  <si>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</si>
  <si>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</si>
  <si>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</si>
  <si>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</si>
  <si>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</si>
  <si>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</si>
  <si>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</si>
  <si>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</si>
  <si>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</si>
  <si>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</si>
  <si>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</si>
  <si>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</si>
  <si>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</si>
  <si>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</si>
  <si>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</si>
  <si>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</si>
  <si>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</si>
  <si>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</si>
  <si>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</si>
  <si>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</si>
  <si>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</si>
  <si>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</si>
  <si>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</si>
  <si>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</si>
  <si>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10/2025  •  CARASE FB &amp; STORE</t>
  </si>
  <si>
    <t>DAILY INPUT  •  THÁNG 11/2025  •  CARASE FB &amp; STORE</t>
  </si>
  <si>
    <t>DAILY INPUT  •  THÁNG 12/2025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</si>
  <si>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</si>
  <si>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</si>
  <si>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</si>
  <si>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</si>
  <si>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</si>
  <si>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</si>
  <si>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</si>
  <si>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</si>
  <si>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</si>
  <si>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</si>
  <si>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</si>
  <si>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</si>
  <si>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</si>
  <si>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</si>
  <si>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</si>
  <si>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</si>
  <si>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</si>
  <si>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</si>
  <si>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</si>
  <si>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</si>
  <si>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</si>
  <si>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</si>
  <si>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</si>
  <si>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</si>
  <si>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</si>
  <si>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</si>
  <si>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</si>
  <si>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</si>
  <si>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</si>
  <si>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</si>
  <si>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</si>
  <si>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</si>
  <si>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</si>
  <si>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</si>
  <si>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</si>
  <si>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</si>
  <si>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</si>
  <si>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</si>
  <si>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</si>
  <si>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</si>
  <si>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</si>
  <si>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</si>
  <si>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</si>
  <si>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</si>
  <si>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</si>
  <si>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</si>
  <si>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</si>
  <si>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</si>
  <si>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</si>
  <si>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</si>
  <si>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</si>
  <si>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</si>
  <si>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</si>
  <si>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</si>
  <si>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</si>
  <si>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</si>
  <si>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</si>
  <si>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</si>
  <si>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</si>
  <si>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</si>
  <si>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</si>
  <si>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</si>
  <si>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</si>
  <si>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</si>
  <si>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</si>
  <si>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</si>
  <si>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</si>
  <si>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</si>
  <si>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</si>
  <si>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</si>
  <si>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</si>
  <si>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</si>
  <si>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</si>
  <si>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</si>
  <si>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</si>
  <si>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</si>
  <si>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</si>
  <si>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</si>
  <si>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</si>
  <si>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</si>
  <si>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</si>
  <si>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</si>
  <si>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</si>
  <si>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</si>
  <si>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</si>
  <si>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</si>
  <si>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</si>
  <si>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</si>
  <si>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</si>
  <si>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</si>
  <si>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</si>
  <si>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</si>
  <si>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</si>
  <si>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</si>
  <si>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</si>
  <si>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</si>
  <si>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</si>
  <si>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</si>
  <si>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</si>
  <si>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</si>
  <si>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</si>
  <si>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</si>
  <si>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</si>
  <si>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</si>
  <si>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</si>
  <si>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</si>
  <si>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</si>
  <si>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</si>
  <si>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</si>
  <si>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</si>
  <si>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</si>
  <si>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</si>
  <si>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</si>
  <si>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</si>
  <si>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</si>
  <si>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</si>
  <si>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</si>
  <si>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</si>
  <si>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</si>
  <si>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</si>
  <si>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</si>
  <si>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</si>
  <si>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</si>
  <si>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</si>
  <si>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</si>
  <si>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</si>
  <si>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</si>
  <si>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</si>
  <si>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</si>
  <si>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</si>
  <si>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</si>
  <si>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</si>
  <si>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</si>
  <si>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</si>
  <si>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</si>
  <si>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</si>
  <si>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</si>
  <si>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</si>
  <si>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</si>
  <si>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</si>
  <si>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</si>
  <si>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</si>
  <si>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</si>
  <si>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</si>
  <si>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</si>
  <si>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</si>
  <si>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Mua lại ≤30 ngày</t>
  </si>
  <si>
    <t>KH cũ có lần mua trước cách đây ≤30 ngày — tần suất cao</t>
  </si>
  <si>
    <t>Mua lại 31–90 ngày</t>
  </si>
  <si>
    <t>Chu kỳ bình thường — 1 hộp kính áp tròng 1–3 tháng</t>
  </si>
  <si>
    <t>Mua lại &gt;90 ngày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</si>
  <si>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</si>
  <si>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</si>
  <si>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</si>
  <si>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</si>
  <si>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</si>
  <si>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</si>
  <si>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</si>
  <si>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</si>
  <si>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</si>
  <si>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</si>
  <si>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</si>
  <si>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</si>
  <si>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</si>
  <si>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</si>
  <si>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</si>
  <si>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</si>
  <si>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</si>
  <si>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</si>
  <si>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</si>
  <si>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</si>
  <si>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</si>
  <si>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</si>
  <si>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</si>
  <si>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</si>
  <si>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</si>
  <si>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</si>
  <si>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</si>
  <si>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</si>
  <si>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</si>
  <si>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</si>
  <si>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</si>
  <si>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</si>
  <si>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</si>
  <si>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</si>
  <si>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</si>
  <si>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</si>
  <si>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</si>
  <si>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</si>
  <si>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</si>
  <si>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</si>
  <si>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</si>
  <si>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</si>
  <si>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</si>
  <si>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</si>
  <si>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</si>
  <si>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</si>
  <si>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</si>
  <si>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</si>
  <si>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</si>
  <si>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1N</t>
  </si>
  <si>
    <t>1M</t>
  </si>
  <si>
    <t>3M</t>
  </si>
  <si>
    <t>🏪 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</si>
</sst>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Calibri"/>
      <family val="2"/>
      <charset val="1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0"/>
      <name val="Calibri"/>
    </font>
  </fonts>
  <fills count="54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9" fillId="0" borderId="0"/>
  </cellStyleXfs>
  <cellXfs count="185">
    <xf numFmtId="0" fontId="0" fillId="0" borderId="0" xfId="0"/>
    <xf numFmtId="0" fontId="5" fillId="2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8" fillId="2" borderId="3" xfId="0" applyFont="1" applyFill="1" applyBorder="1"/>
    <xf numFmtId="0" fontId="9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3" fontId="11" fillId="6" borderId="3" xfId="0" applyNumberFormat="1" applyFont="1" applyFill="1" applyBorder="1" applyAlignment="1">
      <alignment horizontal="right" vertical="center"/>
    </xf>
    <xf numFmtId="3" fontId="12" fillId="8" borderId="3" xfId="0" applyNumberFormat="1" applyFont="1" applyFill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3" fontId="6" fillId="3" borderId="3" xfId="0" applyNumberFormat="1" applyFont="1" applyFill="1" applyBorder="1" applyAlignment="1">
      <alignment horizontal="right" vertical="center"/>
    </xf>
    <xf numFmtId="9" fontId="10" fillId="6" borderId="3" xfId="0" applyNumberFormat="1" applyFont="1" applyFill="1" applyBorder="1" applyAlignment="1">
      <alignment horizontal="center" vertical="center" wrapText="1"/>
    </xf>
    <xf numFmtId="164" fontId="6" fillId="3" borderId="3" xfId="0" applyNumberFormat="1" applyFont="1" applyFill="1" applyBorder="1" applyAlignment="1">
      <alignment horizontal="right" vertical="center"/>
    </xf>
    <xf numFmtId="2" fontId="6" fillId="3" borderId="3" xfId="0" applyNumberFormat="1" applyFont="1" applyFill="1" applyBorder="1" applyAlignment="1">
      <alignment horizontal="right" vertical="center"/>
    </xf>
    <xf numFmtId="0" fontId="13" fillId="6" borderId="3" xfId="0" applyFont="1" applyFill="1" applyBorder="1" applyAlignment="1">
      <alignment horizontal="left" vertical="center" wrapText="1"/>
    </xf>
    <xf numFmtId="164" fontId="11" fillId="6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8" fillId="9" borderId="3" xfId="0" applyFont="1" applyFill="1" applyBorder="1"/>
    <xf numFmtId="164" fontId="12" fillId="8" borderId="3" xfId="0" applyNumberFormat="1" applyFont="1" applyFill="1" applyBorder="1" applyAlignment="1">
      <alignment horizontal="right" vertical="center"/>
    </xf>
    <xf numFmtId="0" fontId="2" fillId="10" borderId="2" xfId="0" applyFont="1" applyFill="1" applyBorder="1" applyAlignment="1">
      <alignment horizontal="left" vertical="center" wrapText="1"/>
    </xf>
    <xf numFmtId="0" fontId="8" fillId="0" borderId="4" xfId="0" applyFont="1" applyBorder="1"/>
    <xf numFmtId="0" fontId="5" fillId="10" borderId="2" xfId="0" applyFont="1" applyFill="1" applyBorder="1" applyAlignment="1">
      <alignment horizontal="left" vertical="center"/>
    </xf>
    <xf numFmtId="0" fontId="8" fillId="10" borderId="3" xfId="0" applyFont="1" applyFill="1" applyBorder="1"/>
    <xf numFmtId="2" fontId="11" fillId="6" borderId="3" xfId="0" applyNumberFormat="1" applyFont="1" applyFill="1" applyBorder="1" applyAlignment="1">
      <alignment horizontal="right" vertical="center"/>
    </xf>
    <xf numFmtId="165" fontId="11" fillId="6" borderId="3" xfId="0" applyNumberFormat="1" applyFont="1" applyFill="1" applyBorder="1" applyAlignment="1">
      <alignment horizontal="right" vertical="center"/>
    </xf>
    <xf numFmtId="165" fontId="6" fillId="3" borderId="3" xfId="0" applyNumberFormat="1" applyFont="1" applyFill="1" applyBorder="1" applyAlignment="1">
      <alignment horizontal="right" vertical="center"/>
    </xf>
    <xf numFmtId="0" fontId="8" fillId="11" borderId="3" xfId="0" applyFont="1" applyFill="1" applyBorder="1"/>
    <xf numFmtId="0" fontId="14" fillId="5" borderId="2" xfId="0" applyFont="1" applyFill="1" applyBorder="1" applyAlignment="1">
      <alignment horizontal="left" vertical="center" wrapText="1"/>
    </xf>
    <xf numFmtId="0" fontId="15" fillId="4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6" fillId="15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3" fontId="18" fillId="12" borderId="3" xfId="0" applyNumberFormat="1" applyFont="1" applyFill="1" applyBorder="1" applyAlignment="1">
      <alignment horizontal="right" vertical="center" wrapText="1"/>
    </xf>
    <xf numFmtId="0" fontId="19" fillId="6" borderId="3" xfId="0" applyFont="1" applyFill="1" applyBorder="1" applyAlignment="1">
      <alignment horizontal="left" vertical="center" wrapText="1"/>
    </xf>
    <xf numFmtId="3" fontId="20" fillId="14" borderId="3" xfId="0" applyNumberFormat="1" applyFont="1" applyFill="1" applyBorder="1" applyAlignment="1">
      <alignment horizontal="right" vertical="center" wrapText="1"/>
    </xf>
    <xf numFmtId="3" fontId="21" fillId="8" borderId="3" xfId="0" applyNumberFormat="1" applyFont="1" applyFill="1" applyBorder="1" applyAlignment="1">
      <alignment horizontal="right" vertical="center" wrapText="1"/>
    </xf>
    <xf numFmtId="3" fontId="18" fillId="8" borderId="3" xfId="0" applyNumberFormat="1" applyFont="1" applyFill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166" fontId="6" fillId="6" borderId="3" xfId="0" applyNumberFormat="1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right" vertical="center"/>
    </xf>
    <xf numFmtId="0" fontId="10" fillId="0" borderId="3" xfId="0" applyFont="1" applyBorder="1" applyAlignment="1">
      <alignment horizontal="left" vertical="center"/>
    </xf>
    <xf numFmtId="166" fontId="23" fillId="17" borderId="3" xfId="0" applyNumberFormat="1" applyFont="1" applyFill="1" applyBorder="1" applyAlignment="1">
      <alignment horizontal="center" vertical="center"/>
    </xf>
    <xf numFmtId="0" fontId="24" fillId="17" borderId="3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 wrapText="1"/>
    </xf>
    <xf numFmtId="3" fontId="12" fillId="8" borderId="3" xfId="0" applyNumberFormat="1" applyFont="1" applyFill="1" applyBorder="1" applyAlignment="1">
      <alignment horizontal="right" vertical="center" wrapText="1"/>
    </xf>
    <xf numFmtId="3" fontId="25" fillId="18" borderId="3" xfId="0" applyNumberFormat="1" applyFont="1" applyFill="1" applyBorder="1" applyAlignment="1">
      <alignment horizontal="right" vertical="center" wrapText="1"/>
    </xf>
    <xf numFmtId="167" fontId="25" fillId="18" borderId="3" xfId="0" applyNumberFormat="1" applyFont="1" applyFill="1" applyBorder="1" applyAlignment="1">
      <alignment horizontal="right" vertical="center" wrapText="1"/>
    </xf>
    <xf numFmtId="3" fontId="26" fillId="14" borderId="3" xfId="0" applyNumberFormat="1" applyFont="1" applyFill="1" applyBorder="1" applyAlignment="1">
      <alignment horizontal="right" vertical="center" wrapText="1"/>
    </xf>
    <xf numFmtId="3" fontId="12" fillId="7" borderId="3" xfId="0" applyNumberFormat="1" applyFont="1" applyFill="1" applyBorder="1" applyAlignment="1">
      <alignment horizontal="right" vertical="center" wrapText="1"/>
    </xf>
    <xf numFmtId="164" fontId="12" fillId="7" borderId="3" xfId="0" applyNumberFormat="1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9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9" fillId="19" borderId="3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wrapText="1"/>
    </xf>
    <xf numFmtId="3" fontId="5" fillId="2" borderId="3" xfId="0" applyNumberFormat="1" applyFont="1" applyFill="1" applyBorder="1" applyAlignment="1">
      <alignment horizontal="right" vertical="center" wrapText="1"/>
    </xf>
    <xf numFmtId="167" fontId="5" fillId="2" borderId="3" xfId="0" applyNumberFormat="1" applyFont="1" applyFill="1" applyBorder="1" applyAlignment="1">
      <alignment horizontal="right" vertical="center" wrapText="1"/>
    </xf>
    <xf numFmtId="164" fontId="28" fillId="2" borderId="3" xfId="0" applyNumberFormat="1" applyFont="1" applyFill="1" applyBorder="1" applyAlignment="1">
      <alignment horizontal="right" vertical="center" wrapText="1"/>
    </xf>
    <xf numFmtId="3" fontId="29" fillId="12" borderId="3" xfId="0" applyNumberFormat="1" applyFont="1" applyFill="1" applyBorder="1" applyAlignment="1">
      <alignment horizontal="right" vertical="center" wrapText="1"/>
    </xf>
    <xf numFmtId="3" fontId="30" fillId="14" borderId="3" xfId="0" applyNumberFormat="1" applyFont="1" applyFill="1" applyBorder="1" applyAlignment="1">
      <alignment horizontal="right" vertical="center" wrapText="1"/>
    </xf>
    <xf numFmtId="3" fontId="7" fillId="7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1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19" fillId="12" borderId="3" xfId="0" applyFont="1" applyFill="1" applyBorder="1" applyAlignment="1">
      <alignment horizontal="left" vertical="center" wrapText="1"/>
    </xf>
    <xf numFmtId="0" fontId="9" fillId="12" borderId="3" xfId="0" applyFont="1" applyFill="1" applyBorder="1" applyAlignment="1">
      <alignment horizontal="left" vertical="center" wrapText="1"/>
    </xf>
    <xf numFmtId="0" fontId="33" fillId="12" borderId="3" xfId="0" applyFont="1" applyFill="1" applyBorder="1" applyAlignment="1">
      <alignment horizontal="left" vertical="center" wrapText="1"/>
    </xf>
    <xf numFmtId="0" fontId="33" fillId="0" borderId="3" xfId="0" applyFont="1" applyBorder="1" applyAlignment="1">
      <alignment horizontal="left" vertical="center" wrapText="1"/>
    </xf>
    <xf numFmtId="0" fontId="19" fillId="14" borderId="3" xfId="0" applyFont="1" applyFill="1" applyBorder="1" applyAlignment="1">
      <alignment horizontal="left" vertical="center" wrapText="1"/>
    </xf>
    <xf numFmtId="0" fontId="9" fillId="14" borderId="3" xfId="0" applyFont="1" applyFill="1" applyBorder="1" applyAlignment="1">
      <alignment horizontal="left" vertical="center" wrapText="1"/>
    </xf>
    <xf numFmtId="0" fontId="33" fillId="14" borderId="3" xfId="0" applyFont="1" applyFill="1" applyBorder="1" applyAlignment="1">
      <alignment horizontal="left" vertical="center" wrapText="1"/>
    </xf>
    <xf numFmtId="0" fontId="19" fillId="19" borderId="3" xfId="0" applyFont="1" applyFill="1" applyBorder="1" applyAlignment="1">
      <alignment horizontal="left" vertical="center" wrapText="1"/>
    </xf>
    <xf numFmtId="0" fontId="9" fillId="19" borderId="3" xfId="0" applyFont="1" applyFill="1" applyBorder="1" applyAlignment="1">
      <alignment horizontal="left" vertical="center" wrapText="1"/>
    </xf>
    <xf numFmtId="0" fontId="33" fillId="19" borderId="3" xfId="0" applyFont="1" applyFill="1" applyBorder="1" applyAlignment="1">
      <alignment horizontal="left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left" vertical="center" wrapText="1"/>
    </xf>
    <xf numFmtId="0" fontId="33" fillId="4" borderId="3" xfId="0" applyFont="1" applyFill="1" applyBorder="1" applyAlignment="1">
      <alignment horizontal="left" vertical="center" wrapText="1"/>
    </xf>
    <xf numFmtId="0" fontId="36" fillId="21" borderId="7" xfId="0" applyFont="1" applyFill="1" applyBorder="1" applyAlignment="1">
      <alignment horizontal="center" vertical="center" wrapText="1"/>
    </xf>
    <xf numFmtId="0" fontId="38" fillId="23" borderId="1" xfId="0" applyFont="1" applyFill="1" applyBorder="1" applyAlignment="1">
      <alignment horizontal="center" vertical="center" wrapText="1"/>
    </xf>
    <xf numFmtId="0" fontId="36" fillId="24" borderId="1" xfId="0" applyFont="1" applyFill="1" applyBorder="1" applyAlignment="1">
      <alignment horizontal="left" vertical="center" wrapText="1"/>
    </xf>
    <xf numFmtId="0" fontId="39" fillId="25" borderId="1" xfId="0" applyFont="1" applyFill="1" applyBorder="1" applyAlignment="1">
      <alignment horizontal="right" vertical="center"/>
    </xf>
    <xf numFmtId="0" fontId="40" fillId="26" borderId="1" xfId="0" applyFont="1" applyFill="1" applyBorder="1" applyAlignment="1">
      <alignment horizontal="right" vertical="center"/>
    </xf>
    <xf numFmtId="0" fontId="41" fillId="27" borderId="1" xfId="0" applyFont="1" applyFill="1" applyBorder="1" applyAlignment="1">
      <alignment horizontal="right" vertical="center"/>
    </xf>
    <xf numFmtId="0" fontId="40" fillId="28" borderId="1" xfId="0" applyFont="1" applyFill="1" applyBorder="1" applyAlignment="1">
      <alignment horizontal="right" vertical="center"/>
    </xf>
    <xf numFmtId="0" fontId="36" fillId="29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left" vertical="center" wrapText="1"/>
    </xf>
    <xf numFmtId="0" fontId="0" fillId="31" borderId="0" xfId="0" applyFill="1"/>
    <xf numFmtId="16" fontId="10" fillId="4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37" fillId="32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168" fontId="0" fillId="0" borderId="0" xfId="0" applyNumberFormat="1"/>
    <xf numFmtId="0" fontId="46" fillId="33" borderId="10" xfId="0" applyFont="1" applyFill="1" applyBorder="1" applyAlignment="1">
      <alignment horizontal="center" vertical="center" wrapText="1"/>
    </xf>
    <xf numFmtId="0" fontId="46" fillId="35" borderId="10" xfId="0" applyFont="1" applyFill="1" applyBorder="1" applyAlignment="1">
      <alignment horizontal="center" vertical="center" wrapText="1"/>
    </xf>
    <xf numFmtId="0" fontId="46" fillId="36" borderId="10" xfId="0" applyFont="1" applyFill="1" applyBorder="1" applyAlignment="1">
      <alignment horizontal="center" vertical="center" wrapText="1"/>
    </xf>
    <xf numFmtId="0" fontId="46" fillId="37" borderId="10" xfId="0" applyFont="1" applyFill="1" applyBorder="1" applyAlignment="1">
      <alignment horizontal="center" vertical="center" wrapText="1"/>
    </xf>
    <xf numFmtId="0" fontId="46" fillId="38" borderId="10" xfId="0" applyFont="1" applyFill="1" applyBorder="1" applyAlignment="1">
      <alignment horizontal="center" vertical="center" wrapText="1"/>
    </xf>
    <xf numFmtId="0" fontId="46" fillId="39" borderId="10" xfId="0" applyFont="1" applyFill="1" applyBorder="1" applyAlignment="1">
      <alignment horizontal="center" vertical="center" wrapText="1"/>
    </xf>
    <xf numFmtId="49" fontId="47" fillId="34" borderId="10" xfId="0" applyNumberFormat="1" applyFont="1" applyFill="1" applyBorder="1" applyAlignment="1">
      <alignment horizontal="center" vertical="center" wrapText="1"/>
    </xf>
    <xf numFmtId="49" fontId="48" fillId="34" borderId="10" xfId="0" applyNumberFormat="1" applyFont="1" applyFill="1" applyBorder="1" applyAlignment="1">
      <alignment horizontal="center" vertical="center" wrapText="1"/>
    </xf>
    <xf numFmtId="3" fontId="48" fillId="40" borderId="10" xfId="0" applyNumberFormat="1" applyFont="1" applyFill="1" applyBorder="1" applyAlignment="1">
      <alignment horizontal="center" vertical="center" wrapText="1"/>
    </xf>
    <xf numFmtId="3" fontId="48" fillId="41" borderId="10" xfId="0" applyNumberFormat="1" applyFont="1" applyFill="1" applyBorder="1" applyAlignment="1">
      <alignment horizontal="center" vertical="center" wrapText="1"/>
    </xf>
    <xf numFmtId="164" fontId="48" fillId="42" borderId="10" xfId="0" applyNumberFormat="1" applyFont="1" applyFill="1" applyBorder="1" applyAlignment="1">
      <alignment horizontal="center" vertical="center" wrapText="1"/>
    </xf>
    <xf numFmtId="3" fontId="48" fillId="43" borderId="10" xfId="0" applyNumberFormat="1" applyFont="1" applyFill="1" applyBorder="1" applyAlignment="1">
      <alignment horizontal="center" vertical="center" wrapText="1"/>
    </xf>
    <xf numFmtId="2" fontId="48" fillId="43" borderId="10" xfId="0" applyNumberFormat="1" applyFont="1" applyFill="1" applyBorder="1" applyAlignment="1">
      <alignment horizontal="center" vertical="center" wrapText="1"/>
    </xf>
    <xf numFmtId="3" fontId="48" fillId="44" borderId="10" xfId="0" applyNumberFormat="1" applyFont="1" applyFill="1" applyBorder="1" applyAlignment="1">
      <alignment horizontal="center" vertical="center" wrapText="1"/>
    </xf>
    <xf numFmtId="3" fontId="48" fillId="42" borderId="10" xfId="0" applyNumberFormat="1" applyFont="1" applyFill="1" applyBorder="1" applyAlignment="1">
      <alignment horizontal="center" vertical="center" wrapText="1"/>
    </xf>
    <xf numFmtId="49" fontId="48" fillId="45" borderId="10" xfId="0" applyNumberFormat="1" applyFont="1" applyFill="1" applyBorder="1" applyAlignment="1">
      <alignment horizontal="left" vertical="center" wrapText="1"/>
    </xf>
    <xf numFmtId="164" fontId="12" fillId="8" borderId="3" xfId="1" applyNumberFormat="1" applyFont="1" applyFill="1" applyBorder="1" applyAlignment="1">
      <alignment horizontal="right" vertical="center"/>
    </xf>
    <xf numFmtId="0" fontId="53" fillId="46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center" vertical="top" wrapText="1"/>
    </xf>
    <xf numFmtId="0" fontId="52" fillId="0" borderId="0" xfId="0" applyFont="1" applyAlignment="1">
      <alignment horizontal="center" vertical="top" wrapText="1"/>
    </xf>
    <xf numFmtId="0" fontId="52" fillId="0" borderId="0" xfId="0" applyFont="1" applyAlignment="1">
      <alignment horizontal="left" vertical="top" wrapText="1"/>
    </xf>
    <xf numFmtId="0" fontId="54" fillId="50" borderId="0" xfId="0" applyFont="1" applyFill="1" applyAlignment="1">
      <alignment horizontal="center" vertical="top" wrapText="1"/>
    </xf>
    <xf numFmtId="0" fontId="54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left" vertical="top" wrapText="1"/>
    </xf>
    <xf numFmtId="0" fontId="54" fillId="52" borderId="0" xfId="0" applyFont="1" applyFill="1" applyAlignment="1">
      <alignment horizontal="center" vertical="top" wrapText="1"/>
    </xf>
    <xf numFmtId="0" fontId="54" fillId="53" borderId="0" xfId="0" applyFont="1" applyFill="1" applyAlignment="1">
      <alignment horizontal="center" vertical="top" wrapText="1"/>
    </xf>
    <xf numFmtId="1" fontId="11" fillId="6" borderId="3" xfId="0" applyNumberFormat="1" applyFont="1" applyFill="1" applyBorder="1" applyAlignment="1">
      <alignment horizontal="right" vertical="center"/>
    </xf>
    <xf numFmtId="1" fontId="6" fillId="3" borderId="3" xfId="0" applyNumberFormat="1" applyFont="1" applyFill="1" applyBorder="1" applyAlignment="1">
      <alignment horizontal="right" vertical="center"/>
    </xf>
    <xf numFmtId="0" fontId="11" fillId="6" borderId="3" xfId="0" applyFont="1" applyFill="1" applyBorder="1" applyAlignment="1">
      <alignment horizontal="right" vertical="center"/>
    </xf>
    <xf numFmtId="0" fontId="55" fillId="0" borderId="0" xfId="0" applyFont="1"/>
    <xf numFmtId="0" fontId="36" fillId="21" borderId="0" xfId="0" applyFont="1" applyFill="1"/>
    <xf numFmtId="0" fontId="5" fillId="9" borderId="2" xfId="0" applyFont="1" applyFill="1" applyBorder="1" applyAlignment="1">
      <alignment horizontal="left" vertical="center"/>
    </xf>
    <xf numFmtId="0" fontId="0" fillId="0" borderId="4" xfId="0" applyBorder="1"/>
    <xf numFmtId="0" fontId="8" fillId="10" borderId="10" xfId="0" applyFont="1" applyFill="1" applyBorder="1"/>
    <xf numFmtId="0" fontId="0" fillId="0" borderId="8" xfId="0" applyBorder="1"/>
    <xf numFmtId="0" fontId="10" fillId="6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11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8" fillId="9" borderId="10" xfId="0" applyFont="1" applyFill="1" applyBorder="1"/>
    <xf numFmtId="0" fontId="2" fillId="9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/>
    </xf>
    <xf numFmtId="0" fontId="50" fillId="46" borderId="0" xfId="0" applyFont="1" applyFill="1" applyAlignment="1">
      <alignment horizontal="center" vertical="center" wrapText="1"/>
    </xf>
    <xf numFmtId="0" fontId="0" fillId="0" borderId="0" xfId="0"/>
    <xf numFmtId="0" fontId="52" fillId="48" borderId="0" xfId="0" applyFont="1" applyFill="1" applyAlignment="1">
      <alignment horizontal="left" vertical="center" wrapText="1"/>
    </xf>
    <xf numFmtId="0" fontId="51" fillId="49" borderId="0" xfId="0" applyFont="1" applyFill="1" applyAlignment="1">
      <alignment horizontal="left" vertical="center"/>
    </xf>
    <xf numFmtId="0" fontId="51" fillId="47" borderId="0" xfId="0" applyFont="1" applyFill="1" applyAlignment="1">
      <alignment horizontal="center" vertical="center" wrapText="1"/>
    </xf>
    <xf numFmtId="0" fontId="15" fillId="8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5" fillId="13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10" fillId="6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5" fillId="34" borderId="0" xfId="0" applyFont="1" applyFill="1" applyAlignment="1">
      <alignment horizontal="center" vertical="center"/>
    </xf>
    <xf numFmtId="0" fontId="44" fillId="33" borderId="0" xfId="0" applyFont="1" applyFill="1" applyAlignment="1">
      <alignment horizontal="center" vertical="center"/>
    </xf>
    <xf numFmtId="0" fontId="32" fillId="9" borderId="2" xfId="0" applyFont="1" applyFill="1" applyBorder="1" applyAlignment="1">
      <alignment horizontal="left" vertical="center" wrapText="1"/>
    </xf>
    <xf numFmtId="0" fontId="32" fillId="11" borderId="2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 wrapText="1"/>
    </xf>
    <xf numFmtId="0" fontId="32" fillId="15" borderId="2" xfId="0" applyFont="1" applyFill="1" applyBorder="1" applyAlignment="1">
      <alignment horizontal="left" vertical="center" wrapText="1"/>
    </xf>
    <xf numFmtId="0" fontId="37" fillId="22" borderId="0" xfId="0" applyFont="1" applyFill="1" applyAlignment="1">
      <alignment horizontal="left" vertical="center" wrapText="1"/>
    </xf>
    <xf numFmtId="0" fontId="35" fillId="6" borderId="0" xfId="0" applyFont="1" applyFill="1" applyAlignment="1">
      <alignment horizontal="left" vertical="center" wrapText="1"/>
    </xf>
    <xf numFmtId="0" fontId="34" fillId="20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workbookViewId="0">
      <pane ySplit="4" topLeftCell="A5" activePane="bottomLeft" state="frozen"/>
      <selection pane="bottomLeft"/>
    </sheetView>
  </sheetViews>
  <sheetFormatPr baseColWidth="10" defaultColWidth="9" defaultRowHeight="14" x14ac:dyDescent="0.2"/>
  <cols>
    <col min="1" max="2" width="9" customWidth="1"/>
    <col min="3" max="3" width="28" customWidth="1"/>
    <col min="4" max="4" width="40" customWidth="1"/>
    <col min="5" max="5" width="52" customWidth="1"/>
    <col min="6" max="6" width="22" customWidth="1"/>
    <col min="7" max="7" width="36" customWidth="1"/>
    <col min="8" max="8" width="28" customWidth="1"/>
  </cols>
  <sheetData>
    <row r="1" spans="1:8" ht="28" customHeight="1" x14ac:dyDescent="0.2">
      <c r="A1" s="160" t="s">
        <v>95</v>
      </c>
      <c r="B1" s="161"/>
      <c r="C1" s="161"/>
      <c r="D1" s="161"/>
      <c r="E1" s="161"/>
      <c r="F1" s="161"/>
      <c r="G1" s="161"/>
      <c r="H1" s="161"/>
    </row>
    <row r="2" spans="1:8" ht="22" customHeight="1" x14ac:dyDescent="0.2">
      <c r="A2" s="164" t="s">
        <v>96</v>
      </c>
      <c r="B2" s="161"/>
      <c r="C2" s="161"/>
      <c r="D2" s="161"/>
      <c r="E2" s="161"/>
      <c r="F2" s="161"/>
      <c r="G2" s="161"/>
      <c r="H2" s="161"/>
    </row>
    <row r="3" spans="1:8" ht="18" customHeight="1" x14ac:dyDescent="0.2">
      <c r="A3" s="162" t="s">
        <v>97</v>
      </c>
      <c r="B3" s="161"/>
      <c r="C3" s="161"/>
      <c r="D3" s="161"/>
      <c r="E3" s="161"/>
      <c r="F3" s="161"/>
      <c r="G3" s="161"/>
      <c r="H3" s="161"/>
    </row>
    <row r="4" spans="1:8" ht="42" customHeight="1" x14ac:dyDescent="0.2">
      <c r="A4" s="133" t="s">
        <v>98</v>
      </c>
      <c r="B4" s="133" t="s">
        <v>99</v>
      </c>
      <c r="C4" s="133" t="s">
        <v>100</v>
      </c>
      <c r="D4" s="133" t="s">
        <v>101</v>
      </c>
      <c r="E4" s="133" t="s">
        <v>102</v>
      </c>
      <c r="F4" s="133" t="s">
        <v>103</v>
      </c>
      <c r="G4" s="133" t="s">
        <v>104</v>
      </c>
      <c r="H4" s="133" t="s">
        <v>105</v>
      </c>
    </row>
    <row r="5" spans="1:8" ht="20" customHeight="1" x14ac:dyDescent="0.2">
      <c r="A5" s="163" t="s">
        <v>106</v>
      </c>
      <c r="B5" s="161"/>
      <c r="C5" s="161"/>
      <c r="D5" s="161"/>
      <c r="E5" s="161"/>
      <c r="F5" s="161"/>
      <c r="G5" s="161"/>
      <c r="H5" s="161"/>
    </row>
    <row r="6" spans="1:8" ht="68" customHeight="1" x14ac:dyDescent="0.2">
      <c r="A6" s="134" t="s">
        <v>107</v>
      </c>
      <c r="B6" s="135" t="s">
        <v>108</v>
      </c>
      <c r="C6" s="136" t="s">
        <v>28</v>
      </c>
      <c r="D6" s="136" t="s">
        <v>109</v>
      </c>
      <c r="E6" s="136" t="s">
        <v>110</v>
      </c>
      <c r="F6" s="137" t="s">
        <v>111</v>
      </c>
      <c r="G6" s="136" t="s">
        <v>112</v>
      </c>
      <c r="H6" s="136" t="s">
        <v>113</v>
      </c>
    </row>
    <row r="7" spans="1:8" ht="68" customHeight="1" x14ac:dyDescent="0.2">
      <c r="A7" s="138" t="s">
        <v>114</v>
      </c>
      <c r="B7" s="139" t="s">
        <v>108</v>
      </c>
      <c r="C7" s="140" t="s">
        <v>30</v>
      </c>
      <c r="D7" s="140" t="s">
        <v>115</v>
      </c>
      <c r="E7" s="140" t="s">
        <v>116</v>
      </c>
      <c r="F7" s="137" t="s">
        <v>117</v>
      </c>
      <c r="G7" s="140" t="s">
        <v>118</v>
      </c>
      <c r="H7" s="140" t="s">
        <v>119</v>
      </c>
    </row>
    <row r="8" spans="1:8" ht="68" customHeight="1" x14ac:dyDescent="0.2">
      <c r="A8" s="134" t="s">
        <v>120</v>
      </c>
      <c r="B8" s="135" t="s">
        <v>108</v>
      </c>
      <c r="C8" s="136" t="s">
        <v>32</v>
      </c>
      <c r="D8" s="136" t="s">
        <v>121</v>
      </c>
      <c r="E8" s="136" t="s">
        <v>122</v>
      </c>
      <c r="F8" s="137" t="s">
        <v>123</v>
      </c>
      <c r="G8" s="136" t="s">
        <v>124</v>
      </c>
      <c r="H8" s="136" t="s">
        <v>125</v>
      </c>
    </row>
    <row r="9" spans="1:8" ht="68" customHeight="1" x14ac:dyDescent="0.2">
      <c r="A9" s="138" t="s">
        <v>126</v>
      </c>
      <c r="B9" s="139" t="s">
        <v>108</v>
      </c>
      <c r="C9" s="140" t="s">
        <v>34</v>
      </c>
      <c r="D9" s="140" t="s">
        <v>127</v>
      </c>
      <c r="E9" s="140" t="s">
        <v>128</v>
      </c>
      <c r="F9" s="141" t="s">
        <v>129</v>
      </c>
      <c r="G9" s="140" t="s">
        <v>130</v>
      </c>
      <c r="H9" s="140" t="s">
        <v>131</v>
      </c>
    </row>
    <row r="10" spans="1:8" ht="68" customHeight="1" x14ac:dyDescent="0.2">
      <c r="A10" s="134" t="s">
        <v>132</v>
      </c>
      <c r="B10" s="135" t="s">
        <v>108</v>
      </c>
      <c r="C10" s="136" t="s">
        <v>36</v>
      </c>
      <c r="D10" s="136" t="s">
        <v>133</v>
      </c>
      <c r="E10" s="136" t="s">
        <v>134</v>
      </c>
      <c r="F10" s="137" t="s">
        <v>135</v>
      </c>
      <c r="G10" s="136" t="s">
        <v>136</v>
      </c>
      <c r="H10" s="136"/>
    </row>
    <row r="11" spans="1:8" ht="20" customHeight="1" x14ac:dyDescent="0.2">
      <c r="A11" s="163" t="s">
        <v>137</v>
      </c>
      <c r="B11" s="161"/>
      <c r="C11" s="161"/>
      <c r="D11" s="161"/>
      <c r="E11" s="161"/>
      <c r="F11" s="161"/>
      <c r="G11" s="161"/>
      <c r="H11" s="161"/>
    </row>
    <row r="12" spans="1:8" ht="68" customHeight="1" x14ac:dyDescent="0.2">
      <c r="A12" s="134" t="s">
        <v>138</v>
      </c>
      <c r="B12" s="135" t="s">
        <v>108</v>
      </c>
      <c r="C12" s="136" t="s">
        <v>41</v>
      </c>
      <c r="D12" s="136" t="s">
        <v>139</v>
      </c>
      <c r="E12" s="136" t="s">
        <v>140</v>
      </c>
      <c r="F12" s="142" t="s">
        <v>141</v>
      </c>
      <c r="G12" s="136" t="s">
        <v>142</v>
      </c>
      <c r="H12" s="136" t="s">
        <v>143</v>
      </c>
    </row>
    <row r="13" spans="1:8" ht="68" customHeight="1" x14ac:dyDescent="0.2">
      <c r="A13" s="138" t="s">
        <v>144</v>
      </c>
      <c r="B13" s="139" t="s">
        <v>108</v>
      </c>
      <c r="C13" s="140" t="s">
        <v>145</v>
      </c>
      <c r="D13" s="140" t="s">
        <v>146</v>
      </c>
      <c r="E13" s="140" t="s">
        <v>147</v>
      </c>
      <c r="F13" s="142" t="s">
        <v>141</v>
      </c>
      <c r="G13" s="140"/>
      <c r="H13" s="140"/>
    </row>
    <row r="14" spans="1:8" ht="68" customHeight="1" x14ac:dyDescent="0.2">
      <c r="A14" s="134" t="s">
        <v>148</v>
      </c>
      <c r="B14" s="135" t="s">
        <v>108</v>
      </c>
      <c r="C14" s="136" t="s">
        <v>149</v>
      </c>
      <c r="D14" s="136" t="s">
        <v>150</v>
      </c>
      <c r="E14" s="136" t="s">
        <v>151</v>
      </c>
      <c r="F14" s="142" t="s">
        <v>141</v>
      </c>
      <c r="G14" s="136" t="s">
        <v>152</v>
      </c>
      <c r="H14" s="136" t="s">
        <v>153</v>
      </c>
    </row>
    <row r="15" spans="1:8" ht="68" customHeight="1" x14ac:dyDescent="0.2">
      <c r="A15" s="138" t="s">
        <v>154</v>
      </c>
      <c r="B15" s="139" t="s">
        <v>108</v>
      </c>
      <c r="C15" s="140" t="s">
        <v>155</v>
      </c>
      <c r="D15" s="140" t="s">
        <v>156</v>
      </c>
      <c r="E15" s="140" t="s">
        <v>157</v>
      </c>
      <c r="F15" s="142" t="s">
        <v>141</v>
      </c>
      <c r="G15" s="140" t="s">
        <v>158</v>
      </c>
      <c r="H15" s="140" t="s">
        <v>159</v>
      </c>
    </row>
    <row r="16" spans="1:8" ht="68" customHeight="1" x14ac:dyDescent="0.2">
      <c r="A16" s="134" t="s">
        <v>160</v>
      </c>
      <c r="B16" s="135" t="s">
        <v>108</v>
      </c>
      <c r="C16" s="136" t="s">
        <v>161</v>
      </c>
      <c r="D16" s="136" t="s">
        <v>162</v>
      </c>
      <c r="E16" s="136" t="s">
        <v>163</v>
      </c>
      <c r="F16" s="142" t="s">
        <v>141</v>
      </c>
      <c r="G16" s="136" t="s">
        <v>164</v>
      </c>
      <c r="H16" s="136" t="s">
        <v>165</v>
      </c>
    </row>
    <row r="17" spans="1:8" ht="68" customHeight="1" x14ac:dyDescent="0.2">
      <c r="A17" s="138" t="s">
        <v>166</v>
      </c>
      <c r="B17" s="139" t="s">
        <v>108</v>
      </c>
      <c r="C17" s="140" t="s">
        <v>167</v>
      </c>
      <c r="D17" s="140" t="s">
        <v>168</v>
      </c>
      <c r="E17" s="140" t="s">
        <v>169</v>
      </c>
      <c r="F17" s="142" t="s">
        <v>141</v>
      </c>
      <c r="G17" s="140" t="s">
        <v>170</v>
      </c>
      <c r="H17" s="140" t="s">
        <v>171</v>
      </c>
    </row>
    <row r="18" spans="1:8" ht="68" customHeight="1" x14ac:dyDescent="0.2">
      <c r="A18" s="134" t="s">
        <v>172</v>
      </c>
      <c r="B18" s="135" t="s">
        <v>108</v>
      </c>
      <c r="C18" s="136" t="s">
        <v>49</v>
      </c>
      <c r="D18" s="136" t="s">
        <v>173</v>
      </c>
      <c r="E18" s="136" t="s">
        <v>174</v>
      </c>
      <c r="F18" s="142" t="s">
        <v>175</v>
      </c>
      <c r="G18" s="136" t="s">
        <v>176</v>
      </c>
      <c r="H18" s="136" t="s">
        <v>177</v>
      </c>
    </row>
    <row r="19" spans="1:8" ht="68" customHeight="1" x14ac:dyDescent="0.2">
      <c r="A19" s="138" t="s">
        <v>178</v>
      </c>
      <c r="B19" s="139" t="s">
        <v>108</v>
      </c>
      <c r="C19" s="140" t="s">
        <v>179</v>
      </c>
      <c r="D19" s="140" t="s">
        <v>180</v>
      </c>
      <c r="E19" s="140" t="s">
        <v>181</v>
      </c>
      <c r="F19" s="142" t="s">
        <v>141</v>
      </c>
      <c r="G19" s="140" t="s">
        <v>182</v>
      </c>
      <c r="H19" s="140" t="s">
        <v>183</v>
      </c>
    </row>
    <row r="20" spans="1:8" ht="68" customHeight="1" x14ac:dyDescent="0.2">
      <c r="A20" s="134" t="s">
        <v>184</v>
      </c>
      <c r="B20" s="135" t="s">
        <v>108</v>
      </c>
      <c r="C20" s="136" t="s">
        <v>185</v>
      </c>
      <c r="D20" s="136" t="s">
        <v>186</v>
      </c>
      <c r="E20" s="136" t="s">
        <v>187</v>
      </c>
      <c r="F20" s="142" t="s">
        <v>141</v>
      </c>
      <c r="G20" s="136" t="s">
        <v>188</v>
      </c>
      <c r="H20" s="136" t="s">
        <v>189</v>
      </c>
    </row>
    <row r="21" spans="1:8" ht="68" customHeight="1" x14ac:dyDescent="0.2">
      <c r="A21" s="138" t="s">
        <v>190</v>
      </c>
      <c r="B21" s="139" t="s">
        <v>108</v>
      </c>
      <c r="C21" s="140" t="s">
        <v>191</v>
      </c>
      <c r="D21" s="140" t="s">
        <v>192</v>
      </c>
      <c r="E21" s="140" t="s">
        <v>193</v>
      </c>
      <c r="F21" s="142" t="s">
        <v>141</v>
      </c>
      <c r="G21" s="140" t="s">
        <v>194</v>
      </c>
      <c r="H21" s="140" t="s">
        <v>195</v>
      </c>
    </row>
    <row r="22" spans="1:8" ht="68" customHeight="1" x14ac:dyDescent="0.2">
      <c r="A22" s="134" t="s">
        <v>196</v>
      </c>
      <c r="B22" s="135" t="s">
        <v>108</v>
      </c>
      <c r="C22" s="136" t="s">
        <v>55</v>
      </c>
      <c r="D22" s="136" t="s">
        <v>197</v>
      </c>
      <c r="E22" s="136" t="s">
        <v>198</v>
      </c>
      <c r="F22" s="142" t="s">
        <v>141</v>
      </c>
      <c r="G22" s="136" t="s">
        <v>199</v>
      </c>
      <c r="H22" s="136"/>
    </row>
    <row r="23" spans="1:8" ht="68" customHeight="1" x14ac:dyDescent="0.2">
      <c r="A23" s="138" t="s">
        <v>200</v>
      </c>
      <c r="B23" s="139" t="s">
        <v>108</v>
      </c>
      <c r="C23" s="140" t="s">
        <v>201</v>
      </c>
      <c r="D23" s="140" t="s">
        <v>202</v>
      </c>
      <c r="E23" s="140" t="s">
        <v>203</v>
      </c>
      <c r="F23" s="142" t="s">
        <v>204</v>
      </c>
      <c r="G23" s="140" t="s">
        <v>205</v>
      </c>
      <c r="H23" s="140" t="s">
        <v>206</v>
      </c>
    </row>
    <row r="24" spans="1:8" ht="20" customHeight="1" x14ac:dyDescent="0.2">
      <c r="A24" s="163" t="s">
        <v>207</v>
      </c>
      <c r="B24" s="161"/>
      <c r="C24" s="161"/>
      <c r="D24" s="161"/>
      <c r="E24" s="161"/>
      <c r="F24" s="161"/>
      <c r="G24" s="161"/>
      <c r="H24" s="161"/>
    </row>
    <row r="25" spans="1:8" ht="68" customHeight="1" x14ac:dyDescent="0.2">
      <c r="A25" s="134" t="s">
        <v>208</v>
      </c>
      <c r="B25" s="135" t="s">
        <v>209</v>
      </c>
      <c r="C25" s="136" t="s">
        <v>210</v>
      </c>
      <c r="D25" s="136" t="s">
        <v>211</v>
      </c>
      <c r="E25" s="136" t="s">
        <v>212</v>
      </c>
      <c r="F25" s="137" t="s">
        <v>117</v>
      </c>
      <c r="G25" s="136" t="s">
        <v>213</v>
      </c>
      <c r="H25" s="136" t="s">
        <v>214</v>
      </c>
    </row>
    <row r="26" spans="1:8" ht="68" customHeight="1" x14ac:dyDescent="0.2">
      <c r="A26" s="138" t="s">
        <v>215</v>
      </c>
      <c r="B26" s="139" t="s">
        <v>209</v>
      </c>
      <c r="C26" s="140" t="s">
        <v>216</v>
      </c>
      <c r="D26" s="140" t="s">
        <v>217</v>
      </c>
      <c r="E26" s="140" t="s">
        <v>218</v>
      </c>
      <c r="F26" s="137" t="s">
        <v>219</v>
      </c>
      <c r="G26" s="140" t="s">
        <v>220</v>
      </c>
      <c r="H26" s="140"/>
    </row>
    <row r="27" spans="1:8" ht="68" customHeight="1" x14ac:dyDescent="0.2">
      <c r="A27" s="134" t="s">
        <v>221</v>
      </c>
      <c r="B27" s="135" t="s">
        <v>209</v>
      </c>
      <c r="C27" s="136" t="s">
        <v>222</v>
      </c>
      <c r="D27" s="136" t="s">
        <v>223</v>
      </c>
      <c r="E27" s="136" t="s">
        <v>224</v>
      </c>
      <c r="F27" s="137" t="s">
        <v>219</v>
      </c>
      <c r="G27" s="136"/>
      <c r="H27" s="136"/>
    </row>
    <row r="28" spans="1:8" ht="68" customHeight="1" x14ac:dyDescent="0.2">
      <c r="A28" s="138" t="s">
        <v>225</v>
      </c>
      <c r="B28" s="139" t="s">
        <v>209</v>
      </c>
      <c r="C28" s="140" t="s">
        <v>226</v>
      </c>
      <c r="D28" s="140" t="s">
        <v>227</v>
      </c>
      <c r="E28" s="140" t="s">
        <v>228</v>
      </c>
      <c r="F28" s="137" t="s">
        <v>219</v>
      </c>
      <c r="G28" s="140"/>
      <c r="H28" s="140"/>
    </row>
    <row r="29" spans="1:8" ht="68" customHeight="1" x14ac:dyDescent="0.2">
      <c r="A29" s="134" t="s">
        <v>229</v>
      </c>
      <c r="B29" s="135" t="s">
        <v>209</v>
      </c>
      <c r="C29" s="136" t="s">
        <v>65</v>
      </c>
      <c r="D29" s="136" t="s">
        <v>230</v>
      </c>
      <c r="E29" s="136" t="s">
        <v>231</v>
      </c>
      <c r="F29" s="137" t="s">
        <v>219</v>
      </c>
      <c r="G29" s="136" t="s">
        <v>232</v>
      </c>
      <c r="H29" s="136"/>
    </row>
    <row r="30" spans="1:8" ht="68" customHeight="1" x14ac:dyDescent="0.2">
      <c r="A30" s="138" t="s">
        <v>233</v>
      </c>
      <c r="B30" s="139" t="s">
        <v>209</v>
      </c>
      <c r="C30" s="140" t="s">
        <v>66</v>
      </c>
      <c r="D30" s="140" t="s">
        <v>234</v>
      </c>
      <c r="E30" s="140" t="s">
        <v>235</v>
      </c>
      <c r="F30" s="137" t="s">
        <v>123</v>
      </c>
      <c r="G30" s="140" t="s">
        <v>236</v>
      </c>
      <c r="H30" s="140"/>
    </row>
    <row r="31" spans="1:8" ht="20" customHeight="1" x14ac:dyDescent="0.2">
      <c r="A31" s="163" t="s">
        <v>237</v>
      </c>
      <c r="B31" s="161"/>
      <c r="C31" s="161"/>
      <c r="D31" s="161"/>
      <c r="E31" s="161"/>
      <c r="F31" s="161"/>
      <c r="G31" s="161"/>
      <c r="H31" s="161"/>
    </row>
    <row r="32" spans="1:8" ht="68" customHeight="1" x14ac:dyDescent="0.2">
      <c r="A32" s="134" t="s">
        <v>238</v>
      </c>
      <c r="B32" s="135" t="s">
        <v>209</v>
      </c>
      <c r="C32" s="136" t="s">
        <v>67</v>
      </c>
      <c r="D32" s="136" t="s">
        <v>239</v>
      </c>
      <c r="E32" s="136" t="s">
        <v>240</v>
      </c>
      <c r="F32" s="142" t="s">
        <v>141</v>
      </c>
      <c r="G32" s="136" t="s">
        <v>241</v>
      </c>
      <c r="H32" s="136" t="s">
        <v>242</v>
      </c>
    </row>
    <row r="33" spans="1:8" ht="68" customHeight="1" x14ac:dyDescent="0.2">
      <c r="A33" s="138" t="s">
        <v>243</v>
      </c>
      <c r="B33" s="139" t="s">
        <v>209</v>
      </c>
      <c r="C33" s="140" t="s">
        <v>244</v>
      </c>
      <c r="D33" s="140" t="s">
        <v>245</v>
      </c>
      <c r="E33" s="140" t="s">
        <v>246</v>
      </c>
      <c r="F33" s="142" t="s">
        <v>141</v>
      </c>
      <c r="G33" s="140"/>
      <c r="H33" s="140"/>
    </row>
    <row r="34" spans="1:8" ht="68" customHeight="1" x14ac:dyDescent="0.2">
      <c r="A34" s="134" t="s">
        <v>247</v>
      </c>
      <c r="B34" s="135" t="s">
        <v>209</v>
      </c>
      <c r="C34" s="136" t="s">
        <v>248</v>
      </c>
      <c r="D34" s="136" t="s">
        <v>249</v>
      </c>
      <c r="E34" s="136" t="s">
        <v>250</v>
      </c>
      <c r="F34" s="142" t="s">
        <v>141</v>
      </c>
      <c r="G34" s="136" t="s">
        <v>251</v>
      </c>
      <c r="H34" s="136" t="s">
        <v>252</v>
      </c>
    </row>
    <row r="35" spans="1:8" ht="68" customHeight="1" x14ac:dyDescent="0.2">
      <c r="A35" s="138" t="s">
        <v>253</v>
      </c>
      <c r="B35" s="139" t="s">
        <v>209</v>
      </c>
      <c r="C35" s="140" t="s">
        <v>254</v>
      </c>
      <c r="D35" s="140" t="s">
        <v>255</v>
      </c>
      <c r="E35" s="140" t="s">
        <v>256</v>
      </c>
      <c r="F35" s="142" t="s">
        <v>141</v>
      </c>
      <c r="G35" s="140"/>
      <c r="H35" s="140" t="s">
        <v>257</v>
      </c>
    </row>
    <row r="36" spans="1:8" ht="68" customHeight="1" x14ac:dyDescent="0.2">
      <c r="A36" s="134" t="s">
        <v>258</v>
      </c>
      <c r="B36" s="135" t="s">
        <v>209</v>
      </c>
      <c r="C36" s="136" t="s">
        <v>259</v>
      </c>
      <c r="D36" s="136" t="s">
        <v>260</v>
      </c>
      <c r="E36" s="136" t="s">
        <v>261</v>
      </c>
      <c r="F36" s="142" t="s">
        <v>141</v>
      </c>
      <c r="G36" s="136"/>
      <c r="H36" s="136" t="s">
        <v>262</v>
      </c>
    </row>
    <row r="37" spans="1:8" ht="68" customHeight="1" x14ac:dyDescent="0.2">
      <c r="A37" s="138" t="s">
        <v>263</v>
      </c>
      <c r="B37" s="139" t="s">
        <v>209</v>
      </c>
      <c r="C37" s="140" t="s">
        <v>264</v>
      </c>
      <c r="D37" s="140" t="s">
        <v>265</v>
      </c>
      <c r="E37" s="140" t="s">
        <v>266</v>
      </c>
      <c r="F37" s="142" t="s">
        <v>141</v>
      </c>
      <c r="G37" s="140"/>
      <c r="H37" s="140" t="s">
        <v>267</v>
      </c>
    </row>
    <row r="38" spans="1:8" ht="68" customHeight="1" x14ac:dyDescent="0.2">
      <c r="A38" s="134" t="s">
        <v>268</v>
      </c>
      <c r="B38" s="135" t="s">
        <v>209</v>
      </c>
      <c r="C38" s="136" t="s">
        <v>71</v>
      </c>
      <c r="D38" s="136" t="s">
        <v>269</v>
      </c>
      <c r="E38" s="136" t="s">
        <v>270</v>
      </c>
      <c r="F38" s="142" t="s">
        <v>271</v>
      </c>
      <c r="G38" s="136"/>
      <c r="H38" s="136" t="s">
        <v>272</v>
      </c>
    </row>
    <row r="39" spans="1:8" ht="68" customHeight="1" x14ac:dyDescent="0.2">
      <c r="A39" s="138" t="s">
        <v>273</v>
      </c>
      <c r="B39" s="139" t="s">
        <v>209</v>
      </c>
      <c r="C39" s="140" t="s">
        <v>274</v>
      </c>
      <c r="D39" s="140" t="s">
        <v>275</v>
      </c>
      <c r="E39" s="140" t="s">
        <v>276</v>
      </c>
      <c r="F39" s="142" t="s">
        <v>141</v>
      </c>
      <c r="G39" s="140"/>
      <c r="H39" s="140"/>
    </row>
    <row r="40" spans="1:8" ht="68" customHeight="1" x14ac:dyDescent="0.2">
      <c r="A40" s="134" t="s">
        <v>277</v>
      </c>
      <c r="B40" s="135" t="s">
        <v>209</v>
      </c>
      <c r="C40" s="136" t="s">
        <v>278</v>
      </c>
      <c r="D40" s="136" t="s">
        <v>279</v>
      </c>
      <c r="E40" s="136" t="s">
        <v>280</v>
      </c>
      <c r="F40" s="142" t="s">
        <v>141</v>
      </c>
      <c r="G40" s="136"/>
      <c r="H40" s="136"/>
    </row>
    <row r="41" spans="1:8" ht="68" customHeight="1" x14ac:dyDescent="0.2">
      <c r="A41" s="138" t="s">
        <v>281</v>
      </c>
      <c r="B41" s="139" t="s">
        <v>209</v>
      </c>
      <c r="C41" s="140" t="s">
        <v>282</v>
      </c>
      <c r="D41" s="140" t="s">
        <v>283</v>
      </c>
      <c r="E41" s="140" t="s">
        <v>284</v>
      </c>
      <c r="F41" s="142" t="s">
        <v>141</v>
      </c>
      <c r="G41" s="140"/>
      <c r="H41" s="140"/>
    </row>
    <row r="42" spans="1:8" ht="68" customHeight="1" x14ac:dyDescent="0.2">
      <c r="A42" s="134" t="s">
        <v>285</v>
      </c>
      <c r="B42" s="135" t="s">
        <v>209</v>
      </c>
      <c r="C42" s="136" t="s">
        <v>72</v>
      </c>
      <c r="D42" s="136" t="s">
        <v>286</v>
      </c>
      <c r="E42" s="136" t="s">
        <v>287</v>
      </c>
      <c r="F42" s="142" t="s">
        <v>141</v>
      </c>
      <c r="G42" s="136"/>
      <c r="H42" s="136"/>
    </row>
    <row r="43" spans="1:8" ht="68" customHeight="1" x14ac:dyDescent="0.2">
      <c r="A43" s="138" t="s">
        <v>288</v>
      </c>
      <c r="B43" s="139" t="s">
        <v>209</v>
      </c>
      <c r="C43" s="140" t="s">
        <v>289</v>
      </c>
      <c r="D43" s="140" t="s">
        <v>290</v>
      </c>
      <c r="E43" s="140" t="s">
        <v>291</v>
      </c>
      <c r="F43" s="142" t="s">
        <v>204</v>
      </c>
      <c r="G43" s="140"/>
      <c r="H43" s="140" t="s">
        <v>292</v>
      </c>
    </row>
    <row r="44" spans="1:8" ht="20" customHeight="1" x14ac:dyDescent="0.2">
      <c r="A44" s="163" t="s">
        <v>293</v>
      </c>
      <c r="B44" s="161"/>
      <c r="C44" s="161"/>
      <c r="D44" s="161"/>
      <c r="E44" s="161"/>
      <c r="F44" s="161"/>
      <c r="G44" s="161"/>
      <c r="H44" s="161"/>
    </row>
    <row r="45" spans="1:8" ht="68" customHeight="1" x14ac:dyDescent="0.2">
      <c r="A45" s="134" t="s">
        <v>294</v>
      </c>
      <c r="B45" s="135" t="s">
        <v>295</v>
      </c>
      <c r="C45" s="136" t="s">
        <v>296</v>
      </c>
      <c r="D45" s="136" t="s">
        <v>297</v>
      </c>
      <c r="E45" s="136" t="s">
        <v>298</v>
      </c>
      <c r="F45" s="137" t="s">
        <v>219</v>
      </c>
      <c r="G45" s="136" t="s">
        <v>299</v>
      </c>
      <c r="H45" s="136" t="s">
        <v>300</v>
      </c>
    </row>
    <row r="46" spans="1:8" ht="68" customHeight="1" x14ac:dyDescent="0.2">
      <c r="A46" s="138" t="s">
        <v>301</v>
      </c>
      <c r="B46" s="139" t="s">
        <v>295</v>
      </c>
      <c r="C46" s="140" t="s">
        <v>302</v>
      </c>
      <c r="D46" s="140" t="s">
        <v>303</v>
      </c>
      <c r="E46" s="140" t="s">
        <v>304</v>
      </c>
      <c r="F46" s="137" t="s">
        <v>123</v>
      </c>
      <c r="G46" s="140" t="s">
        <v>305</v>
      </c>
      <c r="H46" s="140" t="s">
        <v>306</v>
      </c>
    </row>
    <row r="47" spans="1:8" ht="68" customHeight="1" x14ac:dyDescent="0.2">
      <c r="A47" s="134" t="s">
        <v>307</v>
      </c>
      <c r="B47" s="135" t="s">
        <v>295</v>
      </c>
      <c r="C47" s="136" t="s">
        <v>308</v>
      </c>
      <c r="D47" s="136" t="s">
        <v>309</v>
      </c>
      <c r="E47" s="136" t="s">
        <v>310</v>
      </c>
      <c r="F47" s="137" t="s">
        <v>123</v>
      </c>
      <c r="G47" s="136" t="s">
        <v>311</v>
      </c>
      <c r="H47" s="136" t="s">
        <v>312</v>
      </c>
    </row>
    <row r="48" spans="1:8" ht="68" customHeight="1" x14ac:dyDescent="0.2">
      <c r="A48" s="138" t="s">
        <v>313</v>
      </c>
      <c r="B48" s="139" t="s">
        <v>295</v>
      </c>
      <c r="C48" s="140" t="s">
        <v>314</v>
      </c>
      <c r="D48" s="140" t="s">
        <v>315</v>
      </c>
      <c r="E48" s="140" t="s">
        <v>316</v>
      </c>
      <c r="F48" s="142" t="s">
        <v>141</v>
      </c>
      <c r="G48" s="140" t="s">
        <v>317</v>
      </c>
      <c r="H48" s="140"/>
    </row>
    <row r="49" spans="1:8" ht="68" customHeight="1" x14ac:dyDescent="0.2">
      <c r="A49" s="134" t="s">
        <v>318</v>
      </c>
      <c r="B49" s="135" t="s">
        <v>295</v>
      </c>
      <c r="C49" s="136" t="s">
        <v>319</v>
      </c>
      <c r="D49" s="136" t="s">
        <v>320</v>
      </c>
      <c r="E49" s="136" t="s">
        <v>321</v>
      </c>
      <c r="F49" s="142" t="s">
        <v>322</v>
      </c>
      <c r="G49" s="136" t="s">
        <v>323</v>
      </c>
      <c r="H49" s="136" t="s">
        <v>324</v>
      </c>
    </row>
    <row r="50" spans="1:8" ht="68" customHeight="1" x14ac:dyDescent="0.2">
      <c r="A50" s="138" t="s">
        <v>325</v>
      </c>
      <c r="B50" s="139" t="s">
        <v>295</v>
      </c>
      <c r="C50" s="140" t="s">
        <v>326</v>
      </c>
      <c r="D50" s="140" t="s">
        <v>327</v>
      </c>
      <c r="E50" s="140" t="s">
        <v>328</v>
      </c>
      <c r="F50" s="142" t="s">
        <v>141</v>
      </c>
      <c r="G50" s="140" t="s">
        <v>329</v>
      </c>
      <c r="H50" s="140" t="s">
        <v>330</v>
      </c>
    </row>
    <row r="51" spans="1:8" ht="20" customHeight="1" x14ac:dyDescent="0.2">
      <c r="A51" s="163" t="s">
        <v>331</v>
      </c>
      <c r="B51" s="161"/>
      <c r="C51" s="161"/>
      <c r="D51" s="161"/>
      <c r="E51" s="161"/>
      <c r="F51" s="161"/>
      <c r="G51" s="161"/>
      <c r="H51" s="161"/>
    </row>
    <row r="52" spans="1:8" ht="68" customHeight="1" x14ac:dyDescent="0.2">
      <c r="A52" s="134" t="s">
        <v>332</v>
      </c>
      <c r="B52" s="135" t="s">
        <v>295</v>
      </c>
      <c r="C52" s="136" t="s">
        <v>333</v>
      </c>
      <c r="D52" s="136" t="s">
        <v>334</v>
      </c>
      <c r="E52" s="136" t="s">
        <v>335</v>
      </c>
      <c r="F52" s="142" t="s">
        <v>336</v>
      </c>
      <c r="G52" s="136" t="s">
        <v>337</v>
      </c>
      <c r="H52" s="136" t="s">
        <v>338</v>
      </c>
    </row>
    <row r="53" spans="1:8" ht="68" customHeight="1" x14ac:dyDescent="0.2">
      <c r="A53" s="138" t="s">
        <v>339</v>
      </c>
      <c r="B53" s="139" t="s">
        <v>108</v>
      </c>
      <c r="C53" s="140" t="s">
        <v>340</v>
      </c>
      <c r="D53" s="140" t="s">
        <v>341</v>
      </c>
      <c r="E53" s="140" t="s">
        <v>342</v>
      </c>
      <c r="F53" s="142" t="s">
        <v>343</v>
      </c>
      <c r="G53" s="140" t="s">
        <v>344</v>
      </c>
      <c r="H53" s="140" t="s">
        <v>345</v>
      </c>
    </row>
    <row r="54" spans="1:8" ht="68" customHeight="1" x14ac:dyDescent="0.2">
      <c r="A54" s="134" t="s">
        <v>346</v>
      </c>
      <c r="B54" s="135" t="s">
        <v>209</v>
      </c>
      <c r="C54" s="136" t="s">
        <v>347</v>
      </c>
      <c r="D54" s="136" t="s">
        <v>348</v>
      </c>
      <c r="E54" s="136" t="s">
        <v>349</v>
      </c>
      <c r="F54" s="142" t="s">
        <v>350</v>
      </c>
      <c r="G54" s="136" t="s">
        <v>351</v>
      </c>
      <c r="H54" s="136" t="s">
        <v>352</v>
      </c>
    </row>
    <row r="55" spans="1:8" ht="68" customHeight="1" x14ac:dyDescent="0.2">
      <c r="A55" s="138" t="s">
        <v>353</v>
      </c>
      <c r="B55" s="139" t="s">
        <v>108</v>
      </c>
      <c r="C55" s="140" t="s">
        <v>354</v>
      </c>
      <c r="D55" s="140" t="s">
        <v>355</v>
      </c>
      <c r="E55" s="140" t="s">
        <v>356</v>
      </c>
      <c r="F55" s="142" t="s">
        <v>204</v>
      </c>
      <c r="G55" s="140" t="s">
        <v>357</v>
      </c>
      <c r="H55" s="140" t="s">
        <v>358</v>
      </c>
    </row>
    <row r="56" spans="1:8" ht="68" customHeight="1" x14ac:dyDescent="0.2">
      <c r="A56" s="134" t="s">
        <v>359</v>
      </c>
      <c r="B56" s="135" t="s">
        <v>209</v>
      </c>
      <c r="C56" s="136" t="s">
        <v>360</v>
      </c>
      <c r="D56" s="136" t="s">
        <v>361</v>
      </c>
      <c r="E56" s="136" t="s">
        <v>362</v>
      </c>
      <c r="F56" s="142" t="s">
        <v>204</v>
      </c>
      <c r="G56" s="136"/>
      <c r="H56" s="136" t="s">
        <v>363</v>
      </c>
    </row>
    <row r="57" spans="1:8" ht="68" customHeight="1" x14ac:dyDescent="0.2">
      <c r="A57" s="138" t="s">
        <v>364</v>
      </c>
      <c r="B57" s="139" t="s">
        <v>108</v>
      </c>
      <c r="C57" s="140" t="s">
        <v>365</v>
      </c>
      <c r="D57" s="140" t="s">
        <v>366</v>
      </c>
      <c r="E57" s="140"/>
      <c r="F57" s="142" t="s">
        <v>367</v>
      </c>
      <c r="G57" s="140"/>
      <c r="H57" s="140" t="s">
        <v>206</v>
      </c>
    </row>
    <row r="58" spans="1:8" ht="68" customHeight="1" x14ac:dyDescent="0.2">
      <c r="A58" s="134" t="s">
        <v>368</v>
      </c>
      <c r="B58" s="135" t="s">
        <v>209</v>
      </c>
      <c r="C58" s="136" t="s">
        <v>369</v>
      </c>
      <c r="D58" s="136" t="s">
        <v>370</v>
      </c>
      <c r="E58" s="136"/>
      <c r="F58" s="142" t="s">
        <v>371</v>
      </c>
      <c r="G58" s="136"/>
      <c r="H58" s="136" t="s">
        <v>292</v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zoomScale="140" zoomScaleNormal="140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W64" sqref="W64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58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</row>
    <row r="2" spans="1:24" ht="21.75" customHeight="1" x14ac:dyDescent="0.2">
      <c r="A2" s="155" t="s">
        <v>1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</row>
    <row r="3" spans="1:24" ht="28.5" customHeight="1" x14ac:dyDescent="0.2">
      <c r="A3" s="1" t="s">
        <v>2</v>
      </c>
      <c r="B3" s="1" t="s">
        <v>3</v>
      </c>
      <c r="C3" s="1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22</v>
      </c>
      <c r="V3" s="3" t="s">
        <v>23</v>
      </c>
      <c r="W3" s="3" t="s">
        <v>24</v>
      </c>
      <c r="X3" s="3" t="s">
        <v>25</v>
      </c>
    </row>
    <row r="4" spans="1:24" ht="25.5" customHeight="1" x14ac:dyDescent="0.2">
      <c r="A4" s="153" t="s">
        <v>26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</row>
    <row r="5" spans="1:24" ht="18.75" customHeight="1" x14ac:dyDescent="0.2">
      <c r="A5" s="159" t="s">
        <v>27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</row>
    <row r="6" spans="1:24" ht="21.75" customHeight="1" x14ac:dyDescent="0.2">
      <c r="A6" s="4"/>
      <c r="B6" s="5" t="s">
        <v>28</v>
      </c>
      <c r="C6" s="6" t="s">
        <v>29</v>
      </c>
      <c r="D6" s="7">
        <v>2066121100</v>
      </c>
      <c r="E6" s="7">
        <v>1188989400</v>
      </c>
      <c r="F6" s="7">
        <v>1312859900</v>
      </c>
      <c r="G6" s="7">
        <v>1143461000</v>
      </c>
      <c r="H6" s="7">
        <v>1120777110</v>
      </c>
      <c r="I6" s="7">
        <v>1013822914</v>
      </c>
      <c r="J6" s="7">
        <v>1065005481</v>
      </c>
      <c r="K6" s="7">
        <v>1150227039</v>
      </c>
      <c r="L6" s="7">
        <v>919076055</v>
      </c>
      <c r="M6" s="7">
        <v>1107796009</v>
      </c>
      <c r="N6" s="7">
        <v>1428219997</v>
      </c>
      <c r="O6" s="7">
        <v>1515344239</v>
      </c>
      <c r="P6" s="7">
        <v>1734857213</v>
      </c>
      <c r="Q6" s="7">
        <v>1395864733</v>
      </c>
      <c r="R6" s="7">
        <v>1253152295</v>
      </c>
      <c r="S6" s="7">
        <v>1160967589</v>
      </c>
      <c r="T6" s="7">
        <v>1109391851</v>
      </c>
      <c r="U6" s="8">
        <v>1088741202</v>
      </c>
      <c r="V6" s="8">
        <v>1192707123</v>
      </c>
      <c r="W6" s="8">
        <v>844709980</v>
      </c>
      <c r="X6" s="8">
        <f>IFERROR(SUM('📅 DAILY T9'!C$6:C$35),0)</f>
        <v>0</v>
      </c>
    </row>
    <row r="7" spans="1:24" ht="21.75" customHeight="1" x14ac:dyDescent="0.2">
      <c r="A7" s="4"/>
      <c r="B7" s="9" t="s">
        <v>30</v>
      </c>
      <c r="C7" s="10" t="s">
        <v>31</v>
      </c>
      <c r="D7" s="7">
        <v>3886</v>
      </c>
      <c r="E7" s="7">
        <v>2167</v>
      </c>
      <c r="F7" s="7">
        <v>2462</v>
      </c>
      <c r="G7" s="7">
        <v>2234</v>
      </c>
      <c r="H7" s="7">
        <v>2267</v>
      </c>
      <c r="I7" s="7">
        <v>2033</v>
      </c>
      <c r="J7" s="7">
        <v>2189</v>
      </c>
      <c r="K7" s="7">
        <v>2433</v>
      </c>
      <c r="L7" s="7">
        <v>2025</v>
      </c>
      <c r="M7" s="7">
        <v>2627</v>
      </c>
      <c r="N7" s="7">
        <v>3365</v>
      </c>
      <c r="O7" s="7">
        <v>3425</v>
      </c>
      <c r="P7" s="7">
        <v>3897</v>
      </c>
      <c r="Q7" s="7">
        <v>3036</v>
      </c>
      <c r="R7" s="7">
        <v>2810</v>
      </c>
      <c r="S7" s="7">
        <v>2589</v>
      </c>
      <c r="T7" s="7">
        <v>2511</v>
      </c>
      <c r="U7" s="8">
        <v>2471</v>
      </c>
      <c r="V7" s="8">
        <v>2823</v>
      </c>
      <c r="W7" s="8">
        <v>1956</v>
      </c>
      <c r="X7" s="8">
        <f>IFERROR(SUM('📅 DAILY T9'!D$6:D$35),0)</f>
        <v>0</v>
      </c>
    </row>
    <row r="8" spans="1:24" ht="21.75" customHeight="1" x14ac:dyDescent="0.2">
      <c r="A8" s="4"/>
      <c r="B8" s="5" t="s">
        <v>32</v>
      </c>
      <c r="C8" s="6" t="s">
        <v>33</v>
      </c>
      <c r="D8" s="7">
        <v>531683</v>
      </c>
      <c r="E8" s="7">
        <v>548680</v>
      </c>
      <c r="F8" s="7">
        <v>533249</v>
      </c>
      <c r="G8" s="7">
        <v>511845</v>
      </c>
      <c r="H8" s="7">
        <v>494388</v>
      </c>
      <c r="I8" s="7">
        <v>498683</v>
      </c>
      <c r="J8" s="7">
        <v>486526</v>
      </c>
      <c r="K8" s="7">
        <v>472761</v>
      </c>
      <c r="L8" s="7">
        <v>453865</v>
      </c>
      <c r="M8" s="7">
        <v>421696</v>
      </c>
      <c r="N8" s="7">
        <v>424434</v>
      </c>
      <c r="O8" s="7">
        <v>442436</v>
      </c>
      <c r="P8" s="7">
        <v>445178</v>
      </c>
      <c r="Q8" s="7">
        <v>459771</v>
      </c>
      <c r="R8" s="7">
        <v>445962</v>
      </c>
      <c r="S8" s="7">
        <v>448423</v>
      </c>
      <c r="T8" s="7">
        <v>441813</v>
      </c>
      <c r="U8" s="8">
        <v>440607</v>
      </c>
      <c r="V8" s="8">
        <v>422496</v>
      </c>
      <c r="W8" s="8">
        <v>431855</v>
      </c>
      <c r="X8" s="8" t="str">
        <f>IFERROR(SUM('📅 DAILY T9'!C$6:C$35)/SUM('📅 DAILY T9'!D$6:D$35),"")</f>
        <v/>
      </c>
    </row>
    <row r="9" spans="1:24" ht="21.75" customHeight="1" x14ac:dyDescent="0.2">
      <c r="A9" s="4"/>
      <c r="B9" s="9" t="s">
        <v>34</v>
      </c>
      <c r="C9" s="10" t="s">
        <v>35</v>
      </c>
      <c r="D9" s="7">
        <v>9627</v>
      </c>
      <c r="E9" s="7">
        <v>6309</v>
      </c>
      <c r="F9" s="7">
        <v>6503</v>
      </c>
      <c r="G9" s="7">
        <v>6784</v>
      </c>
      <c r="H9" s="7">
        <v>6098</v>
      </c>
      <c r="I9" s="7">
        <v>5749</v>
      </c>
      <c r="J9" s="7">
        <v>6827</v>
      </c>
      <c r="K9" s="7">
        <v>6173</v>
      </c>
      <c r="L9" s="7">
        <v>5668</v>
      </c>
      <c r="M9" s="7">
        <v>6361</v>
      </c>
      <c r="N9" s="7">
        <v>6898</v>
      </c>
      <c r="O9" s="7">
        <v>7275</v>
      </c>
      <c r="P9" s="7">
        <v>9054</v>
      </c>
      <c r="Q9" s="7">
        <v>7364</v>
      </c>
      <c r="R9" s="7">
        <v>5790</v>
      </c>
      <c r="S9" s="7">
        <v>4999</v>
      </c>
      <c r="T9" s="7">
        <v>5231</v>
      </c>
      <c r="U9" s="11">
        <v>5789</v>
      </c>
      <c r="V9" s="11">
        <v>5129</v>
      </c>
      <c r="W9" s="11">
        <v>3792</v>
      </c>
      <c r="X9" s="11"/>
    </row>
    <row r="10" spans="1:24" ht="21.75" customHeight="1" x14ac:dyDescent="0.2">
      <c r="A10" s="4"/>
      <c r="B10" s="5"/>
      <c r="C10" s="6" t="s">
        <v>29</v>
      </c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11"/>
      <c r="V10" s="11"/>
      <c r="W10" s="11"/>
      <c r="X10" s="11"/>
    </row>
    <row r="11" spans="1:24" ht="21.75" customHeight="1" x14ac:dyDescent="0.2">
      <c r="A11" s="4"/>
      <c r="B11" s="9" t="s">
        <v>36</v>
      </c>
      <c r="C11" s="10" t="s">
        <v>37</v>
      </c>
      <c r="D11" s="12">
        <f t="shared" ref="D11:W11" si="0">D7/D9</f>
        <v>0.40365638308922819</v>
      </c>
      <c r="E11" s="12">
        <f t="shared" si="0"/>
        <v>0.34347757172293547</v>
      </c>
      <c r="F11" s="12">
        <f t="shared" si="0"/>
        <v>0.37859449484853147</v>
      </c>
      <c r="G11" s="12">
        <f t="shared" si="0"/>
        <v>0.32930424528301888</v>
      </c>
      <c r="H11" s="12">
        <f t="shared" si="0"/>
        <v>0.37176123319121024</v>
      </c>
      <c r="I11" s="12">
        <f t="shared" si="0"/>
        <v>0.35362671769003307</v>
      </c>
      <c r="J11" s="12">
        <f t="shared" si="0"/>
        <v>0.32063864069137249</v>
      </c>
      <c r="K11" s="12">
        <f t="shared" si="0"/>
        <v>0.39413575247043575</v>
      </c>
      <c r="L11" s="12">
        <f t="shared" si="0"/>
        <v>0.35726887791107975</v>
      </c>
      <c r="M11" s="12">
        <f t="shared" si="0"/>
        <v>0.4129853796572866</v>
      </c>
      <c r="N11" s="12">
        <f t="shared" si="0"/>
        <v>0.4878225572629748</v>
      </c>
      <c r="O11" s="12">
        <f t="shared" si="0"/>
        <v>0.47079037800687284</v>
      </c>
      <c r="P11" s="12">
        <f t="shared" si="0"/>
        <v>0.43041749502982107</v>
      </c>
      <c r="Q11" s="12">
        <f t="shared" si="0"/>
        <v>0.41227593699076587</v>
      </c>
      <c r="R11" s="12">
        <f t="shared" si="0"/>
        <v>0.48531951640759929</v>
      </c>
      <c r="S11" s="12">
        <f t="shared" si="0"/>
        <v>0.51790358071614317</v>
      </c>
      <c r="T11" s="12">
        <f t="shared" si="0"/>
        <v>0.4800229401644045</v>
      </c>
      <c r="U11" s="12">
        <f t="shared" si="0"/>
        <v>0.42684401451027809</v>
      </c>
      <c r="V11" s="12">
        <f t="shared" si="0"/>
        <v>0.55039968804835249</v>
      </c>
      <c r="W11" s="12">
        <f t="shared" si="0"/>
        <v>0.51582278481012656</v>
      </c>
      <c r="X11" s="13"/>
    </row>
    <row r="12" spans="1:24" ht="21.75" customHeight="1" x14ac:dyDescent="0.2">
      <c r="A12" s="4"/>
      <c r="B12" s="5"/>
      <c r="C12" s="6" t="s">
        <v>38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14"/>
      <c r="V12" s="14"/>
      <c r="W12" s="14"/>
      <c r="X12" s="14"/>
    </row>
    <row r="13" spans="1:24" ht="18.75" customHeight="1" x14ac:dyDescent="0.2">
      <c r="A13" s="159" t="s">
        <v>39</v>
      </c>
      <c r="B13" s="149"/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</row>
    <row r="14" spans="1:24" ht="18.75" customHeight="1" x14ac:dyDescent="0.2">
      <c r="A14" s="152" t="s">
        <v>40</v>
      </c>
      <c r="B14" s="149"/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</row>
    <row r="15" spans="1:24" ht="21.75" customHeight="1" x14ac:dyDescent="0.2">
      <c r="A15" s="4"/>
      <c r="B15" s="9" t="s">
        <v>41</v>
      </c>
      <c r="C15" s="10" t="s">
        <v>42</v>
      </c>
      <c r="D15" s="7">
        <v>2099</v>
      </c>
      <c r="E15" s="7">
        <v>1056</v>
      </c>
      <c r="F15" s="7">
        <v>1066</v>
      </c>
      <c r="G15" s="7">
        <v>1003</v>
      </c>
      <c r="H15" s="7">
        <v>982</v>
      </c>
      <c r="I15" s="7">
        <v>918</v>
      </c>
      <c r="J15" s="7">
        <v>940</v>
      </c>
      <c r="K15" s="7">
        <v>992</v>
      </c>
      <c r="L15" s="7">
        <v>834</v>
      </c>
      <c r="M15" s="7">
        <v>1075</v>
      </c>
      <c r="N15" s="7">
        <v>1330</v>
      </c>
      <c r="O15" s="7">
        <v>1269</v>
      </c>
      <c r="P15" s="7">
        <v>1445</v>
      </c>
      <c r="Q15" s="7">
        <v>1028</v>
      </c>
      <c r="R15" s="7">
        <v>910</v>
      </c>
      <c r="S15" s="7">
        <v>727</v>
      </c>
      <c r="T15" s="7">
        <v>642</v>
      </c>
      <c r="U15" s="11">
        <v>676</v>
      </c>
      <c r="V15" s="11">
        <v>824</v>
      </c>
      <c r="W15" s="11">
        <v>553</v>
      </c>
      <c r="X15" s="11"/>
    </row>
    <row r="16" spans="1:24" ht="21.75" customHeight="1" x14ac:dyDescent="0.2">
      <c r="A16" s="4"/>
      <c r="B16" s="15" t="s">
        <v>43</v>
      </c>
      <c r="C16" s="6" t="s">
        <v>33</v>
      </c>
      <c r="D16" s="7">
        <v>529357</v>
      </c>
      <c r="E16" s="7">
        <v>562632</v>
      </c>
      <c r="F16" s="7">
        <v>548814</v>
      </c>
      <c r="G16" s="7">
        <v>517837</v>
      </c>
      <c r="H16" s="7">
        <v>496341</v>
      </c>
      <c r="I16" s="7">
        <v>510097</v>
      </c>
      <c r="J16" s="7">
        <v>474672</v>
      </c>
      <c r="K16" s="7">
        <v>493429</v>
      </c>
      <c r="L16" s="7">
        <v>452535</v>
      </c>
      <c r="M16" s="7">
        <v>407414</v>
      </c>
      <c r="N16" s="7">
        <v>420104</v>
      </c>
      <c r="O16" s="7">
        <v>445144</v>
      </c>
      <c r="P16" s="7">
        <v>444231</v>
      </c>
      <c r="Q16" s="7">
        <v>456560</v>
      </c>
      <c r="R16" s="7">
        <v>468214</v>
      </c>
      <c r="S16" s="7">
        <v>447734</v>
      </c>
      <c r="T16" s="7">
        <v>439787</v>
      </c>
      <c r="U16" s="11">
        <v>410341</v>
      </c>
      <c r="V16" s="11">
        <v>393944</v>
      </c>
      <c r="W16" s="11">
        <v>435521</v>
      </c>
      <c r="X16" s="11"/>
    </row>
    <row r="17" spans="1:24" ht="21.75" customHeight="1" x14ac:dyDescent="0.2">
      <c r="A17" s="4"/>
      <c r="B17" s="9" t="s">
        <v>44</v>
      </c>
      <c r="C17" s="10" t="s">
        <v>37</v>
      </c>
      <c r="D17" s="143">
        <v>525</v>
      </c>
      <c r="E17" s="143">
        <v>400</v>
      </c>
      <c r="F17" s="143">
        <v>306</v>
      </c>
      <c r="G17" s="143">
        <v>221</v>
      </c>
      <c r="H17" s="143">
        <v>134</v>
      </c>
      <c r="I17" s="143">
        <v>161</v>
      </c>
      <c r="J17" s="143">
        <v>131</v>
      </c>
      <c r="K17" s="143">
        <v>138</v>
      </c>
      <c r="L17" s="143">
        <v>111</v>
      </c>
      <c r="M17" s="143">
        <v>130</v>
      </c>
      <c r="N17" s="143">
        <v>156</v>
      </c>
      <c r="O17" s="143">
        <v>145</v>
      </c>
      <c r="P17" s="143">
        <v>234</v>
      </c>
      <c r="Q17" s="143">
        <v>271</v>
      </c>
      <c r="R17" s="143">
        <v>244</v>
      </c>
      <c r="S17" s="143">
        <v>247</v>
      </c>
      <c r="T17" s="143">
        <v>145</v>
      </c>
      <c r="U17" s="144">
        <v>156</v>
      </c>
      <c r="V17" s="144">
        <v>135</v>
      </c>
      <c r="W17" s="144">
        <v>38</v>
      </c>
      <c r="X17" s="13"/>
    </row>
    <row r="18" spans="1:24" ht="21.75" customHeight="1" x14ac:dyDescent="0.2">
      <c r="A18" s="4"/>
      <c r="B18" s="5" t="s">
        <v>45</v>
      </c>
      <c r="C18" s="6" t="s">
        <v>37</v>
      </c>
      <c r="D18" s="143">
        <v>118</v>
      </c>
      <c r="E18" s="143">
        <v>79</v>
      </c>
      <c r="F18" s="143">
        <v>55</v>
      </c>
      <c r="G18" s="143">
        <v>60</v>
      </c>
      <c r="H18" s="143">
        <v>59</v>
      </c>
      <c r="I18" s="143">
        <v>51</v>
      </c>
      <c r="J18" s="143">
        <v>39</v>
      </c>
      <c r="K18" s="143">
        <v>48</v>
      </c>
      <c r="L18" s="143">
        <v>52</v>
      </c>
      <c r="M18" s="143">
        <v>58</v>
      </c>
      <c r="N18" s="143">
        <v>82</v>
      </c>
      <c r="O18" s="143">
        <v>110</v>
      </c>
      <c r="P18" s="143">
        <v>98</v>
      </c>
      <c r="Q18" s="143">
        <v>86</v>
      </c>
      <c r="R18" s="143">
        <v>57</v>
      </c>
      <c r="S18" s="143">
        <v>62</v>
      </c>
      <c r="T18" s="143">
        <v>52</v>
      </c>
      <c r="U18" s="144">
        <v>54</v>
      </c>
      <c r="V18" s="144">
        <v>69</v>
      </c>
      <c r="W18" s="144">
        <v>58</v>
      </c>
      <c r="X18" s="13"/>
    </row>
    <row r="19" spans="1:24" ht="18.75" customHeight="1" x14ac:dyDescent="0.2">
      <c r="A19" s="152" t="s">
        <v>46</v>
      </c>
      <c r="B19" s="149"/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</row>
    <row r="20" spans="1:24" ht="21.75" customHeight="1" x14ac:dyDescent="0.2">
      <c r="A20" s="4"/>
      <c r="B20" s="5" t="s">
        <v>47</v>
      </c>
      <c r="C20" s="6" t="s">
        <v>42</v>
      </c>
      <c r="D20" s="7">
        <v>1609</v>
      </c>
      <c r="E20" s="7">
        <v>993</v>
      </c>
      <c r="F20" s="7">
        <v>1252</v>
      </c>
      <c r="G20" s="7">
        <v>1112</v>
      </c>
      <c r="H20" s="7">
        <v>1145</v>
      </c>
      <c r="I20" s="7">
        <v>1029</v>
      </c>
      <c r="J20" s="7">
        <v>1124</v>
      </c>
      <c r="K20" s="7">
        <v>1285</v>
      </c>
      <c r="L20" s="7">
        <v>1084</v>
      </c>
      <c r="M20" s="7">
        <v>1370</v>
      </c>
      <c r="N20" s="7">
        <v>1802</v>
      </c>
      <c r="O20" s="7">
        <v>1880</v>
      </c>
      <c r="P20" s="7">
        <v>2038</v>
      </c>
      <c r="Q20" s="7">
        <v>1758</v>
      </c>
      <c r="R20" s="7">
        <v>1578</v>
      </c>
      <c r="S20" s="7">
        <v>1553</v>
      </c>
      <c r="T20" s="7">
        <v>1561</v>
      </c>
      <c r="U20" s="11">
        <v>1584</v>
      </c>
      <c r="V20" s="11">
        <v>1739</v>
      </c>
      <c r="W20" s="11">
        <v>1265</v>
      </c>
      <c r="X20" s="11"/>
    </row>
    <row r="21" spans="1:24" ht="21.75" customHeight="1" x14ac:dyDescent="0.2">
      <c r="A21" s="4"/>
      <c r="B21" s="17" t="s">
        <v>48</v>
      </c>
      <c r="C21" s="10" t="s">
        <v>33</v>
      </c>
      <c r="D21" s="7">
        <v>593536</v>
      </c>
      <c r="E21" s="7">
        <v>599022</v>
      </c>
      <c r="F21" s="7">
        <v>581327</v>
      </c>
      <c r="G21" s="7">
        <v>561213</v>
      </c>
      <c r="H21" s="7">
        <v>553161</v>
      </c>
      <c r="I21" s="7">
        <v>530178</v>
      </c>
      <c r="J21" s="7">
        <v>550545</v>
      </c>
      <c r="K21" s="7">
        <v>514198</v>
      </c>
      <c r="L21" s="7">
        <v>499687</v>
      </c>
      <c r="M21" s="7">
        <v>488923</v>
      </c>
      <c r="N21" s="7">
        <v>482509</v>
      </c>
      <c r="O21" s="7">
        <v>505561</v>
      </c>
      <c r="P21" s="7">
        <v>523748</v>
      </c>
      <c r="Q21" s="7">
        <v>517664</v>
      </c>
      <c r="R21" s="7">
        <v>511189</v>
      </c>
      <c r="S21" s="7">
        <v>525722</v>
      </c>
      <c r="T21" s="7">
        <v>516131</v>
      </c>
      <c r="U21" s="11">
        <v>438668</v>
      </c>
      <c r="V21" s="11">
        <v>457245</v>
      </c>
      <c r="W21" s="11">
        <v>480004</v>
      </c>
      <c r="X21" s="11"/>
    </row>
    <row r="22" spans="1:24" ht="21.75" customHeight="1" x14ac:dyDescent="0.2">
      <c r="A22" s="4"/>
      <c r="B22" s="5" t="s">
        <v>49</v>
      </c>
      <c r="C22" s="6" t="s">
        <v>37</v>
      </c>
      <c r="D22" s="16">
        <v>0.434</v>
      </c>
      <c r="E22" s="16">
        <v>0.48499999999999999</v>
      </c>
      <c r="F22" s="16">
        <v>0.54</v>
      </c>
      <c r="G22" s="16">
        <v>0.52600000000000002</v>
      </c>
      <c r="H22" s="16">
        <v>0.53800000000000003</v>
      </c>
      <c r="I22" s="16">
        <v>0.52900000000000003</v>
      </c>
      <c r="J22" s="16">
        <v>0.54500000000000004</v>
      </c>
      <c r="K22" s="16">
        <v>0.56399999999999995</v>
      </c>
      <c r="L22" s="16">
        <v>0.56499999999999995</v>
      </c>
      <c r="M22" s="16">
        <v>0.56000000000000005</v>
      </c>
      <c r="N22" s="16">
        <v>0.57499999999999996</v>
      </c>
      <c r="O22" s="16">
        <v>0.59699999999999998</v>
      </c>
      <c r="P22" s="16">
        <v>0.58499999999999996</v>
      </c>
      <c r="Q22" s="16">
        <v>0.63100000000000001</v>
      </c>
      <c r="R22" s="16">
        <v>0.63400000000000001</v>
      </c>
      <c r="S22" s="16">
        <v>0.68100000000000005</v>
      </c>
      <c r="T22" s="16">
        <v>0.70899999999999996</v>
      </c>
      <c r="U22" s="13">
        <v>0.70089999999999997</v>
      </c>
      <c r="V22" s="13">
        <v>0.67849999999999999</v>
      </c>
      <c r="W22" s="13">
        <v>0.69579999999999997</v>
      </c>
      <c r="X22" s="13"/>
    </row>
    <row r="23" spans="1:24" ht="21.75" customHeight="1" x14ac:dyDescent="0.2">
      <c r="A23" s="4"/>
      <c r="B23" s="17" t="s">
        <v>50</v>
      </c>
      <c r="C23" s="10" t="s">
        <v>42</v>
      </c>
      <c r="D23" s="7">
        <v>208</v>
      </c>
      <c r="E23" s="7">
        <v>120</v>
      </c>
      <c r="F23" s="7">
        <v>136</v>
      </c>
      <c r="G23" s="7">
        <v>123</v>
      </c>
      <c r="H23" s="7">
        <v>116</v>
      </c>
      <c r="I23" s="7">
        <v>91</v>
      </c>
      <c r="J23" s="7">
        <v>95</v>
      </c>
      <c r="K23" s="7">
        <v>108</v>
      </c>
      <c r="L23" s="7">
        <v>127</v>
      </c>
      <c r="M23" s="7">
        <v>126</v>
      </c>
      <c r="N23" s="7">
        <v>204</v>
      </c>
      <c r="O23" s="7">
        <v>264</v>
      </c>
      <c r="P23" s="7">
        <v>227</v>
      </c>
      <c r="Q23" s="7">
        <v>256</v>
      </c>
      <c r="R23" s="7">
        <v>185</v>
      </c>
      <c r="S23" s="7">
        <v>203</v>
      </c>
      <c r="T23" s="7">
        <v>191</v>
      </c>
      <c r="U23" s="11">
        <v>395</v>
      </c>
      <c r="V23" s="11">
        <v>458</v>
      </c>
      <c r="W23" s="11">
        <v>382</v>
      </c>
      <c r="X23" s="11"/>
    </row>
    <row r="24" spans="1:24" ht="21.75" customHeight="1" x14ac:dyDescent="0.2">
      <c r="A24" s="4"/>
      <c r="B24" s="15" t="s">
        <v>51</v>
      </c>
      <c r="C24" s="6" t="s">
        <v>33</v>
      </c>
      <c r="D24" s="7">
        <v>580443</v>
      </c>
      <c r="E24" s="7">
        <v>516482</v>
      </c>
      <c r="F24" s="7">
        <v>520544</v>
      </c>
      <c r="G24" s="7">
        <v>506154</v>
      </c>
      <c r="H24" s="7">
        <v>444870</v>
      </c>
      <c r="I24" s="7">
        <v>544447</v>
      </c>
      <c r="J24" s="7">
        <v>553412</v>
      </c>
      <c r="K24" s="7">
        <v>551739</v>
      </c>
      <c r="L24" s="7">
        <v>502434</v>
      </c>
      <c r="M24" s="7">
        <v>487008</v>
      </c>
      <c r="N24" s="7">
        <v>515800</v>
      </c>
      <c r="O24" s="7">
        <v>515035</v>
      </c>
      <c r="P24" s="7">
        <v>565363</v>
      </c>
      <c r="Q24" s="7">
        <v>487576</v>
      </c>
      <c r="R24" s="7">
        <v>506915</v>
      </c>
      <c r="S24" s="7">
        <v>579616</v>
      </c>
      <c r="T24" s="7">
        <v>498816</v>
      </c>
      <c r="U24" s="11">
        <v>427919</v>
      </c>
      <c r="V24" s="11">
        <v>410866</v>
      </c>
      <c r="W24" s="11">
        <v>448219</v>
      </c>
      <c r="X24" s="11"/>
    </row>
    <row r="25" spans="1:24" ht="21.75" customHeight="1" x14ac:dyDescent="0.2">
      <c r="A25" s="4"/>
      <c r="B25" s="17" t="s">
        <v>52</v>
      </c>
      <c r="C25" s="10" t="s">
        <v>42</v>
      </c>
      <c r="D25" s="7">
        <v>704</v>
      </c>
      <c r="E25" s="7">
        <v>459</v>
      </c>
      <c r="F25" s="7">
        <v>550</v>
      </c>
      <c r="G25" s="7">
        <v>374</v>
      </c>
      <c r="H25" s="7">
        <v>412</v>
      </c>
      <c r="I25" s="7">
        <v>338</v>
      </c>
      <c r="J25" s="7">
        <v>394</v>
      </c>
      <c r="K25" s="7">
        <v>393</v>
      </c>
      <c r="L25" s="7">
        <v>355</v>
      </c>
      <c r="M25" s="7">
        <v>478</v>
      </c>
      <c r="N25" s="7">
        <v>593</v>
      </c>
      <c r="O25" s="7">
        <v>654</v>
      </c>
      <c r="P25" s="7">
        <v>777</v>
      </c>
      <c r="Q25" s="7">
        <v>682</v>
      </c>
      <c r="R25" s="7">
        <v>681</v>
      </c>
      <c r="S25" s="7">
        <v>650</v>
      </c>
      <c r="T25" s="7">
        <v>584</v>
      </c>
      <c r="U25" s="11">
        <v>491</v>
      </c>
      <c r="V25" s="11">
        <v>520</v>
      </c>
      <c r="W25" s="11">
        <v>366</v>
      </c>
      <c r="X25" s="11"/>
    </row>
    <row r="26" spans="1:24" ht="21.75" customHeight="1" x14ac:dyDescent="0.2">
      <c r="A26" s="4"/>
      <c r="B26" s="15" t="s">
        <v>51</v>
      </c>
      <c r="C26" s="6" t="s">
        <v>33</v>
      </c>
      <c r="D26" s="7">
        <v>584820</v>
      </c>
      <c r="E26" s="7">
        <v>571884</v>
      </c>
      <c r="F26" s="7">
        <v>580070</v>
      </c>
      <c r="G26" s="7">
        <v>536181</v>
      </c>
      <c r="H26" s="7">
        <v>562449</v>
      </c>
      <c r="I26" s="7">
        <v>499206</v>
      </c>
      <c r="J26" s="7">
        <v>537405</v>
      </c>
      <c r="K26" s="7">
        <v>489004</v>
      </c>
      <c r="L26" s="7">
        <v>479740</v>
      </c>
      <c r="M26" s="7">
        <v>498779</v>
      </c>
      <c r="N26" s="7">
        <v>473184</v>
      </c>
      <c r="O26" s="7">
        <v>496771</v>
      </c>
      <c r="P26" s="7">
        <v>507713</v>
      </c>
      <c r="Q26" s="7">
        <v>521206</v>
      </c>
      <c r="R26" s="7">
        <v>507917</v>
      </c>
      <c r="S26" s="7">
        <v>512198</v>
      </c>
      <c r="T26" s="7">
        <v>532485</v>
      </c>
      <c r="U26" s="11">
        <v>450680</v>
      </c>
      <c r="V26" s="11">
        <v>472067</v>
      </c>
      <c r="W26" s="11">
        <v>512299</v>
      </c>
      <c r="X26" s="11"/>
    </row>
    <row r="27" spans="1:24" ht="21.75" customHeight="1" x14ac:dyDescent="0.2">
      <c r="A27" s="4"/>
      <c r="B27" s="17" t="s">
        <v>53</v>
      </c>
      <c r="C27" s="10" t="s">
        <v>42</v>
      </c>
      <c r="D27" s="7">
        <v>697</v>
      </c>
      <c r="E27" s="7">
        <v>414</v>
      </c>
      <c r="F27" s="7">
        <v>566</v>
      </c>
      <c r="G27" s="7">
        <v>615</v>
      </c>
      <c r="H27" s="7">
        <v>617</v>
      </c>
      <c r="I27" s="7">
        <v>600</v>
      </c>
      <c r="J27" s="7">
        <v>635</v>
      </c>
      <c r="K27" s="7">
        <v>784</v>
      </c>
      <c r="L27" s="7">
        <v>602</v>
      </c>
      <c r="M27" s="7">
        <v>766</v>
      </c>
      <c r="N27" s="7">
        <v>1005</v>
      </c>
      <c r="O27" s="7">
        <v>962</v>
      </c>
      <c r="P27" s="7">
        <v>1034</v>
      </c>
      <c r="Q27" s="7">
        <v>820</v>
      </c>
      <c r="R27" s="7">
        <v>712</v>
      </c>
      <c r="S27" s="7">
        <v>700</v>
      </c>
      <c r="T27" s="7">
        <v>786</v>
      </c>
      <c r="U27" s="11">
        <v>698</v>
      </c>
      <c r="V27" s="11">
        <v>761</v>
      </c>
      <c r="W27" s="11">
        <v>517</v>
      </c>
      <c r="X27" s="11"/>
    </row>
    <row r="28" spans="1:24" ht="21.75" customHeight="1" x14ac:dyDescent="0.2">
      <c r="A28" s="4"/>
      <c r="B28" s="15" t="s">
        <v>51</v>
      </c>
      <c r="C28" s="6" t="s">
        <v>33</v>
      </c>
      <c r="D28" s="7">
        <v>606306</v>
      </c>
      <c r="E28" s="7">
        <v>636101</v>
      </c>
      <c r="F28" s="7">
        <v>593665</v>
      </c>
      <c r="G28" s="7">
        <v>587223</v>
      </c>
      <c r="H28" s="7">
        <v>566389</v>
      </c>
      <c r="I28" s="7">
        <v>543742</v>
      </c>
      <c r="J28" s="7">
        <v>554666</v>
      </c>
      <c r="K28" s="7">
        <v>521419</v>
      </c>
      <c r="L28" s="7">
        <v>510631</v>
      </c>
      <c r="M28" s="7">
        <v>481273</v>
      </c>
      <c r="N28" s="7">
        <v>480211</v>
      </c>
      <c r="O28" s="7">
        <v>506887</v>
      </c>
      <c r="P28" s="7">
        <v>525092</v>
      </c>
      <c r="Q28" s="7">
        <v>523625</v>
      </c>
      <c r="R28" s="7">
        <v>513235</v>
      </c>
      <c r="S28" s="7">
        <v>514169</v>
      </c>
      <c r="T28" s="7">
        <v>504044</v>
      </c>
      <c r="U28" s="11">
        <v>436911</v>
      </c>
      <c r="V28" s="11">
        <v>476924</v>
      </c>
      <c r="W28" s="11">
        <v>480626</v>
      </c>
      <c r="X28" s="11"/>
    </row>
    <row r="29" spans="1:24" ht="18.75" customHeight="1" x14ac:dyDescent="0.2">
      <c r="A29" s="152" t="s">
        <v>54</v>
      </c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  <c r="X29" s="149"/>
    </row>
    <row r="30" spans="1:24" ht="21.75" customHeight="1" x14ac:dyDescent="0.2">
      <c r="A30" s="4"/>
      <c r="B30" s="5" t="s">
        <v>55</v>
      </c>
      <c r="C30" s="6" t="s">
        <v>42</v>
      </c>
      <c r="D30" s="7">
        <v>893</v>
      </c>
      <c r="E30" s="7">
        <v>635</v>
      </c>
      <c r="F30" s="7">
        <v>807</v>
      </c>
      <c r="G30" s="7">
        <v>744</v>
      </c>
      <c r="H30" s="7">
        <v>754</v>
      </c>
      <c r="I30" s="7">
        <v>670</v>
      </c>
      <c r="J30" s="7">
        <v>758</v>
      </c>
      <c r="K30" s="7">
        <v>917</v>
      </c>
      <c r="L30" s="7">
        <v>769</v>
      </c>
      <c r="M30" s="7">
        <v>970</v>
      </c>
      <c r="N30" s="7">
        <v>1295</v>
      </c>
      <c r="O30" s="7">
        <v>1335</v>
      </c>
      <c r="P30" s="7">
        <v>1434</v>
      </c>
      <c r="Q30" s="7">
        <v>1297</v>
      </c>
      <c r="R30" s="7">
        <v>1196</v>
      </c>
      <c r="S30" s="7">
        <v>1215</v>
      </c>
      <c r="T30" s="7">
        <v>1252</v>
      </c>
      <c r="U30" s="11">
        <v>1258</v>
      </c>
      <c r="V30" s="11">
        <v>1788</v>
      </c>
      <c r="W30" s="11">
        <v>1031</v>
      </c>
      <c r="X30" s="11"/>
    </row>
    <row r="31" spans="1:24" ht="21.75" customHeight="1" x14ac:dyDescent="0.2">
      <c r="A31" s="4"/>
      <c r="B31" s="17" t="s">
        <v>56</v>
      </c>
      <c r="C31" s="10" t="s">
        <v>33</v>
      </c>
      <c r="D31" s="7">
        <v>626962</v>
      </c>
      <c r="E31" s="7">
        <v>629182</v>
      </c>
      <c r="F31" s="7">
        <v>598611</v>
      </c>
      <c r="G31" s="7">
        <v>590223</v>
      </c>
      <c r="H31" s="7">
        <v>585425</v>
      </c>
      <c r="I31" s="7">
        <v>555392</v>
      </c>
      <c r="J31" s="7">
        <v>578566</v>
      </c>
      <c r="K31" s="7">
        <v>559770</v>
      </c>
      <c r="L31" s="7">
        <v>515849</v>
      </c>
      <c r="M31" s="7">
        <v>518969</v>
      </c>
      <c r="N31" s="7">
        <v>505307</v>
      </c>
      <c r="O31" s="7">
        <v>538580</v>
      </c>
      <c r="P31" s="7">
        <v>559364</v>
      </c>
      <c r="Q31" s="7">
        <v>544671</v>
      </c>
      <c r="R31" s="7">
        <v>541038</v>
      </c>
      <c r="S31" s="7">
        <v>553226</v>
      </c>
      <c r="T31" s="7">
        <v>534522</v>
      </c>
      <c r="U31" s="11">
        <v>443642</v>
      </c>
      <c r="V31" s="11">
        <v>452381</v>
      </c>
      <c r="W31" s="11">
        <v>505837</v>
      </c>
      <c r="X31" s="11"/>
    </row>
    <row r="32" spans="1:24" ht="21.75" customHeight="1" x14ac:dyDescent="0.2">
      <c r="A32" s="4"/>
      <c r="B32" s="5" t="s">
        <v>57</v>
      </c>
      <c r="C32" s="6" t="s">
        <v>58</v>
      </c>
      <c r="D32" s="7">
        <v>2063244</v>
      </c>
      <c r="E32" s="7">
        <v>2082315</v>
      </c>
      <c r="F32" s="7">
        <v>2020803</v>
      </c>
      <c r="G32" s="7">
        <v>1950883</v>
      </c>
      <c r="H32" s="7">
        <v>1922893</v>
      </c>
      <c r="I32" s="7">
        <v>1843000</v>
      </c>
      <c r="J32" s="7">
        <v>1913799</v>
      </c>
      <c r="K32" s="7">
        <v>1787450</v>
      </c>
      <c r="L32" s="7">
        <v>1737007</v>
      </c>
      <c r="M32" s="7">
        <v>1699589</v>
      </c>
      <c r="N32" s="7">
        <v>1677293</v>
      </c>
      <c r="O32" s="7">
        <v>1757426</v>
      </c>
      <c r="P32" s="7">
        <v>1820648</v>
      </c>
      <c r="Q32" s="7">
        <v>1799499</v>
      </c>
      <c r="R32" s="7">
        <v>1776990</v>
      </c>
      <c r="S32" s="7">
        <v>1827510</v>
      </c>
      <c r="T32" s="7">
        <v>1794170</v>
      </c>
      <c r="U32" s="11">
        <v>1524894</v>
      </c>
      <c r="V32" s="11">
        <v>1589471</v>
      </c>
      <c r="W32" s="11">
        <v>1668585</v>
      </c>
      <c r="X32" s="11"/>
    </row>
    <row r="33" spans="1:24" ht="25.5" customHeight="1" x14ac:dyDescent="0.2">
      <c r="A33" s="157" t="s">
        <v>59</v>
      </c>
      <c r="B33" s="149"/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</row>
    <row r="34" spans="1:24" ht="18.75" customHeight="1" x14ac:dyDescent="0.2">
      <c r="A34" s="148" t="s">
        <v>60</v>
      </c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</row>
    <row r="35" spans="1:24" ht="21.75" customHeight="1" x14ac:dyDescent="0.2">
      <c r="A35" s="20"/>
      <c r="B35" s="9" t="s">
        <v>61</v>
      </c>
      <c r="C35" s="10" t="s">
        <v>29</v>
      </c>
      <c r="D35" s="7">
        <v>1089475316</v>
      </c>
      <c r="E35" s="7">
        <v>499607370</v>
      </c>
      <c r="F35" s="7">
        <v>567134028</v>
      </c>
      <c r="G35" s="7">
        <v>528594128</v>
      </c>
      <c r="H35" s="7">
        <v>498208343</v>
      </c>
      <c r="I35" s="7">
        <v>543406694</v>
      </c>
      <c r="J35" s="7">
        <v>582713951</v>
      </c>
      <c r="K35" s="7">
        <v>511104206</v>
      </c>
      <c r="L35" s="7">
        <v>450806016</v>
      </c>
      <c r="M35" s="7">
        <v>563065588</v>
      </c>
      <c r="N35" s="7">
        <v>617168731</v>
      </c>
      <c r="O35" s="7">
        <v>797994010</v>
      </c>
      <c r="P35" s="7">
        <v>925450315</v>
      </c>
      <c r="Q35" s="7">
        <v>971109989</v>
      </c>
      <c r="R35" s="7">
        <v>549533678</v>
      </c>
      <c r="S35" s="7">
        <v>582438107</v>
      </c>
      <c r="T35" s="7">
        <v>504185071</v>
      </c>
      <c r="U35" s="8">
        <v>504778392</v>
      </c>
      <c r="V35" s="8">
        <v>530083436</v>
      </c>
      <c r="W35" s="8">
        <v>352971080</v>
      </c>
      <c r="X35" s="8">
        <f>IFERROR(SUM('📅 DAILY T9'!G$6:I$35),0)</f>
        <v>0</v>
      </c>
    </row>
    <row r="36" spans="1:24" ht="21.75" customHeight="1" x14ac:dyDescent="0.2">
      <c r="A36" s="20"/>
      <c r="B36" s="15" t="s">
        <v>62</v>
      </c>
      <c r="C36" s="6" t="s">
        <v>29</v>
      </c>
      <c r="D36" s="7">
        <v>540944566</v>
      </c>
      <c r="E36" s="7">
        <v>268103870</v>
      </c>
      <c r="F36" s="7">
        <v>290563128</v>
      </c>
      <c r="G36" s="7">
        <v>254830500</v>
      </c>
      <c r="H36" s="7">
        <v>256470352</v>
      </c>
      <c r="I36" s="7">
        <v>260893480</v>
      </c>
      <c r="J36" s="7">
        <v>301482693</v>
      </c>
      <c r="K36" s="7">
        <v>261515520</v>
      </c>
      <c r="L36" s="7">
        <v>234853685</v>
      </c>
      <c r="M36" s="7">
        <v>292613845</v>
      </c>
      <c r="N36" s="7">
        <v>315279874</v>
      </c>
      <c r="O36" s="7">
        <v>425053629</v>
      </c>
      <c r="P36" s="7">
        <v>498976878</v>
      </c>
      <c r="Q36" s="7">
        <v>466415524</v>
      </c>
      <c r="R36" s="7">
        <v>273260815</v>
      </c>
      <c r="S36" s="7">
        <v>339489341</v>
      </c>
      <c r="T36" s="7">
        <v>266591829</v>
      </c>
      <c r="U36" s="8">
        <v>255247175</v>
      </c>
      <c r="V36" s="8">
        <v>272494091</v>
      </c>
      <c r="W36" s="8">
        <v>175795691</v>
      </c>
      <c r="X36" s="8">
        <f>IFERROR(SUM('📅 DAILY T9'!G$6:G$35),0)</f>
        <v>0</v>
      </c>
    </row>
    <row r="37" spans="1:24" ht="21.75" customHeight="1" x14ac:dyDescent="0.2">
      <c r="A37" s="20"/>
      <c r="B37" s="17" t="s">
        <v>63</v>
      </c>
      <c r="C37" s="10" t="s">
        <v>29</v>
      </c>
      <c r="D37" s="7">
        <v>356945800</v>
      </c>
      <c r="E37" s="7">
        <v>145126500</v>
      </c>
      <c r="F37" s="7">
        <v>172657900</v>
      </c>
      <c r="G37" s="7">
        <v>176377128</v>
      </c>
      <c r="H37" s="7">
        <v>152411750</v>
      </c>
      <c r="I37" s="7">
        <v>181624920</v>
      </c>
      <c r="J37" s="7">
        <v>159269196</v>
      </c>
      <c r="K37" s="7">
        <v>153183571</v>
      </c>
      <c r="L37" s="7">
        <v>141817617</v>
      </c>
      <c r="M37" s="7">
        <v>176059491</v>
      </c>
      <c r="N37" s="7">
        <v>178778384</v>
      </c>
      <c r="O37" s="7">
        <v>210046402</v>
      </c>
      <c r="P37" s="7">
        <v>212730879</v>
      </c>
      <c r="Q37" s="7">
        <v>299922606</v>
      </c>
      <c r="R37" s="7">
        <v>150994415</v>
      </c>
      <c r="S37" s="7">
        <v>119328315</v>
      </c>
      <c r="T37" s="7">
        <v>125042886</v>
      </c>
      <c r="U37" s="8">
        <v>125740056</v>
      </c>
      <c r="V37" s="8">
        <v>129188093</v>
      </c>
      <c r="W37" s="8">
        <v>91194124</v>
      </c>
      <c r="X37" s="8">
        <f>IFERROR(SUM('📅 DAILY T9'!H$6:H$35),0)</f>
        <v>0</v>
      </c>
    </row>
    <row r="38" spans="1:24" ht="21.75" customHeight="1" x14ac:dyDescent="0.2">
      <c r="A38" s="20"/>
      <c r="B38" s="15" t="s">
        <v>64</v>
      </c>
      <c r="C38" s="6" t="s">
        <v>29</v>
      </c>
      <c r="D38" s="7">
        <v>191584950</v>
      </c>
      <c r="E38" s="7">
        <v>86377000</v>
      </c>
      <c r="F38" s="7">
        <v>103913000</v>
      </c>
      <c r="G38" s="7">
        <v>97386500</v>
      </c>
      <c r="H38" s="7">
        <v>89326241</v>
      </c>
      <c r="I38" s="7">
        <v>100888294</v>
      </c>
      <c r="J38" s="7">
        <v>121962062</v>
      </c>
      <c r="K38" s="7">
        <v>96405115</v>
      </c>
      <c r="L38" s="7">
        <v>74134714</v>
      </c>
      <c r="M38" s="7">
        <v>94392252</v>
      </c>
      <c r="N38" s="7">
        <v>123110473</v>
      </c>
      <c r="O38" s="7">
        <v>162893979</v>
      </c>
      <c r="P38" s="7">
        <v>213742558</v>
      </c>
      <c r="Q38" s="7">
        <v>204771859</v>
      </c>
      <c r="R38" s="7">
        <v>125278448</v>
      </c>
      <c r="S38" s="7">
        <v>123620451</v>
      </c>
      <c r="T38" s="7">
        <v>112550356</v>
      </c>
      <c r="U38" s="8">
        <v>123791161</v>
      </c>
      <c r="V38" s="8">
        <v>128401252</v>
      </c>
      <c r="W38" s="8">
        <v>85981265</v>
      </c>
      <c r="X38" s="8">
        <f>IFERROR(SUM('📅 DAILY T9'!I$6:I$35),0)</f>
        <v>0</v>
      </c>
    </row>
    <row r="39" spans="1:24" ht="21.75" customHeight="1" x14ac:dyDescent="0.2">
      <c r="A39" s="20"/>
      <c r="B39" s="9" t="s">
        <v>65</v>
      </c>
      <c r="C39" s="10" t="s">
        <v>31</v>
      </c>
      <c r="D39" s="7">
        <v>2635</v>
      </c>
      <c r="E39" s="7">
        <v>1242</v>
      </c>
      <c r="F39" s="7">
        <v>1571</v>
      </c>
      <c r="G39" s="7">
        <v>1512</v>
      </c>
      <c r="H39" s="7">
        <v>1566</v>
      </c>
      <c r="I39" s="7">
        <v>1602</v>
      </c>
      <c r="J39" s="7">
        <v>1752</v>
      </c>
      <c r="K39" s="7">
        <v>1643</v>
      </c>
      <c r="L39" s="7">
        <v>1510</v>
      </c>
      <c r="M39" s="7">
        <v>2061</v>
      </c>
      <c r="N39" s="7">
        <v>2296</v>
      </c>
      <c r="O39" s="7">
        <v>2690</v>
      </c>
      <c r="P39" s="7">
        <v>3020</v>
      </c>
      <c r="Q39" s="7">
        <v>2950</v>
      </c>
      <c r="R39" s="7">
        <v>1851</v>
      </c>
      <c r="S39" s="7">
        <v>1843</v>
      </c>
      <c r="T39" s="7">
        <v>1718</v>
      </c>
      <c r="U39" s="8">
        <v>1642</v>
      </c>
      <c r="V39" s="8">
        <v>1717</v>
      </c>
      <c r="W39" s="8">
        <v>1134</v>
      </c>
      <c r="X39" s="8">
        <f>IFERROR(SUM('📅 DAILY T9'!J$6:J$35),0)</f>
        <v>0</v>
      </c>
    </row>
    <row r="40" spans="1:24" ht="21.75" customHeight="1" x14ac:dyDescent="0.2">
      <c r="A40" s="20"/>
      <c r="B40" s="5" t="s">
        <v>66</v>
      </c>
      <c r="C40" s="6" t="s">
        <v>33</v>
      </c>
      <c r="D40" s="7">
        <v>413463</v>
      </c>
      <c r="E40" s="7">
        <v>402260</v>
      </c>
      <c r="F40" s="7">
        <v>361002</v>
      </c>
      <c r="G40" s="7">
        <v>349599</v>
      </c>
      <c r="H40" s="7">
        <v>318141</v>
      </c>
      <c r="I40" s="7">
        <v>339205</v>
      </c>
      <c r="J40" s="7">
        <v>332599</v>
      </c>
      <c r="K40" s="7">
        <v>311080</v>
      </c>
      <c r="L40" s="7">
        <v>298547</v>
      </c>
      <c r="M40" s="7">
        <v>273200</v>
      </c>
      <c r="N40" s="7">
        <v>268802</v>
      </c>
      <c r="O40" s="7">
        <v>296652</v>
      </c>
      <c r="P40" s="7">
        <v>306441</v>
      </c>
      <c r="Q40" s="7">
        <v>329190</v>
      </c>
      <c r="R40" s="7">
        <v>296885</v>
      </c>
      <c r="S40" s="7">
        <v>316027</v>
      </c>
      <c r="T40" s="7">
        <v>293472</v>
      </c>
      <c r="U40" s="8">
        <v>307417</v>
      </c>
      <c r="V40" s="8">
        <v>308727</v>
      </c>
      <c r="W40" s="8">
        <v>311260</v>
      </c>
      <c r="X40" s="8" t="str">
        <f>IFERROR(SUM('📅 DAILY T9'!M$6:M$35)/SUM('📅 DAILY T9'!J$6:J$35),"")</f>
        <v/>
      </c>
    </row>
    <row r="41" spans="1:24" ht="18.75" customHeight="1" x14ac:dyDescent="0.2">
      <c r="A41" s="156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51"/>
    </row>
    <row r="42" spans="1:24" ht="18.75" customHeight="1" x14ac:dyDescent="0.2">
      <c r="A42" s="156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51"/>
    </row>
    <row r="43" spans="1:24" ht="21.75" customHeight="1" x14ac:dyDescent="0.2">
      <c r="A43" s="20"/>
      <c r="B43" s="9" t="s">
        <v>67</v>
      </c>
      <c r="C43" s="10" t="s">
        <v>42</v>
      </c>
      <c r="D43" s="7">
        <v>1636</v>
      </c>
      <c r="E43" s="7">
        <v>686</v>
      </c>
      <c r="F43" s="7">
        <v>795</v>
      </c>
      <c r="G43" s="7">
        <v>791</v>
      </c>
      <c r="H43" s="7">
        <v>776</v>
      </c>
      <c r="I43" s="7">
        <v>779</v>
      </c>
      <c r="J43" s="7">
        <v>832</v>
      </c>
      <c r="K43" s="7">
        <v>742</v>
      </c>
      <c r="L43" s="7">
        <v>743</v>
      </c>
      <c r="M43" s="7">
        <v>962</v>
      </c>
      <c r="N43" s="7">
        <v>1092</v>
      </c>
      <c r="O43" s="7">
        <v>1200</v>
      </c>
      <c r="P43" s="7">
        <v>1361</v>
      </c>
      <c r="Q43" s="7">
        <v>1339</v>
      </c>
      <c r="R43" s="7">
        <v>787</v>
      </c>
      <c r="S43" s="7">
        <v>726</v>
      </c>
      <c r="T43" s="7">
        <v>621</v>
      </c>
      <c r="U43" s="11">
        <v>576</v>
      </c>
      <c r="V43" s="11">
        <v>613</v>
      </c>
      <c r="W43" s="11">
        <v>373</v>
      </c>
      <c r="X43" s="11"/>
    </row>
    <row r="44" spans="1:24" ht="21.75" customHeight="1" x14ac:dyDescent="0.2">
      <c r="A44" s="20"/>
      <c r="B44" s="15" t="s">
        <v>68</v>
      </c>
      <c r="C44" s="6" t="s">
        <v>33</v>
      </c>
      <c r="D44" s="7">
        <v>449589</v>
      </c>
      <c r="E44" s="7">
        <v>441880</v>
      </c>
      <c r="F44" s="7">
        <v>382278</v>
      </c>
      <c r="G44" s="7">
        <v>371155</v>
      </c>
      <c r="H44" s="7">
        <v>330375</v>
      </c>
      <c r="I44" s="7">
        <v>370611</v>
      </c>
      <c r="J44" s="7">
        <v>369024</v>
      </c>
      <c r="K44" s="7">
        <v>342281</v>
      </c>
      <c r="L44" s="7">
        <v>315347</v>
      </c>
      <c r="M44" s="7">
        <v>315815</v>
      </c>
      <c r="N44" s="7">
        <v>298539</v>
      </c>
      <c r="O44" s="7">
        <v>334995</v>
      </c>
      <c r="P44" s="7">
        <v>328549</v>
      </c>
      <c r="Q44" s="7">
        <v>353965</v>
      </c>
      <c r="R44" s="7">
        <v>317978</v>
      </c>
      <c r="S44" s="7">
        <v>336963</v>
      </c>
      <c r="T44" s="7">
        <v>306399</v>
      </c>
      <c r="U44" s="11">
        <v>345626</v>
      </c>
      <c r="V44" s="11">
        <v>301500</v>
      </c>
      <c r="W44" s="11">
        <v>346270</v>
      </c>
      <c r="X44" s="11"/>
    </row>
    <row r="45" spans="1:24" ht="21.75" customHeight="1" x14ac:dyDescent="0.2">
      <c r="A45" s="20"/>
      <c r="B45" s="9" t="s">
        <v>44</v>
      </c>
      <c r="C45" s="10" t="s">
        <v>37</v>
      </c>
      <c r="D45" s="145">
        <v>167</v>
      </c>
      <c r="E45" s="145">
        <v>149</v>
      </c>
      <c r="F45" s="145">
        <v>150</v>
      </c>
      <c r="G45" s="145">
        <v>179</v>
      </c>
      <c r="H45" s="145">
        <v>89</v>
      </c>
      <c r="I45" s="145">
        <v>120</v>
      </c>
      <c r="J45" s="145">
        <v>123</v>
      </c>
      <c r="K45" s="145">
        <v>135</v>
      </c>
      <c r="L45" s="145">
        <v>143</v>
      </c>
      <c r="M45" s="145">
        <v>144</v>
      </c>
      <c r="N45" s="145">
        <v>151</v>
      </c>
      <c r="O45" s="145">
        <v>184</v>
      </c>
      <c r="P45" s="145">
        <v>210</v>
      </c>
      <c r="Q45" s="145">
        <v>272</v>
      </c>
      <c r="R45" s="145">
        <v>273</v>
      </c>
      <c r="S45" s="145">
        <v>222</v>
      </c>
      <c r="T45" s="145">
        <v>185</v>
      </c>
      <c r="U45" s="49">
        <v>142</v>
      </c>
      <c r="V45" s="49">
        <v>130</v>
      </c>
      <c r="W45" s="49">
        <v>23</v>
      </c>
      <c r="X45" s="13"/>
    </row>
    <row r="46" spans="1:24" ht="21.75" customHeight="1" x14ac:dyDescent="0.2">
      <c r="A46" s="20"/>
      <c r="B46" s="5" t="s">
        <v>45</v>
      </c>
      <c r="C46" s="6" t="s">
        <v>37</v>
      </c>
      <c r="D46" s="145">
        <v>72</v>
      </c>
      <c r="E46" s="145">
        <v>51</v>
      </c>
      <c r="F46" s="145">
        <v>39</v>
      </c>
      <c r="G46" s="145">
        <v>46</v>
      </c>
      <c r="H46" s="145">
        <v>39</v>
      </c>
      <c r="I46" s="145">
        <v>53</v>
      </c>
      <c r="J46" s="145">
        <v>59</v>
      </c>
      <c r="K46" s="145">
        <v>68</v>
      </c>
      <c r="L46" s="145">
        <v>56</v>
      </c>
      <c r="M46" s="145">
        <v>71</v>
      </c>
      <c r="N46" s="145">
        <v>82</v>
      </c>
      <c r="O46" s="145">
        <v>97</v>
      </c>
      <c r="P46" s="145">
        <v>113</v>
      </c>
      <c r="Q46" s="145">
        <v>79</v>
      </c>
      <c r="R46" s="145">
        <v>64</v>
      </c>
      <c r="S46" s="145">
        <v>69</v>
      </c>
      <c r="T46" s="145">
        <v>56</v>
      </c>
      <c r="U46" s="49">
        <v>42</v>
      </c>
      <c r="V46" s="49">
        <v>35</v>
      </c>
      <c r="W46" s="49">
        <v>28</v>
      </c>
      <c r="X46" s="13"/>
    </row>
    <row r="47" spans="1:24" ht="18.75" customHeight="1" x14ac:dyDescent="0.2">
      <c r="A47" s="152" t="s">
        <v>46</v>
      </c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</row>
    <row r="48" spans="1:24" ht="21.75" customHeight="1" x14ac:dyDescent="0.2">
      <c r="A48" s="20"/>
      <c r="B48" s="5" t="s">
        <v>69</v>
      </c>
      <c r="C48" s="6" t="s">
        <v>42</v>
      </c>
      <c r="D48" s="7">
        <v>698</v>
      </c>
      <c r="E48" s="7">
        <v>360</v>
      </c>
      <c r="F48" s="7">
        <v>517</v>
      </c>
      <c r="G48" s="7">
        <v>490</v>
      </c>
      <c r="H48" s="7">
        <v>522</v>
      </c>
      <c r="I48" s="7">
        <v>571</v>
      </c>
      <c r="J48" s="7">
        <v>606</v>
      </c>
      <c r="K48" s="7">
        <v>615</v>
      </c>
      <c r="L48" s="7">
        <v>521</v>
      </c>
      <c r="M48" s="7">
        <v>687</v>
      </c>
      <c r="N48" s="7">
        <v>797</v>
      </c>
      <c r="O48" s="7">
        <v>982</v>
      </c>
      <c r="P48" s="7">
        <v>1108</v>
      </c>
      <c r="Q48" s="7">
        <v>1188</v>
      </c>
      <c r="R48" s="7">
        <v>764</v>
      </c>
      <c r="S48" s="7">
        <v>861</v>
      </c>
      <c r="T48" s="7">
        <v>809</v>
      </c>
      <c r="U48" s="11">
        <v>818</v>
      </c>
      <c r="V48" s="11">
        <v>801</v>
      </c>
      <c r="W48" s="11">
        <v>613</v>
      </c>
      <c r="X48" s="11"/>
    </row>
    <row r="49" spans="1:24" ht="21.75" customHeight="1" x14ac:dyDescent="0.2">
      <c r="A49" s="20"/>
      <c r="B49" s="17" t="s">
        <v>70</v>
      </c>
      <c r="C49" s="10" t="s">
        <v>33</v>
      </c>
      <c r="D49" s="7">
        <v>502669</v>
      </c>
      <c r="E49" s="7">
        <v>493986</v>
      </c>
      <c r="F49" s="7">
        <v>489091</v>
      </c>
      <c r="G49" s="7">
        <v>454087</v>
      </c>
      <c r="H49" s="7">
        <v>431867</v>
      </c>
      <c r="I49" s="7">
        <v>415129</v>
      </c>
      <c r="J49" s="7">
        <v>420144</v>
      </c>
      <c r="K49" s="7">
        <v>382586</v>
      </c>
      <c r="L49" s="7">
        <v>390207</v>
      </c>
      <c r="M49" s="7">
        <v>353715</v>
      </c>
      <c r="N49" s="7">
        <v>338830</v>
      </c>
      <c r="O49" s="7">
        <v>376777</v>
      </c>
      <c r="P49" s="7">
        <v>391634</v>
      </c>
      <c r="Q49" s="7">
        <v>402560</v>
      </c>
      <c r="R49" s="7">
        <v>369696</v>
      </c>
      <c r="S49" s="7">
        <v>381044</v>
      </c>
      <c r="T49" s="7">
        <v>366228</v>
      </c>
      <c r="U49" s="11">
        <v>327838</v>
      </c>
      <c r="V49" s="11">
        <v>337816</v>
      </c>
      <c r="W49" s="11">
        <v>367130</v>
      </c>
      <c r="X49" s="11"/>
    </row>
    <row r="50" spans="1:24" ht="21.75" customHeight="1" x14ac:dyDescent="0.2">
      <c r="A50" s="20"/>
      <c r="B50" s="5" t="s">
        <v>71</v>
      </c>
      <c r="C50" s="6" t="s">
        <v>37</v>
      </c>
      <c r="D50" s="16">
        <v>0.29899999999999999</v>
      </c>
      <c r="E50" s="16">
        <v>0.34399999999999997</v>
      </c>
      <c r="F50" s="16">
        <v>0.39400000000000002</v>
      </c>
      <c r="G50" s="16">
        <v>0.38300000000000001</v>
      </c>
      <c r="H50" s="16">
        <v>0.40200000000000002</v>
      </c>
      <c r="I50" s="16">
        <v>0.42299999999999999</v>
      </c>
      <c r="J50" s="16">
        <v>0.42099999999999999</v>
      </c>
      <c r="K50" s="16">
        <v>0.45300000000000001</v>
      </c>
      <c r="L50" s="16">
        <v>0.41199999999999998</v>
      </c>
      <c r="M50" s="16">
        <v>0.41699999999999998</v>
      </c>
      <c r="N50" s="16">
        <v>0.42199999999999999</v>
      </c>
      <c r="O50" s="16">
        <v>0.45</v>
      </c>
      <c r="P50" s="16">
        <v>0.44900000000000001</v>
      </c>
      <c r="Q50" s="16">
        <v>0.47</v>
      </c>
      <c r="R50" s="16">
        <v>0.49299999999999999</v>
      </c>
      <c r="S50" s="16">
        <v>0.54300000000000004</v>
      </c>
      <c r="T50" s="16">
        <v>0.56599999999999995</v>
      </c>
      <c r="U50" s="13">
        <v>0.58679999999999999</v>
      </c>
      <c r="V50" s="13">
        <v>0.5665</v>
      </c>
      <c r="W50" s="13">
        <v>0.62170000000000003</v>
      </c>
      <c r="X50" s="13"/>
    </row>
    <row r="51" spans="1:24" ht="21.75" customHeight="1" x14ac:dyDescent="0.2">
      <c r="A51" s="20"/>
      <c r="B51" s="17" t="s">
        <v>50</v>
      </c>
      <c r="C51" s="10" t="s">
        <v>42</v>
      </c>
      <c r="D51" s="7">
        <v>77</v>
      </c>
      <c r="E51" s="7">
        <v>66</v>
      </c>
      <c r="F51" s="7">
        <v>50</v>
      </c>
      <c r="G51" s="7">
        <v>58</v>
      </c>
      <c r="H51" s="7">
        <v>68</v>
      </c>
      <c r="I51" s="7">
        <v>81</v>
      </c>
      <c r="J51" s="7">
        <v>84</v>
      </c>
      <c r="K51" s="7">
        <v>99</v>
      </c>
      <c r="L51" s="7">
        <v>78</v>
      </c>
      <c r="M51" s="7">
        <v>91</v>
      </c>
      <c r="N51" s="7">
        <v>93</v>
      </c>
      <c r="O51" s="7">
        <v>135</v>
      </c>
      <c r="P51" s="7">
        <v>159</v>
      </c>
      <c r="Q51" s="7">
        <v>204</v>
      </c>
      <c r="R51" s="7">
        <v>85</v>
      </c>
      <c r="S51" s="7">
        <v>109</v>
      </c>
      <c r="T51" s="7">
        <v>93</v>
      </c>
      <c r="U51" s="11">
        <v>168</v>
      </c>
      <c r="V51" s="11">
        <v>181</v>
      </c>
      <c r="W51" s="11">
        <v>136</v>
      </c>
      <c r="X51" s="11"/>
    </row>
    <row r="52" spans="1:24" ht="21.75" customHeight="1" x14ac:dyDescent="0.2">
      <c r="A52" s="20"/>
      <c r="B52" s="15" t="s">
        <v>51</v>
      </c>
      <c r="C52" s="6" t="s">
        <v>33</v>
      </c>
      <c r="D52" s="7">
        <v>772562</v>
      </c>
      <c r="E52" s="7">
        <v>626734</v>
      </c>
      <c r="F52" s="7">
        <v>343740</v>
      </c>
      <c r="G52" s="7">
        <v>474534</v>
      </c>
      <c r="H52" s="7">
        <v>377264</v>
      </c>
      <c r="I52" s="7">
        <v>320401</v>
      </c>
      <c r="J52" s="7">
        <v>432409</v>
      </c>
      <c r="K52" s="7">
        <v>483220</v>
      </c>
      <c r="L52" s="7">
        <v>422123</v>
      </c>
      <c r="M52" s="7">
        <v>482900</v>
      </c>
      <c r="N52" s="7">
        <v>354030</v>
      </c>
      <c r="O52" s="7">
        <v>400730</v>
      </c>
      <c r="P52" s="7">
        <v>414917</v>
      </c>
      <c r="Q52" s="7">
        <v>333905</v>
      </c>
      <c r="R52" s="7">
        <v>462217</v>
      </c>
      <c r="S52" s="7">
        <v>422537</v>
      </c>
      <c r="T52" s="7">
        <v>349056</v>
      </c>
      <c r="U52" s="11">
        <v>306908</v>
      </c>
      <c r="V52" s="11">
        <v>314399</v>
      </c>
      <c r="W52" s="11">
        <v>465910</v>
      </c>
      <c r="X52" s="11"/>
    </row>
    <row r="53" spans="1:24" ht="21.75" customHeight="1" x14ac:dyDescent="0.2">
      <c r="A53" s="20"/>
      <c r="B53" s="17" t="s">
        <v>52</v>
      </c>
      <c r="C53" s="10" t="s">
        <v>42</v>
      </c>
      <c r="D53" s="7">
        <v>286</v>
      </c>
      <c r="E53" s="7">
        <v>146</v>
      </c>
      <c r="F53" s="7">
        <v>234</v>
      </c>
      <c r="G53" s="7">
        <v>191</v>
      </c>
      <c r="H53" s="7">
        <v>182</v>
      </c>
      <c r="I53" s="7">
        <v>173</v>
      </c>
      <c r="J53" s="7">
        <v>203</v>
      </c>
      <c r="K53" s="7">
        <v>220</v>
      </c>
      <c r="L53" s="7">
        <v>198</v>
      </c>
      <c r="M53" s="7">
        <v>243</v>
      </c>
      <c r="N53" s="7">
        <v>287</v>
      </c>
      <c r="O53" s="7">
        <v>341</v>
      </c>
      <c r="P53" s="7">
        <v>406</v>
      </c>
      <c r="Q53" s="7">
        <v>413</v>
      </c>
      <c r="R53" s="7">
        <v>344</v>
      </c>
      <c r="S53" s="7">
        <v>359</v>
      </c>
      <c r="T53" s="7">
        <v>275</v>
      </c>
      <c r="U53" s="11">
        <v>252</v>
      </c>
      <c r="V53" s="11">
        <v>229</v>
      </c>
      <c r="W53" s="11">
        <v>176</v>
      </c>
      <c r="X53" s="11"/>
    </row>
    <row r="54" spans="1:24" ht="21.75" customHeight="1" x14ac:dyDescent="0.2">
      <c r="A54" s="20"/>
      <c r="B54" s="15" t="s">
        <v>51</v>
      </c>
      <c r="C54" s="6" t="s">
        <v>33</v>
      </c>
      <c r="D54" s="7">
        <v>448317</v>
      </c>
      <c r="E54" s="7">
        <v>416325</v>
      </c>
      <c r="F54" s="7">
        <v>430083</v>
      </c>
      <c r="G54" s="7">
        <v>413732</v>
      </c>
      <c r="H54" s="7">
        <v>349670</v>
      </c>
      <c r="I54" s="7">
        <v>328541</v>
      </c>
      <c r="J54" s="7">
        <v>341310</v>
      </c>
      <c r="K54" s="7">
        <v>328074</v>
      </c>
      <c r="L54" s="7">
        <v>336192</v>
      </c>
      <c r="M54" s="7">
        <v>304778</v>
      </c>
      <c r="N54" s="7">
        <v>282490</v>
      </c>
      <c r="O54" s="7">
        <v>326296</v>
      </c>
      <c r="P54" s="7">
        <v>340607</v>
      </c>
      <c r="Q54" s="7">
        <v>359946</v>
      </c>
      <c r="R54" s="7">
        <v>311915</v>
      </c>
      <c r="S54" s="7">
        <v>336999</v>
      </c>
      <c r="T54" s="7">
        <v>339629</v>
      </c>
      <c r="U54" s="11">
        <v>329485</v>
      </c>
      <c r="V54" s="11">
        <v>330301</v>
      </c>
      <c r="W54" s="11">
        <v>359365</v>
      </c>
      <c r="X54" s="11"/>
    </row>
    <row r="55" spans="1:24" ht="21.75" customHeight="1" x14ac:dyDescent="0.2">
      <c r="A55" s="20"/>
      <c r="B55" s="17" t="s">
        <v>53</v>
      </c>
      <c r="C55" s="10" t="s">
        <v>42</v>
      </c>
      <c r="D55" s="7">
        <v>335</v>
      </c>
      <c r="E55" s="7">
        <v>148</v>
      </c>
      <c r="F55" s="7">
        <v>233</v>
      </c>
      <c r="G55" s="7">
        <v>241</v>
      </c>
      <c r="H55" s="7">
        <v>272</v>
      </c>
      <c r="I55" s="7">
        <v>317</v>
      </c>
      <c r="J55" s="7">
        <v>319</v>
      </c>
      <c r="K55" s="7">
        <v>296</v>
      </c>
      <c r="L55" s="7">
        <v>245</v>
      </c>
      <c r="M55" s="7">
        <v>353</v>
      </c>
      <c r="N55" s="7">
        <v>417</v>
      </c>
      <c r="O55" s="7">
        <v>506</v>
      </c>
      <c r="P55" s="7">
        <v>543</v>
      </c>
      <c r="Q55" s="7">
        <v>571</v>
      </c>
      <c r="R55" s="7">
        <v>335</v>
      </c>
      <c r="S55" s="7">
        <v>393</v>
      </c>
      <c r="T55" s="7">
        <v>441</v>
      </c>
      <c r="U55" s="11">
        <v>398</v>
      </c>
      <c r="V55" s="11">
        <v>391</v>
      </c>
      <c r="W55" s="11">
        <v>301</v>
      </c>
      <c r="X55" s="11"/>
    </row>
    <row r="56" spans="1:24" ht="21.75" customHeight="1" x14ac:dyDescent="0.2">
      <c r="A56" s="20"/>
      <c r="B56" s="15" t="s">
        <v>51</v>
      </c>
      <c r="C56" s="6" t="s">
        <v>33</v>
      </c>
      <c r="D56" s="7">
        <v>487036</v>
      </c>
      <c r="E56" s="7">
        <v>511400</v>
      </c>
      <c r="F56" s="7">
        <v>493220</v>
      </c>
      <c r="G56" s="7">
        <v>426108</v>
      </c>
      <c r="H56" s="7">
        <v>429441</v>
      </c>
      <c r="I56" s="7">
        <v>428227</v>
      </c>
      <c r="J56" s="7">
        <v>402582</v>
      </c>
      <c r="K56" s="7">
        <v>389444</v>
      </c>
      <c r="L56" s="7">
        <v>366995</v>
      </c>
      <c r="M56" s="7">
        <v>354100</v>
      </c>
      <c r="N56" s="7">
        <v>329327</v>
      </c>
      <c r="O56" s="7">
        <v>356382</v>
      </c>
      <c r="P56" s="7">
        <v>369487</v>
      </c>
      <c r="Q56" s="7">
        <v>393484</v>
      </c>
      <c r="R56" s="7">
        <v>346001</v>
      </c>
      <c r="S56" s="7">
        <v>373400</v>
      </c>
      <c r="T56" s="7">
        <v>335357</v>
      </c>
      <c r="U56" s="11">
        <v>336422</v>
      </c>
      <c r="V56" s="11">
        <v>354566</v>
      </c>
      <c r="W56" s="11">
        <v>327039</v>
      </c>
      <c r="X56" s="11"/>
    </row>
    <row r="57" spans="1:24" ht="18.75" customHeight="1" x14ac:dyDescent="0.2">
      <c r="A57" s="152" t="s">
        <v>54</v>
      </c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</row>
    <row r="58" spans="1:24" ht="21.75" customHeight="1" x14ac:dyDescent="0.2">
      <c r="A58" s="20"/>
      <c r="B58" s="5" t="s">
        <v>72</v>
      </c>
      <c r="C58" s="6" t="s">
        <v>42</v>
      </c>
      <c r="D58" s="7">
        <v>316</v>
      </c>
      <c r="E58" s="7">
        <v>174</v>
      </c>
      <c r="F58" s="7">
        <v>263</v>
      </c>
      <c r="G58" s="7">
        <v>282</v>
      </c>
      <c r="H58" s="7">
        <v>294</v>
      </c>
      <c r="I58" s="7">
        <v>326</v>
      </c>
      <c r="J58" s="7">
        <v>356</v>
      </c>
      <c r="K58" s="7">
        <v>380</v>
      </c>
      <c r="L58" s="7">
        <v>321</v>
      </c>
      <c r="M58" s="7">
        <v>423</v>
      </c>
      <c r="N58" s="7">
        <v>466</v>
      </c>
      <c r="O58" s="7">
        <v>616</v>
      </c>
      <c r="P58" s="7">
        <v>660</v>
      </c>
      <c r="Q58" s="7">
        <v>728</v>
      </c>
      <c r="R58" s="7">
        <v>487</v>
      </c>
      <c r="S58" s="7">
        <v>561</v>
      </c>
      <c r="T58" s="7">
        <v>545</v>
      </c>
      <c r="U58" s="11">
        <v>579</v>
      </c>
      <c r="V58" s="11">
        <v>832</v>
      </c>
      <c r="W58" s="11">
        <v>447</v>
      </c>
      <c r="X58" s="11"/>
    </row>
    <row r="59" spans="1:24" ht="21.75" customHeight="1" x14ac:dyDescent="0.2">
      <c r="A59" s="20"/>
      <c r="B59" s="17" t="s">
        <v>56</v>
      </c>
      <c r="C59" s="10" t="s">
        <v>33</v>
      </c>
      <c r="D59" s="7">
        <v>568478</v>
      </c>
      <c r="E59" s="7">
        <v>560642</v>
      </c>
      <c r="F59" s="7">
        <v>576787</v>
      </c>
      <c r="G59" s="7">
        <v>508265</v>
      </c>
      <c r="H59" s="7">
        <v>495984</v>
      </c>
      <c r="I59" s="7">
        <v>493393</v>
      </c>
      <c r="J59" s="7">
        <v>499735</v>
      </c>
      <c r="K59" s="7">
        <v>436487</v>
      </c>
      <c r="L59" s="7">
        <v>438104</v>
      </c>
      <c r="M59" s="7">
        <v>412222</v>
      </c>
      <c r="N59" s="7">
        <v>387999</v>
      </c>
      <c r="O59" s="7">
        <v>435587</v>
      </c>
      <c r="P59" s="7">
        <v>444641</v>
      </c>
      <c r="Q59" s="7">
        <v>442207</v>
      </c>
      <c r="R59" s="7">
        <v>403039</v>
      </c>
      <c r="S59" s="7">
        <v>418389</v>
      </c>
      <c r="T59" s="7">
        <v>404222</v>
      </c>
      <c r="U59" s="11">
        <v>331118</v>
      </c>
      <c r="V59" s="11">
        <v>320520</v>
      </c>
      <c r="W59" s="11">
        <v>392773</v>
      </c>
      <c r="X59" s="11"/>
    </row>
    <row r="60" spans="1:24" ht="21.75" customHeight="1" x14ac:dyDescent="0.2">
      <c r="A60" s="20"/>
      <c r="B60" s="5" t="s">
        <v>73</v>
      </c>
      <c r="C60" s="6" t="s">
        <v>58</v>
      </c>
      <c r="D60" s="7">
        <v>1834742</v>
      </c>
      <c r="E60" s="7">
        <v>1803049</v>
      </c>
      <c r="F60" s="7">
        <v>1785182</v>
      </c>
      <c r="G60" s="7">
        <v>1657418</v>
      </c>
      <c r="H60" s="7">
        <v>1576315</v>
      </c>
      <c r="I60" s="7">
        <v>1515221</v>
      </c>
      <c r="J60" s="7">
        <v>1533526</v>
      </c>
      <c r="K60" s="7">
        <v>1396439</v>
      </c>
      <c r="L60" s="7">
        <v>1424256</v>
      </c>
      <c r="M60" s="7">
        <v>1291060</v>
      </c>
      <c r="N60" s="7">
        <v>1236730</v>
      </c>
      <c r="O60" s="7">
        <v>1375236</v>
      </c>
      <c r="P60" s="7">
        <v>1429464</v>
      </c>
      <c r="Q60" s="7">
        <v>1469344</v>
      </c>
      <c r="R60" s="7">
        <v>1349390</v>
      </c>
      <c r="S60" s="7">
        <v>1390811</v>
      </c>
      <c r="T60" s="7">
        <v>1336732</v>
      </c>
      <c r="U60" s="11">
        <v>1196609</v>
      </c>
      <c r="V60" s="11">
        <v>1233028</v>
      </c>
      <c r="W60" s="11">
        <v>1340024</v>
      </c>
      <c r="X60" s="11"/>
    </row>
    <row r="61" spans="1:24" ht="49.5" customHeight="1" x14ac:dyDescent="0.2">
      <c r="A61" s="18" t="s">
        <v>74</v>
      </c>
    </row>
    <row r="62" spans="1:24" ht="33" customHeight="1" x14ac:dyDescent="0.2">
      <c r="A62" s="19" t="s">
        <v>75</v>
      </c>
    </row>
    <row r="63" spans="1:24" ht="21.75" customHeight="1" x14ac:dyDescent="0.2">
      <c r="A63" s="20"/>
      <c r="B63" s="9" t="s">
        <v>76</v>
      </c>
      <c r="C63" s="10" t="s">
        <v>29</v>
      </c>
      <c r="D63" s="7">
        <v>87240654</v>
      </c>
      <c r="E63" s="7">
        <v>65243000</v>
      </c>
      <c r="F63" s="7">
        <v>62782000</v>
      </c>
      <c r="G63" s="7">
        <v>43304000</v>
      </c>
      <c r="H63" s="7">
        <v>39079544</v>
      </c>
      <c r="I63" s="7">
        <v>52499000</v>
      </c>
      <c r="J63" s="7">
        <v>22881034</v>
      </c>
      <c r="K63" s="7">
        <v>51224832</v>
      </c>
      <c r="L63" s="7">
        <v>34352665</v>
      </c>
      <c r="M63" s="7">
        <v>77261699</v>
      </c>
      <c r="N63" s="7">
        <v>130425056</v>
      </c>
      <c r="O63" s="7">
        <v>122721120</v>
      </c>
      <c r="P63" s="7">
        <v>61484513</v>
      </c>
      <c r="Q63" s="7">
        <v>56922457</v>
      </c>
      <c r="R63" s="7">
        <v>63782621</v>
      </c>
      <c r="S63" s="7">
        <v>29806251</v>
      </c>
      <c r="T63" s="7">
        <v>22615042</v>
      </c>
      <c r="U63" s="8">
        <v>27162334</v>
      </c>
      <c r="V63" s="8">
        <v>40164072</v>
      </c>
      <c r="W63" s="8">
        <v>16227627</v>
      </c>
      <c r="X63" s="8"/>
    </row>
    <row r="64" spans="1:24" ht="21.75" customHeight="1" x14ac:dyDescent="0.2">
      <c r="A64" s="20"/>
      <c r="B64" s="9" t="s">
        <v>77</v>
      </c>
      <c r="C64" s="10" t="s">
        <v>37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2.3099999999999999E-2</v>
      </c>
      <c r="Q64" s="16">
        <v>2.4E-2</v>
      </c>
      <c r="R64" s="16">
        <v>3.5400000000000001E-2</v>
      </c>
      <c r="S64" s="16">
        <v>1.7100000000000001E-2</v>
      </c>
      <c r="T64" s="16">
        <v>1.4E-2</v>
      </c>
      <c r="U64" s="21">
        <v>1.7000000000000001E-2</v>
      </c>
      <c r="V64" s="21">
        <v>2.3313380602290611E-2</v>
      </c>
      <c r="W64" s="132">
        <v>1.3549E-2</v>
      </c>
      <c r="X64" s="8"/>
    </row>
    <row r="65" spans="1:24" ht="21.75" customHeight="1" x14ac:dyDescent="0.2"/>
    <row r="66" spans="1:24" ht="21.75" customHeight="1" x14ac:dyDescent="0.2">
      <c r="A66" s="22" t="s">
        <v>78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</row>
    <row r="67" spans="1:24" ht="21.75" customHeight="1" x14ac:dyDescent="0.2">
      <c r="A67" s="24" t="s">
        <v>79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</row>
    <row r="68" spans="1:24" ht="21.75" customHeight="1" x14ac:dyDescent="0.2">
      <c r="A68" s="25"/>
      <c r="B68" s="9" t="s">
        <v>80</v>
      </c>
      <c r="C68" s="10" t="s">
        <v>29</v>
      </c>
      <c r="D68" s="7">
        <v>3155596416</v>
      </c>
      <c r="E68" s="7">
        <v>1688596770</v>
      </c>
      <c r="F68" s="7">
        <v>1879993928</v>
      </c>
      <c r="G68" s="7">
        <v>1672055128</v>
      </c>
      <c r="H68" s="7">
        <v>1618985453</v>
      </c>
      <c r="I68" s="7">
        <v>1557229608</v>
      </c>
      <c r="J68" s="7">
        <v>1647719432</v>
      </c>
      <c r="K68" s="7">
        <v>1661331245</v>
      </c>
      <c r="L68" s="7">
        <v>1369882071</v>
      </c>
      <c r="M68" s="7">
        <v>1670861597</v>
      </c>
      <c r="N68" s="7">
        <v>2045388728</v>
      </c>
      <c r="O68" s="7">
        <v>2313338249</v>
      </c>
      <c r="P68" s="7">
        <v>2660307528</v>
      </c>
      <c r="Q68" s="7">
        <v>2366974722</v>
      </c>
      <c r="R68" s="7">
        <v>1802685973</v>
      </c>
      <c r="S68" s="7">
        <v>1743405696</v>
      </c>
      <c r="T68" s="7">
        <v>1613576922</v>
      </c>
      <c r="U68" s="8">
        <v>1593519594</v>
      </c>
      <c r="V68" s="8">
        <v>1722790559</v>
      </c>
      <c r="W68" s="8">
        <v>1197681060</v>
      </c>
      <c r="X68" s="8">
        <f>IFERROR(SUM('📅 DAILY T9'!C$6:C$35)+SUM('📅 DAILY T9'!G$6:I$35),0)</f>
        <v>0</v>
      </c>
    </row>
    <row r="69" spans="1:24" ht="18.75" customHeight="1" x14ac:dyDescent="0.2">
      <c r="A69" s="150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51"/>
    </row>
    <row r="70" spans="1:24" ht="21.75" customHeight="1" x14ac:dyDescent="0.2">
      <c r="A70" s="25"/>
      <c r="B70" s="9" t="s">
        <v>81</v>
      </c>
      <c r="C70" s="10" t="s">
        <v>38</v>
      </c>
      <c r="D70" s="26">
        <v>1.0900000000000001</v>
      </c>
      <c r="E70" s="26">
        <v>1.1200000000000001</v>
      </c>
      <c r="F70" s="26">
        <v>1.1299999999999999</v>
      </c>
      <c r="G70" s="26">
        <v>1.1200000000000001</v>
      </c>
      <c r="H70" s="26">
        <v>1.1399999999999999</v>
      </c>
      <c r="I70" s="26">
        <v>1.1200000000000001</v>
      </c>
      <c r="J70" s="26">
        <v>1.1399999999999999</v>
      </c>
      <c r="K70" s="26">
        <v>1.1399999999999999</v>
      </c>
      <c r="L70" s="26">
        <v>1.1299999999999999</v>
      </c>
      <c r="M70" s="26">
        <v>1.1599999999999999</v>
      </c>
      <c r="N70" s="26">
        <v>1.1399999999999999</v>
      </c>
      <c r="O70" s="26">
        <v>1.1599999999999999</v>
      </c>
      <c r="P70" s="26">
        <v>1.17</v>
      </c>
      <c r="Q70" s="26">
        <v>1.1299999999999999</v>
      </c>
      <c r="R70" s="26">
        <v>1.1599999999999999</v>
      </c>
      <c r="S70" s="26">
        <v>1.1499999999999999</v>
      </c>
      <c r="T70" s="26">
        <v>1.17</v>
      </c>
      <c r="U70" s="14">
        <v>1.1399999999999999</v>
      </c>
      <c r="V70" s="14">
        <v>1.1599999999999999</v>
      </c>
      <c r="W70" s="14">
        <v>1.1180000000000001</v>
      </c>
      <c r="X70" s="14"/>
    </row>
    <row r="71" spans="1:24" ht="21.75" customHeight="1" x14ac:dyDescent="0.2">
      <c r="A71" s="25"/>
      <c r="B71" s="5" t="s">
        <v>82</v>
      </c>
      <c r="C71" s="6" t="s">
        <v>42</v>
      </c>
      <c r="D71" s="7">
        <v>3764</v>
      </c>
      <c r="E71" s="7">
        <v>5005</v>
      </c>
      <c r="F71" s="7">
        <v>6609</v>
      </c>
      <c r="G71" s="7">
        <v>7096</v>
      </c>
      <c r="H71" s="7">
        <v>7928</v>
      </c>
      <c r="I71" s="7">
        <v>8606</v>
      </c>
      <c r="J71" s="7">
        <v>9262</v>
      </c>
      <c r="K71" s="7">
        <v>9813</v>
      </c>
      <c r="L71" s="7">
        <v>10509</v>
      </c>
      <c r="M71" s="7">
        <v>11154</v>
      </c>
      <c r="N71" s="7">
        <v>11228</v>
      </c>
      <c r="O71" s="7">
        <v>11608</v>
      </c>
      <c r="P71" s="7">
        <v>12361</v>
      </c>
      <c r="Q71" s="7">
        <v>13046</v>
      </c>
      <c r="R71" s="7">
        <v>14587</v>
      </c>
      <c r="S71" s="7">
        <v>16222</v>
      </c>
      <c r="T71" s="7">
        <v>16877</v>
      </c>
      <c r="U71" s="11">
        <v>19281</v>
      </c>
      <c r="V71" s="11">
        <v>19927</v>
      </c>
      <c r="W71" s="11">
        <v>19923</v>
      </c>
      <c r="X71" s="11"/>
    </row>
    <row r="72" spans="1:24" ht="21.75" customHeight="1" x14ac:dyDescent="0.2">
      <c r="A72" s="25"/>
      <c r="B72" s="9" t="s">
        <v>83</v>
      </c>
      <c r="C72" s="10" t="s">
        <v>42</v>
      </c>
      <c r="D72" s="7">
        <v>0</v>
      </c>
      <c r="E72" s="7">
        <v>354</v>
      </c>
      <c r="F72" s="7">
        <v>552</v>
      </c>
      <c r="G72" s="7">
        <v>670</v>
      </c>
      <c r="H72" s="7">
        <v>628</v>
      </c>
      <c r="I72" s="7">
        <v>659</v>
      </c>
      <c r="J72" s="7">
        <v>703</v>
      </c>
      <c r="K72" s="7">
        <v>822</v>
      </c>
      <c r="L72" s="7">
        <v>640</v>
      </c>
      <c r="M72" s="7">
        <v>839</v>
      </c>
      <c r="N72" s="7">
        <v>1043</v>
      </c>
      <c r="O72" s="7">
        <v>1045</v>
      </c>
      <c r="P72" s="7">
        <v>1104</v>
      </c>
      <c r="Q72" s="7">
        <v>1117</v>
      </c>
      <c r="R72" s="7">
        <v>823</v>
      </c>
      <c r="S72" s="7">
        <v>895</v>
      </c>
      <c r="T72" s="7">
        <v>1020</v>
      </c>
      <c r="U72" s="11">
        <v>984</v>
      </c>
      <c r="V72" s="11">
        <v>1493</v>
      </c>
      <c r="W72" s="11">
        <v>1024</v>
      </c>
      <c r="X72" s="11"/>
    </row>
    <row r="73" spans="1:24" ht="21.75" customHeight="1" x14ac:dyDescent="0.2">
      <c r="A73" s="25"/>
      <c r="B73" s="5" t="s">
        <v>84</v>
      </c>
      <c r="C73" s="6" t="s">
        <v>85</v>
      </c>
      <c r="D73" s="27">
        <v>56</v>
      </c>
      <c r="E73" s="27">
        <v>58</v>
      </c>
      <c r="F73" s="27">
        <v>61</v>
      </c>
      <c r="G73" s="27">
        <v>63</v>
      </c>
      <c r="H73" s="27">
        <v>66</v>
      </c>
      <c r="I73" s="27">
        <v>69</v>
      </c>
      <c r="J73" s="27">
        <v>72</v>
      </c>
      <c r="K73" s="27">
        <v>75</v>
      </c>
      <c r="L73" s="27">
        <v>77</v>
      </c>
      <c r="M73" s="27">
        <v>80</v>
      </c>
      <c r="N73" s="27">
        <v>84</v>
      </c>
      <c r="O73" s="27">
        <v>87</v>
      </c>
      <c r="P73" s="27">
        <v>90</v>
      </c>
      <c r="Q73" s="27">
        <v>92</v>
      </c>
      <c r="R73" s="27">
        <v>93</v>
      </c>
      <c r="S73" s="27">
        <v>94</v>
      </c>
      <c r="T73" s="27">
        <v>95</v>
      </c>
      <c r="U73" s="28">
        <v>96</v>
      </c>
      <c r="V73" s="28">
        <v>97</v>
      </c>
      <c r="W73" s="28">
        <v>95</v>
      </c>
      <c r="X73" s="28">
        <v>98</v>
      </c>
    </row>
    <row r="74" spans="1:24" ht="25.5" customHeight="1" x14ac:dyDescent="0.2">
      <c r="B74" s="113" t="s">
        <v>86</v>
      </c>
      <c r="D74" s="114">
        <v>58</v>
      </c>
      <c r="E74" s="114">
        <v>60</v>
      </c>
      <c r="F74" s="114">
        <v>63</v>
      </c>
      <c r="G74" s="114">
        <v>66</v>
      </c>
      <c r="H74" s="114">
        <v>70</v>
      </c>
      <c r="I74" s="114">
        <v>73</v>
      </c>
      <c r="J74" s="114">
        <v>76</v>
      </c>
      <c r="K74" s="114">
        <v>80</v>
      </c>
      <c r="L74" s="114">
        <v>83</v>
      </c>
      <c r="M74" s="114">
        <v>86</v>
      </c>
      <c r="N74" s="114">
        <v>90</v>
      </c>
      <c r="O74" s="114">
        <v>93</v>
      </c>
      <c r="P74" s="114">
        <v>97</v>
      </c>
      <c r="Q74" s="114">
        <v>99</v>
      </c>
      <c r="R74" s="114">
        <v>100</v>
      </c>
      <c r="S74" s="114">
        <v>101</v>
      </c>
      <c r="T74" s="114">
        <v>102</v>
      </c>
      <c r="U74" s="114">
        <v>103</v>
      </c>
      <c r="V74" s="114">
        <v>104</v>
      </c>
      <c r="W74">
        <v>105</v>
      </c>
      <c r="X74">
        <v>105</v>
      </c>
    </row>
    <row r="75" spans="1:24" ht="21.75" customHeight="1" x14ac:dyDescent="0.2">
      <c r="B75" s="113" t="s">
        <v>87</v>
      </c>
      <c r="D75" s="114">
        <v>56</v>
      </c>
      <c r="E75" s="114">
        <v>57</v>
      </c>
      <c r="F75" s="114">
        <v>60</v>
      </c>
      <c r="G75" s="114">
        <v>62</v>
      </c>
      <c r="H75" s="114">
        <v>65</v>
      </c>
      <c r="I75" s="114">
        <v>68</v>
      </c>
      <c r="J75" s="114">
        <v>70</v>
      </c>
      <c r="K75" s="114">
        <v>73</v>
      </c>
      <c r="L75" s="114">
        <v>74</v>
      </c>
      <c r="M75" s="114">
        <v>77</v>
      </c>
      <c r="N75" s="114">
        <v>80</v>
      </c>
      <c r="O75" s="114">
        <v>84</v>
      </c>
      <c r="P75" s="114">
        <v>89</v>
      </c>
      <c r="Q75" s="114">
        <v>93</v>
      </c>
      <c r="R75" s="114">
        <v>94</v>
      </c>
      <c r="S75" s="114">
        <v>96</v>
      </c>
      <c r="T75" s="114">
        <v>97</v>
      </c>
      <c r="U75" s="114">
        <v>99</v>
      </c>
      <c r="V75" s="114">
        <v>99</v>
      </c>
      <c r="W75">
        <v>92</v>
      </c>
      <c r="X75">
        <v>100</v>
      </c>
    </row>
    <row r="76" spans="1:24" ht="21.75" customHeight="1" x14ac:dyDescent="0.2">
      <c r="A76" s="24" t="s">
        <v>88</v>
      </c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</row>
    <row r="77" spans="1:24" ht="21.75" customHeight="1" x14ac:dyDescent="0.2">
      <c r="A77" s="25"/>
      <c r="B77" s="15" t="s">
        <v>89</v>
      </c>
      <c r="C77" s="6" t="s">
        <v>58</v>
      </c>
      <c r="D77" s="7">
        <v>1682420</v>
      </c>
      <c r="E77" s="7">
        <v>1697971</v>
      </c>
      <c r="F77" s="7">
        <v>1647813</v>
      </c>
      <c r="G77" s="7">
        <v>1590798</v>
      </c>
      <c r="H77" s="7">
        <v>1567974</v>
      </c>
      <c r="I77" s="7">
        <v>1502827</v>
      </c>
      <c r="J77" s="7">
        <v>1560559</v>
      </c>
      <c r="K77" s="7">
        <v>1457531</v>
      </c>
      <c r="L77" s="7">
        <v>1416398</v>
      </c>
      <c r="M77" s="7">
        <v>1385887</v>
      </c>
      <c r="N77" s="7">
        <v>1367706</v>
      </c>
      <c r="O77" s="7">
        <v>1433049</v>
      </c>
      <c r="P77" s="7">
        <v>1484601</v>
      </c>
      <c r="Q77" s="7">
        <v>1467356</v>
      </c>
      <c r="R77" s="7">
        <v>1449002</v>
      </c>
      <c r="S77" s="7">
        <v>1490197</v>
      </c>
      <c r="T77" s="7">
        <v>1463010</v>
      </c>
      <c r="U77" s="11">
        <v>1243436</v>
      </c>
      <c r="V77" s="11">
        <v>1296094</v>
      </c>
      <c r="W77" s="11">
        <v>605581</v>
      </c>
      <c r="X77" s="11"/>
    </row>
    <row r="78" spans="1:24" ht="21.75" customHeight="1" x14ac:dyDescent="0.2">
      <c r="A78" s="25"/>
      <c r="B78" s="17" t="s">
        <v>90</v>
      </c>
      <c r="C78" s="10" t="s">
        <v>58</v>
      </c>
      <c r="D78" s="7">
        <v>1207160</v>
      </c>
      <c r="E78" s="7">
        <v>1186307</v>
      </c>
      <c r="F78" s="7">
        <v>1174552</v>
      </c>
      <c r="G78" s="7">
        <v>1090490</v>
      </c>
      <c r="H78" s="7">
        <v>1037129</v>
      </c>
      <c r="I78" s="7">
        <v>996932</v>
      </c>
      <c r="J78" s="7">
        <v>1008976</v>
      </c>
      <c r="K78" s="7">
        <v>918780</v>
      </c>
      <c r="L78" s="7">
        <v>937082</v>
      </c>
      <c r="M78" s="7">
        <v>849447</v>
      </c>
      <c r="N78" s="7">
        <v>813700</v>
      </c>
      <c r="O78" s="7">
        <v>904830</v>
      </c>
      <c r="P78" s="7">
        <v>940509</v>
      </c>
      <c r="Q78" s="7">
        <v>966748</v>
      </c>
      <c r="R78" s="7">
        <v>887825</v>
      </c>
      <c r="S78" s="7">
        <v>915077</v>
      </c>
      <c r="T78" s="7">
        <v>879497</v>
      </c>
      <c r="U78" s="11">
        <v>787303</v>
      </c>
      <c r="V78" s="11">
        <v>811265</v>
      </c>
      <c r="W78" s="11">
        <v>370238</v>
      </c>
      <c r="X78" s="11"/>
    </row>
    <row r="79" spans="1:24" ht="21.75" customHeight="1" x14ac:dyDescent="0.2">
      <c r="A79" s="25"/>
      <c r="B79" s="15" t="s">
        <v>91</v>
      </c>
      <c r="C79" s="6" t="s">
        <v>58</v>
      </c>
      <c r="D79" s="7">
        <v>2063244</v>
      </c>
      <c r="E79" s="7">
        <v>2082315</v>
      </c>
      <c r="F79" s="7">
        <v>2020803</v>
      </c>
      <c r="G79" s="7">
        <v>1950883</v>
      </c>
      <c r="H79" s="7">
        <v>1922893</v>
      </c>
      <c r="I79" s="7">
        <v>1843000</v>
      </c>
      <c r="J79" s="7">
        <v>1913799</v>
      </c>
      <c r="K79" s="7">
        <v>1787450</v>
      </c>
      <c r="L79" s="7">
        <v>1737007</v>
      </c>
      <c r="M79" s="7">
        <v>1699589</v>
      </c>
      <c r="N79" s="7">
        <v>1677293</v>
      </c>
      <c r="O79" s="7">
        <v>1757426</v>
      </c>
      <c r="P79" s="7">
        <v>1820648</v>
      </c>
      <c r="Q79" s="7">
        <v>1799499</v>
      </c>
      <c r="R79" s="7">
        <v>1776990</v>
      </c>
      <c r="S79" s="7">
        <v>1827510</v>
      </c>
      <c r="T79" s="7">
        <v>1794170</v>
      </c>
      <c r="U79" s="11">
        <v>1524894</v>
      </c>
      <c r="V79" s="11">
        <v>1589471</v>
      </c>
      <c r="W79" s="11">
        <v>1668585</v>
      </c>
      <c r="X79" s="11"/>
    </row>
    <row r="80" spans="1:24" ht="21.75" customHeight="1" x14ac:dyDescent="0.2">
      <c r="A80" s="25"/>
      <c r="B80" s="17" t="s">
        <v>92</v>
      </c>
      <c r="C80" s="10" t="s">
        <v>58</v>
      </c>
      <c r="D80" s="7">
        <v>1834742</v>
      </c>
      <c r="E80" s="7">
        <v>1803049</v>
      </c>
      <c r="F80" s="7">
        <v>1785182</v>
      </c>
      <c r="G80" s="7">
        <v>1657418</v>
      </c>
      <c r="H80" s="7">
        <v>1576315</v>
      </c>
      <c r="I80" s="7">
        <v>1515221</v>
      </c>
      <c r="J80" s="7">
        <v>1533526</v>
      </c>
      <c r="K80" s="7">
        <v>1396439</v>
      </c>
      <c r="L80" s="7">
        <v>1424256</v>
      </c>
      <c r="M80" s="7">
        <v>1291060</v>
      </c>
      <c r="N80" s="7">
        <v>1236730</v>
      </c>
      <c r="O80" s="7">
        <v>1375236</v>
      </c>
      <c r="P80" s="7">
        <v>1429464</v>
      </c>
      <c r="Q80" s="7">
        <v>1469344</v>
      </c>
      <c r="R80" s="7">
        <v>1349390</v>
      </c>
      <c r="S80" s="7">
        <v>1390811</v>
      </c>
      <c r="T80" s="7">
        <v>1336732</v>
      </c>
      <c r="U80" s="11">
        <v>1196609</v>
      </c>
      <c r="V80" s="11">
        <v>1233028</v>
      </c>
      <c r="W80" s="11">
        <v>1340024</v>
      </c>
      <c r="X80" s="11"/>
    </row>
    <row r="81" spans="1:24" ht="21.75" customHeight="1" x14ac:dyDescent="0.2">
      <c r="A81" s="154" t="s">
        <v>93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</row>
    <row r="82" spans="1:24" ht="18.75" customHeight="1" x14ac:dyDescent="0.2">
      <c r="A82" s="29"/>
      <c r="B82" s="9"/>
      <c r="C82" s="10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11"/>
      <c r="V82" s="11"/>
      <c r="W82" s="11"/>
      <c r="X82" s="11"/>
    </row>
    <row r="83" spans="1:24" ht="18.75" customHeight="1" x14ac:dyDescent="0.2">
      <c r="A83" s="29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1"/>
    </row>
    <row r="84" spans="1:24" ht="18.75" customHeight="1" x14ac:dyDescent="0.2">
      <c r="A84" s="29"/>
      <c r="B84" s="9"/>
      <c r="C84" s="10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13"/>
      <c r="V84" s="13"/>
      <c r="W84" s="13"/>
      <c r="X84" s="13"/>
    </row>
    <row r="85" spans="1:24" ht="18.75" customHeight="1" x14ac:dyDescent="0.2">
      <c r="A85" s="29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11"/>
      <c r="V85" s="11"/>
      <c r="W85" s="11"/>
      <c r="X85" s="11"/>
    </row>
    <row r="86" spans="1:24" ht="99.75" customHeight="1" x14ac:dyDescent="0.2">
      <c r="A86" s="29"/>
      <c r="B86" s="9"/>
      <c r="C86" s="10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11"/>
      <c r="V86" s="11"/>
      <c r="W86" s="11"/>
      <c r="X86" s="11"/>
    </row>
    <row r="87" spans="1:24" ht="18.75" customHeight="1" x14ac:dyDescent="0.2">
      <c r="A87" s="29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11"/>
      <c r="V87" s="11"/>
      <c r="W87" s="11"/>
      <c r="X87" s="11"/>
    </row>
    <row r="88" spans="1:24" ht="18.75" customHeight="1" x14ac:dyDescent="0.2">
      <c r="A88" s="30" t="s">
        <v>94</v>
      </c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</row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6">
    <mergeCell ref="A1:X1"/>
    <mergeCell ref="A5:X5"/>
    <mergeCell ref="A13:X13"/>
    <mergeCell ref="A14:X14"/>
    <mergeCell ref="A2:X2"/>
    <mergeCell ref="A42:X42"/>
    <mergeCell ref="A41:X41"/>
    <mergeCell ref="A19:X19"/>
    <mergeCell ref="A33:X33"/>
    <mergeCell ref="A34:X34"/>
    <mergeCell ref="A69:X69"/>
    <mergeCell ref="A29:X29"/>
    <mergeCell ref="A4:X4"/>
    <mergeCell ref="A81:X81"/>
    <mergeCell ref="A57:X57"/>
    <mergeCell ref="A47:X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372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45901</v>
      </c>
      <c r="B6" s="48" t="s">
        <v>400</v>
      </c>
      <c r="C6" s="49">
        <v>17405800</v>
      </c>
      <c r="D6" s="49">
        <v>43</v>
      </c>
      <c r="E6" s="49"/>
      <c r="F6" s="49"/>
      <c r="G6" s="49">
        <v>4758280</v>
      </c>
      <c r="H6" s="49">
        <v>2213852</v>
      </c>
      <c r="I6" s="49"/>
      <c r="J6" s="49">
        <v>26</v>
      </c>
      <c r="K6" s="49"/>
      <c r="L6" s="50"/>
      <c r="M6" s="8">
        <f t="shared" ref="M6:M35" si="0">IF(SUM(G6:I6)&gt;0,SUM(G6:I6),"")</f>
        <v>6972132</v>
      </c>
      <c r="N6" s="8">
        <f t="shared" ref="N6:N35" si="1">IF(N(C6)+N(M6)&gt;0,N(C6)+N(M6),"")</f>
        <v>24377932</v>
      </c>
      <c r="O6" s="8">
        <f t="shared" ref="O6:O35" si="2">IFERROR(IF(D6&gt;0,C6/D6,""),"")</f>
        <v>404786.04651162791</v>
      </c>
      <c r="P6" s="8">
        <f t="shared" ref="P6:P35" si="3">IFERROR(IF(J6&gt;0,M6/J6,""),"")</f>
        <v>268158.92307692306</v>
      </c>
      <c r="Q6" s="21" t="str">
        <f t="shared" ref="Q6:Q35" si="4">IFERROR(IF(E6&gt;0,D6/E6,""),"")</f>
        <v/>
      </c>
    </row>
    <row r="7" spans="1:17" ht="21.75" customHeight="1" x14ac:dyDescent="0.2">
      <c r="A7" s="47">
        <v>45902</v>
      </c>
      <c r="B7" s="48" t="s">
        <v>401</v>
      </c>
      <c r="C7" s="49">
        <v>11310026</v>
      </c>
      <c r="D7" s="49">
        <v>30</v>
      </c>
      <c r="E7" s="49"/>
      <c r="F7" s="49"/>
      <c r="G7" s="49">
        <v>5022454</v>
      </c>
      <c r="H7" s="49">
        <v>5236003</v>
      </c>
      <c r="I7" s="49"/>
      <c r="J7" s="49">
        <v>33</v>
      </c>
      <c r="K7" s="49">
        <v>416666</v>
      </c>
      <c r="L7" s="50"/>
      <c r="M7" s="8">
        <f t="shared" si="0"/>
        <v>10258457</v>
      </c>
      <c r="N7" s="8">
        <f t="shared" si="1"/>
        <v>21568483</v>
      </c>
      <c r="O7" s="8">
        <f t="shared" si="2"/>
        <v>377000.86666666664</v>
      </c>
      <c r="P7" s="8">
        <f t="shared" si="3"/>
        <v>310862.33333333331</v>
      </c>
      <c r="Q7" s="21" t="str">
        <f t="shared" si="4"/>
        <v/>
      </c>
    </row>
    <row r="8" spans="1:17" ht="21.75" customHeight="1" x14ac:dyDescent="0.2">
      <c r="A8" s="47">
        <v>45903</v>
      </c>
      <c r="B8" s="48" t="s">
        <v>402</v>
      </c>
      <c r="C8" s="49">
        <v>24840511</v>
      </c>
      <c r="D8" s="49">
        <v>48</v>
      </c>
      <c r="E8" s="49"/>
      <c r="F8" s="49"/>
      <c r="G8" s="49">
        <v>5662486</v>
      </c>
      <c r="H8" s="49"/>
      <c r="I8" s="49">
        <v>2961658</v>
      </c>
      <c r="J8" s="49">
        <v>31</v>
      </c>
      <c r="K8" s="49">
        <v>3428000</v>
      </c>
      <c r="L8" s="50"/>
      <c r="M8" s="8">
        <f t="shared" si="0"/>
        <v>8624144</v>
      </c>
      <c r="N8" s="8">
        <f t="shared" si="1"/>
        <v>33464655</v>
      </c>
      <c r="O8" s="8">
        <f t="shared" si="2"/>
        <v>517510.64583333331</v>
      </c>
      <c r="P8" s="8">
        <f t="shared" si="3"/>
        <v>278198.19354838709</v>
      </c>
      <c r="Q8" s="21" t="str">
        <f t="shared" si="4"/>
        <v/>
      </c>
    </row>
    <row r="9" spans="1:17" ht="21.75" customHeight="1" x14ac:dyDescent="0.2">
      <c r="A9" s="47">
        <v>45904</v>
      </c>
      <c r="B9" s="48" t="s">
        <v>403</v>
      </c>
      <c r="C9" s="49">
        <v>29953501</v>
      </c>
      <c r="D9" s="49">
        <v>66</v>
      </c>
      <c r="E9" s="49"/>
      <c r="F9" s="49"/>
      <c r="G9" s="49">
        <v>12685411</v>
      </c>
      <c r="H9" s="49">
        <v>11268018</v>
      </c>
      <c r="I9" s="49">
        <v>3229141</v>
      </c>
      <c r="J9" s="49">
        <v>83</v>
      </c>
      <c r="K9" s="49"/>
      <c r="L9" s="50"/>
      <c r="M9" s="8">
        <f t="shared" si="0"/>
        <v>27182570</v>
      </c>
      <c r="N9" s="8">
        <f t="shared" si="1"/>
        <v>57136071</v>
      </c>
      <c r="O9" s="8">
        <f t="shared" si="2"/>
        <v>453840.92424242425</v>
      </c>
      <c r="P9" s="8">
        <f t="shared" si="3"/>
        <v>327500.84337349399</v>
      </c>
      <c r="Q9" s="21" t="str">
        <f t="shared" si="4"/>
        <v/>
      </c>
    </row>
    <row r="10" spans="1:17" ht="21.75" customHeight="1" x14ac:dyDescent="0.2">
      <c r="A10" s="47">
        <v>45905</v>
      </c>
      <c r="B10" s="48" t="s">
        <v>404</v>
      </c>
      <c r="C10" s="49">
        <v>45888242</v>
      </c>
      <c r="D10" s="49">
        <v>91</v>
      </c>
      <c r="E10" s="49"/>
      <c r="F10" s="49"/>
      <c r="G10" s="49">
        <v>7231104</v>
      </c>
      <c r="H10" s="49">
        <v>3876508</v>
      </c>
      <c r="I10" s="49">
        <v>2258894</v>
      </c>
      <c r="J10" s="49">
        <v>60</v>
      </c>
      <c r="K10" s="49">
        <v>1797091</v>
      </c>
      <c r="L10" s="50"/>
      <c r="M10" s="8">
        <f t="shared" si="0"/>
        <v>13366506</v>
      </c>
      <c r="N10" s="8">
        <f t="shared" si="1"/>
        <v>59254748</v>
      </c>
      <c r="O10" s="8">
        <f t="shared" si="2"/>
        <v>504266.3956043956</v>
      </c>
      <c r="P10" s="8">
        <f t="shared" si="3"/>
        <v>222775.1</v>
      </c>
      <c r="Q10" s="21" t="str">
        <f t="shared" si="4"/>
        <v/>
      </c>
    </row>
    <row r="11" spans="1:17" ht="21.75" customHeight="1" x14ac:dyDescent="0.2">
      <c r="A11" s="51">
        <v>45906</v>
      </c>
      <c r="B11" s="52" t="s">
        <v>405</v>
      </c>
      <c r="C11" s="49">
        <v>50945745</v>
      </c>
      <c r="D11" s="49">
        <v>102</v>
      </c>
      <c r="E11" s="49"/>
      <c r="F11" s="49"/>
      <c r="G11" s="49">
        <v>8169929</v>
      </c>
      <c r="H11" s="49">
        <v>4431012</v>
      </c>
      <c r="I11" s="49">
        <v>3696805</v>
      </c>
      <c r="J11" s="49">
        <v>55</v>
      </c>
      <c r="K11" s="49">
        <v>514815</v>
      </c>
      <c r="L11" s="50"/>
      <c r="M11" s="8">
        <f t="shared" si="0"/>
        <v>16297746</v>
      </c>
      <c r="N11" s="8">
        <f t="shared" si="1"/>
        <v>67243491</v>
      </c>
      <c r="O11" s="8">
        <f t="shared" si="2"/>
        <v>499468.0882352941</v>
      </c>
      <c r="P11" s="8">
        <f t="shared" si="3"/>
        <v>296322.65454545454</v>
      </c>
      <c r="Q11" s="21" t="str">
        <f t="shared" si="4"/>
        <v/>
      </c>
    </row>
    <row r="12" spans="1:17" ht="21.75" customHeight="1" x14ac:dyDescent="0.2">
      <c r="A12" s="51">
        <v>45907</v>
      </c>
      <c r="B12" s="52" t="s">
        <v>406</v>
      </c>
      <c r="C12" s="49">
        <v>29576870</v>
      </c>
      <c r="D12" s="49">
        <v>69</v>
      </c>
      <c r="E12" s="49"/>
      <c r="F12" s="49"/>
      <c r="G12" s="49">
        <v>7235327</v>
      </c>
      <c r="H12" s="49">
        <v>5821019</v>
      </c>
      <c r="I12" s="49">
        <v>3292484</v>
      </c>
      <c r="J12" s="49">
        <v>52</v>
      </c>
      <c r="K12" s="49"/>
      <c r="L12" s="50"/>
      <c r="M12" s="8">
        <f t="shared" si="0"/>
        <v>16348830</v>
      </c>
      <c r="N12" s="8">
        <f t="shared" si="1"/>
        <v>45925700</v>
      </c>
      <c r="O12" s="8">
        <f t="shared" si="2"/>
        <v>428650.28985507245</v>
      </c>
      <c r="P12" s="8">
        <f t="shared" si="3"/>
        <v>314400.57692307694</v>
      </c>
      <c r="Q12" s="21" t="str">
        <f t="shared" si="4"/>
        <v/>
      </c>
    </row>
    <row r="13" spans="1:17" ht="21.75" customHeight="1" x14ac:dyDescent="0.2">
      <c r="A13" s="47">
        <v>45908</v>
      </c>
      <c r="B13" s="48" t="s">
        <v>400</v>
      </c>
      <c r="C13" s="49">
        <v>33927496</v>
      </c>
      <c r="D13" s="49">
        <v>72</v>
      </c>
      <c r="E13" s="49"/>
      <c r="F13" s="49"/>
      <c r="G13" s="49">
        <v>5970868</v>
      </c>
      <c r="H13" s="49">
        <v>3200010</v>
      </c>
      <c r="I13" s="49">
        <v>3458029</v>
      </c>
      <c r="J13" s="49">
        <v>40</v>
      </c>
      <c r="K13" s="49">
        <v>1426454</v>
      </c>
      <c r="L13" s="50"/>
      <c r="M13" s="8">
        <f t="shared" si="0"/>
        <v>12628907</v>
      </c>
      <c r="N13" s="8">
        <f t="shared" si="1"/>
        <v>46556403</v>
      </c>
      <c r="O13" s="8">
        <f t="shared" si="2"/>
        <v>471215.22222222225</v>
      </c>
      <c r="P13" s="8">
        <f t="shared" si="3"/>
        <v>315722.67499999999</v>
      </c>
      <c r="Q13" s="21" t="str">
        <f t="shared" si="4"/>
        <v/>
      </c>
    </row>
    <row r="14" spans="1:17" ht="21.75" customHeight="1" x14ac:dyDescent="0.2">
      <c r="A14" s="47">
        <v>45909</v>
      </c>
      <c r="B14" s="48" t="s">
        <v>401</v>
      </c>
      <c r="C14" s="49">
        <v>38648100</v>
      </c>
      <c r="D14" s="49">
        <v>78</v>
      </c>
      <c r="E14" s="49"/>
      <c r="F14" s="49"/>
      <c r="G14" s="49">
        <v>4494547</v>
      </c>
      <c r="H14" s="49">
        <v>5326522</v>
      </c>
      <c r="I14" s="49">
        <v>1101999</v>
      </c>
      <c r="J14" s="49">
        <v>39</v>
      </c>
      <c r="K14" s="49">
        <v>761659</v>
      </c>
      <c r="L14" s="50"/>
      <c r="M14" s="8">
        <f t="shared" si="0"/>
        <v>10923068</v>
      </c>
      <c r="N14" s="8">
        <f t="shared" si="1"/>
        <v>49571168</v>
      </c>
      <c r="O14" s="8">
        <f t="shared" si="2"/>
        <v>495488.46153846156</v>
      </c>
      <c r="P14" s="8">
        <f t="shared" si="3"/>
        <v>280078.66666666669</v>
      </c>
      <c r="Q14" s="21" t="str">
        <f t="shared" si="4"/>
        <v/>
      </c>
    </row>
    <row r="15" spans="1:17" ht="21.75" customHeight="1" x14ac:dyDescent="0.2">
      <c r="A15" s="47">
        <v>45910</v>
      </c>
      <c r="B15" s="48" t="s">
        <v>402</v>
      </c>
      <c r="C15" s="49">
        <v>33681837</v>
      </c>
      <c r="D15" s="49">
        <v>71</v>
      </c>
      <c r="E15" s="49"/>
      <c r="F15" s="49"/>
      <c r="G15" s="49">
        <v>7731000</v>
      </c>
      <c r="H15" s="49">
        <v>3933022</v>
      </c>
      <c r="I15" s="49">
        <v>1216394</v>
      </c>
      <c r="J15" s="49">
        <v>41</v>
      </c>
      <c r="K15" s="49">
        <v>1507200</v>
      </c>
      <c r="L15" s="50"/>
      <c r="M15" s="8">
        <f t="shared" si="0"/>
        <v>12880416</v>
      </c>
      <c r="N15" s="8">
        <f t="shared" si="1"/>
        <v>46562253</v>
      </c>
      <c r="O15" s="8">
        <f t="shared" si="2"/>
        <v>474392.07042253524</v>
      </c>
      <c r="P15" s="8">
        <f t="shared" si="3"/>
        <v>314156.48780487804</v>
      </c>
      <c r="Q15" s="21" t="str">
        <f t="shared" si="4"/>
        <v/>
      </c>
    </row>
    <row r="16" spans="1:17" ht="21.75" customHeight="1" x14ac:dyDescent="0.2">
      <c r="A16" s="47">
        <v>45911</v>
      </c>
      <c r="B16" s="48" t="s">
        <v>403</v>
      </c>
      <c r="C16" s="49">
        <v>26812700</v>
      </c>
      <c r="D16" s="49">
        <v>61</v>
      </c>
      <c r="E16" s="49"/>
      <c r="F16" s="49"/>
      <c r="G16" s="49">
        <v>6536399</v>
      </c>
      <c r="H16" s="49">
        <v>4443509</v>
      </c>
      <c r="I16" s="49">
        <v>1614151</v>
      </c>
      <c r="J16" s="49">
        <v>38</v>
      </c>
      <c r="K16" s="49"/>
      <c r="L16" s="50"/>
      <c r="M16" s="8">
        <f t="shared" si="0"/>
        <v>12594059</v>
      </c>
      <c r="N16" s="8">
        <f t="shared" si="1"/>
        <v>39406759</v>
      </c>
      <c r="O16" s="8">
        <f t="shared" si="2"/>
        <v>439552.45901639346</v>
      </c>
      <c r="P16" s="8">
        <f t="shared" si="3"/>
        <v>331422.60526315792</v>
      </c>
      <c r="Q16" s="21" t="str">
        <f t="shared" si="4"/>
        <v/>
      </c>
    </row>
    <row r="17" spans="1:17" ht="21.75" customHeight="1" x14ac:dyDescent="0.2">
      <c r="A17" s="47">
        <v>45912</v>
      </c>
      <c r="B17" s="48" t="s">
        <v>404</v>
      </c>
      <c r="C17" s="49">
        <v>29527781</v>
      </c>
      <c r="D17" s="49">
        <v>75</v>
      </c>
      <c r="E17" s="49"/>
      <c r="F17" s="49"/>
      <c r="G17" s="49">
        <v>8229871</v>
      </c>
      <c r="H17" s="49">
        <v>6027008</v>
      </c>
      <c r="I17" s="49">
        <v>1746928</v>
      </c>
      <c r="J17" s="49">
        <v>57</v>
      </c>
      <c r="K17" s="49">
        <v>296296</v>
      </c>
      <c r="L17" s="50"/>
      <c r="M17" s="8">
        <f t="shared" si="0"/>
        <v>16003807</v>
      </c>
      <c r="N17" s="8">
        <f t="shared" si="1"/>
        <v>45531588</v>
      </c>
      <c r="O17" s="8">
        <f t="shared" si="2"/>
        <v>393703.74666666664</v>
      </c>
      <c r="P17" s="8">
        <f t="shared" si="3"/>
        <v>280768.5438596491</v>
      </c>
      <c r="Q17" s="21" t="str">
        <f t="shared" si="4"/>
        <v/>
      </c>
    </row>
    <row r="18" spans="1:17" ht="21.75" customHeight="1" x14ac:dyDescent="0.2">
      <c r="A18" s="51">
        <v>45913</v>
      </c>
      <c r="B18" s="52" t="s">
        <v>405</v>
      </c>
      <c r="C18" s="49">
        <v>23921033</v>
      </c>
      <c r="D18" s="49">
        <v>59</v>
      </c>
      <c r="E18" s="49"/>
      <c r="F18" s="49"/>
      <c r="G18" s="49">
        <v>9591424</v>
      </c>
      <c r="H18" s="49">
        <v>4290009</v>
      </c>
      <c r="I18" s="49">
        <v>2593449</v>
      </c>
      <c r="J18" s="49">
        <v>59</v>
      </c>
      <c r="K18" s="49"/>
      <c r="L18" s="50"/>
      <c r="M18" s="8">
        <f t="shared" si="0"/>
        <v>16474882</v>
      </c>
      <c r="N18" s="8">
        <f t="shared" si="1"/>
        <v>40395915</v>
      </c>
      <c r="O18" s="8">
        <f t="shared" si="2"/>
        <v>405441.23728813557</v>
      </c>
      <c r="P18" s="8">
        <f t="shared" si="3"/>
        <v>279235.28813559323</v>
      </c>
      <c r="Q18" s="21" t="str">
        <f t="shared" si="4"/>
        <v/>
      </c>
    </row>
    <row r="19" spans="1:17" ht="21.75" customHeight="1" x14ac:dyDescent="0.2">
      <c r="A19" s="51">
        <v>45914</v>
      </c>
      <c r="B19" s="52" t="s">
        <v>406</v>
      </c>
      <c r="C19" s="49">
        <v>23329785</v>
      </c>
      <c r="D19" s="49">
        <v>56</v>
      </c>
      <c r="E19" s="49"/>
      <c r="F19" s="49"/>
      <c r="G19" s="49">
        <v>10329055</v>
      </c>
      <c r="H19" s="49">
        <v>7984017</v>
      </c>
      <c r="I19" s="49">
        <v>2876941</v>
      </c>
      <c r="J19" s="49">
        <v>70</v>
      </c>
      <c r="K19" s="49">
        <v>1285700</v>
      </c>
      <c r="L19" s="50"/>
      <c r="M19" s="8">
        <f t="shared" si="0"/>
        <v>21190013</v>
      </c>
      <c r="N19" s="8">
        <f t="shared" si="1"/>
        <v>44519798</v>
      </c>
      <c r="O19" s="8">
        <f t="shared" si="2"/>
        <v>416603.30357142858</v>
      </c>
      <c r="P19" s="8">
        <f t="shared" si="3"/>
        <v>302714.47142857144</v>
      </c>
      <c r="Q19" s="21" t="str">
        <f t="shared" si="4"/>
        <v/>
      </c>
    </row>
    <row r="20" spans="1:17" ht="21.75" customHeight="1" x14ac:dyDescent="0.2">
      <c r="A20" s="47">
        <v>45915</v>
      </c>
      <c r="B20" s="48" t="s">
        <v>400</v>
      </c>
      <c r="C20" s="49">
        <v>32438741</v>
      </c>
      <c r="D20" s="49">
        <v>82</v>
      </c>
      <c r="E20" s="49"/>
      <c r="F20" s="49"/>
      <c r="G20" s="49">
        <v>12566191</v>
      </c>
      <c r="H20" s="49">
        <v>5017015</v>
      </c>
      <c r="I20" s="49">
        <v>3173440</v>
      </c>
      <c r="J20" s="49">
        <v>58</v>
      </c>
      <c r="K20" s="49">
        <v>324000</v>
      </c>
      <c r="L20" s="50"/>
      <c r="M20" s="8">
        <f t="shared" si="0"/>
        <v>20756646</v>
      </c>
      <c r="N20" s="8">
        <f t="shared" si="1"/>
        <v>53195387</v>
      </c>
      <c r="O20" s="8">
        <f t="shared" si="2"/>
        <v>395594.40243902442</v>
      </c>
      <c r="P20" s="8">
        <f t="shared" si="3"/>
        <v>357873.20689655171</v>
      </c>
      <c r="Q20" s="21" t="str">
        <f t="shared" si="4"/>
        <v/>
      </c>
    </row>
    <row r="21" spans="1:17" ht="21.75" customHeight="1" x14ac:dyDescent="0.2">
      <c r="A21" s="47">
        <v>45916</v>
      </c>
      <c r="B21" s="48" t="s">
        <v>401</v>
      </c>
      <c r="C21" s="49">
        <v>33225366</v>
      </c>
      <c r="D21" s="49">
        <v>70</v>
      </c>
      <c r="E21" s="49"/>
      <c r="F21" s="49"/>
      <c r="G21" s="49">
        <v>7255113</v>
      </c>
      <c r="H21" s="49">
        <v>4552009</v>
      </c>
      <c r="I21" s="49">
        <v>1835984</v>
      </c>
      <c r="J21" s="49">
        <v>43</v>
      </c>
      <c r="K21" s="49">
        <v>4082001</v>
      </c>
      <c r="L21" s="50"/>
      <c r="M21" s="8">
        <f t="shared" si="0"/>
        <v>13643106</v>
      </c>
      <c r="N21" s="8">
        <f t="shared" si="1"/>
        <v>46868472</v>
      </c>
      <c r="O21" s="8">
        <f t="shared" si="2"/>
        <v>474648.08571428573</v>
      </c>
      <c r="P21" s="8">
        <f t="shared" si="3"/>
        <v>317281.53488372092</v>
      </c>
      <c r="Q21" s="21" t="str">
        <f t="shared" si="4"/>
        <v/>
      </c>
    </row>
    <row r="22" spans="1:17" ht="21.75" customHeight="1" x14ac:dyDescent="0.2">
      <c r="A22" s="47">
        <v>45917</v>
      </c>
      <c r="B22" s="48" t="s">
        <v>402</v>
      </c>
      <c r="C22" s="49">
        <v>37999900</v>
      </c>
      <c r="D22" s="49">
        <v>71</v>
      </c>
      <c r="E22" s="49"/>
      <c r="F22" s="49"/>
      <c r="G22" s="49">
        <v>5825722</v>
      </c>
      <c r="H22" s="49">
        <v>9666637</v>
      </c>
      <c r="I22" s="49">
        <v>2183482</v>
      </c>
      <c r="J22" s="49">
        <v>35</v>
      </c>
      <c r="K22" s="49"/>
      <c r="L22" s="50"/>
      <c r="M22" s="8">
        <f t="shared" si="0"/>
        <v>17675841</v>
      </c>
      <c r="N22" s="8">
        <f t="shared" si="1"/>
        <v>55675741</v>
      </c>
      <c r="O22" s="8">
        <f t="shared" si="2"/>
        <v>535209.85915492952</v>
      </c>
      <c r="P22" s="8">
        <f t="shared" si="3"/>
        <v>505024.02857142856</v>
      </c>
      <c r="Q22" s="21" t="str">
        <f t="shared" si="4"/>
        <v/>
      </c>
    </row>
    <row r="23" spans="1:17" ht="21.75" customHeight="1" x14ac:dyDescent="0.2">
      <c r="A23" s="47">
        <v>45918</v>
      </c>
      <c r="B23" s="48" t="s">
        <v>403</v>
      </c>
      <c r="C23" s="49">
        <v>27647035</v>
      </c>
      <c r="D23" s="49">
        <v>61</v>
      </c>
      <c r="E23" s="49"/>
      <c r="F23" s="49"/>
      <c r="G23" s="49">
        <v>5222939</v>
      </c>
      <c r="H23" s="49">
        <v>5923243</v>
      </c>
      <c r="I23" s="49">
        <v>664984</v>
      </c>
      <c r="J23" s="49">
        <v>39</v>
      </c>
      <c r="K23" s="49">
        <v>1673809</v>
      </c>
      <c r="L23" s="50"/>
      <c r="M23" s="8">
        <f t="shared" si="0"/>
        <v>11811166</v>
      </c>
      <c r="N23" s="8">
        <f t="shared" si="1"/>
        <v>39458201</v>
      </c>
      <c r="O23" s="8">
        <f t="shared" si="2"/>
        <v>453230.08196721313</v>
      </c>
      <c r="P23" s="8">
        <f t="shared" si="3"/>
        <v>302850.41025641025</v>
      </c>
      <c r="Q23" s="21" t="str">
        <f t="shared" si="4"/>
        <v/>
      </c>
    </row>
    <row r="24" spans="1:17" ht="21.75" customHeight="1" x14ac:dyDescent="0.2">
      <c r="A24" s="47">
        <v>45919</v>
      </c>
      <c r="B24" s="48" t="s">
        <v>404</v>
      </c>
      <c r="C24" s="49">
        <v>38581505</v>
      </c>
      <c r="D24" s="49">
        <v>87</v>
      </c>
      <c r="E24" s="49"/>
      <c r="F24" s="49"/>
      <c r="G24" s="49">
        <v>7338093</v>
      </c>
      <c r="H24" s="49">
        <v>5774032</v>
      </c>
      <c r="I24" s="49">
        <v>2459929</v>
      </c>
      <c r="J24" s="49">
        <v>63</v>
      </c>
      <c r="K24" s="49"/>
      <c r="L24" s="50"/>
      <c r="M24" s="8">
        <f t="shared" si="0"/>
        <v>15572054</v>
      </c>
      <c r="N24" s="8">
        <f t="shared" si="1"/>
        <v>54153559</v>
      </c>
      <c r="O24" s="8">
        <f t="shared" si="2"/>
        <v>443465.57471264369</v>
      </c>
      <c r="P24" s="8">
        <f t="shared" si="3"/>
        <v>247175.46031746033</v>
      </c>
      <c r="Q24" s="21" t="str">
        <f t="shared" si="4"/>
        <v/>
      </c>
    </row>
    <row r="25" spans="1:17" ht="21.75" customHeight="1" x14ac:dyDescent="0.2">
      <c r="A25" s="51">
        <v>45920</v>
      </c>
      <c r="B25" s="52" t="s">
        <v>405</v>
      </c>
      <c r="C25" s="49">
        <v>52501141</v>
      </c>
      <c r="D25" s="49">
        <v>104</v>
      </c>
      <c r="E25" s="49"/>
      <c r="F25" s="49"/>
      <c r="G25" s="49">
        <v>11842915</v>
      </c>
      <c r="H25" s="49">
        <v>3043003</v>
      </c>
      <c r="I25" s="49">
        <v>2584176</v>
      </c>
      <c r="J25" s="49">
        <v>60</v>
      </c>
      <c r="K25" s="49"/>
      <c r="L25" s="50"/>
      <c r="M25" s="8">
        <f t="shared" si="0"/>
        <v>17470094</v>
      </c>
      <c r="N25" s="8">
        <f t="shared" si="1"/>
        <v>69971235</v>
      </c>
      <c r="O25" s="8">
        <f t="shared" si="2"/>
        <v>504818.66346153844</v>
      </c>
      <c r="P25" s="8">
        <f t="shared" si="3"/>
        <v>291168.23333333334</v>
      </c>
      <c r="Q25" s="21" t="str">
        <f t="shared" si="4"/>
        <v/>
      </c>
    </row>
    <row r="26" spans="1:17" ht="21.75" customHeight="1" x14ac:dyDescent="0.2">
      <c r="A26" s="51">
        <v>45921</v>
      </c>
      <c r="B26" s="52" t="s">
        <v>406</v>
      </c>
      <c r="C26" s="49">
        <v>21848379</v>
      </c>
      <c r="D26" s="49">
        <v>52</v>
      </c>
      <c r="E26" s="49"/>
      <c r="F26" s="49"/>
      <c r="G26" s="49">
        <v>11213258</v>
      </c>
      <c r="H26" s="49">
        <v>5978018</v>
      </c>
      <c r="I26" s="49">
        <v>6314664</v>
      </c>
      <c r="J26" s="49">
        <v>76</v>
      </c>
      <c r="K26" s="49">
        <v>259259</v>
      </c>
      <c r="L26" s="50"/>
      <c r="M26" s="8">
        <f t="shared" si="0"/>
        <v>23505940</v>
      </c>
      <c r="N26" s="8">
        <f t="shared" si="1"/>
        <v>45354319</v>
      </c>
      <c r="O26" s="8">
        <f t="shared" si="2"/>
        <v>420161.13461538462</v>
      </c>
      <c r="P26" s="8">
        <f t="shared" si="3"/>
        <v>309288.68421052629</v>
      </c>
      <c r="Q26" s="21" t="str">
        <f t="shared" si="4"/>
        <v/>
      </c>
    </row>
    <row r="27" spans="1:17" ht="21.75" customHeight="1" x14ac:dyDescent="0.2">
      <c r="A27" s="47">
        <v>45922</v>
      </c>
      <c r="B27" s="48" t="s">
        <v>400</v>
      </c>
      <c r="C27" s="49">
        <v>22409951</v>
      </c>
      <c r="D27" s="49">
        <v>46</v>
      </c>
      <c r="E27" s="49"/>
      <c r="F27" s="49"/>
      <c r="G27" s="49">
        <v>4242893</v>
      </c>
      <c r="H27" s="49">
        <v>4755512</v>
      </c>
      <c r="I27" s="49">
        <v>2546967</v>
      </c>
      <c r="J27" s="49">
        <v>42</v>
      </c>
      <c r="K27" s="49">
        <v>2061881</v>
      </c>
      <c r="L27" s="50"/>
      <c r="M27" s="8">
        <f t="shared" si="0"/>
        <v>11545372</v>
      </c>
      <c r="N27" s="8">
        <f t="shared" si="1"/>
        <v>33955323</v>
      </c>
      <c r="O27" s="8">
        <f t="shared" si="2"/>
        <v>487172.84782608697</v>
      </c>
      <c r="P27" s="8">
        <f t="shared" si="3"/>
        <v>274889.80952380953</v>
      </c>
      <c r="Q27" s="21" t="str">
        <f t="shared" si="4"/>
        <v/>
      </c>
    </row>
    <row r="28" spans="1:17" ht="21.75" customHeight="1" x14ac:dyDescent="0.2">
      <c r="A28" s="47">
        <v>45923</v>
      </c>
      <c r="B28" s="48" t="s">
        <v>401</v>
      </c>
      <c r="C28" s="49">
        <v>43520514</v>
      </c>
      <c r="D28" s="49">
        <v>91</v>
      </c>
      <c r="E28" s="49"/>
      <c r="F28" s="49"/>
      <c r="G28" s="49">
        <v>7881467</v>
      </c>
      <c r="H28" s="49">
        <v>3430847</v>
      </c>
      <c r="I28" s="49">
        <v>2316945</v>
      </c>
      <c r="J28" s="49">
        <v>41</v>
      </c>
      <c r="K28" s="49">
        <v>3558029</v>
      </c>
      <c r="L28" s="50"/>
      <c r="M28" s="8">
        <f t="shared" si="0"/>
        <v>13629259</v>
      </c>
      <c r="N28" s="8">
        <f t="shared" si="1"/>
        <v>57149773</v>
      </c>
      <c r="O28" s="8">
        <f t="shared" si="2"/>
        <v>478247.40659340657</v>
      </c>
      <c r="P28" s="8">
        <f t="shared" si="3"/>
        <v>332420.95121951221</v>
      </c>
      <c r="Q28" s="21" t="str">
        <f t="shared" si="4"/>
        <v/>
      </c>
    </row>
    <row r="29" spans="1:17" ht="21.75" customHeight="1" x14ac:dyDescent="0.2">
      <c r="A29" s="47">
        <v>45924</v>
      </c>
      <c r="B29" s="48" t="s">
        <v>402</v>
      </c>
      <c r="C29" s="49">
        <v>32086170</v>
      </c>
      <c r="D29" s="49">
        <v>71</v>
      </c>
      <c r="E29" s="49"/>
      <c r="F29" s="49"/>
      <c r="G29" s="49">
        <v>8641766</v>
      </c>
      <c r="H29" s="49">
        <v>3799845</v>
      </c>
      <c r="I29" s="49">
        <v>3535932</v>
      </c>
      <c r="J29" s="49">
        <v>62</v>
      </c>
      <c r="K29" s="49">
        <v>162037</v>
      </c>
      <c r="L29" s="50"/>
      <c r="M29" s="8">
        <f t="shared" si="0"/>
        <v>15977543</v>
      </c>
      <c r="N29" s="8">
        <f t="shared" si="1"/>
        <v>48063713</v>
      </c>
      <c r="O29" s="8">
        <f t="shared" si="2"/>
        <v>451917.88732394367</v>
      </c>
      <c r="P29" s="8">
        <f t="shared" si="3"/>
        <v>257702.30645161291</v>
      </c>
      <c r="Q29" s="21" t="str">
        <f t="shared" si="4"/>
        <v/>
      </c>
    </row>
    <row r="30" spans="1:17" ht="21.75" customHeight="1" x14ac:dyDescent="0.2">
      <c r="A30" s="47">
        <v>45925</v>
      </c>
      <c r="B30" s="48" t="s">
        <v>403</v>
      </c>
      <c r="C30" s="49">
        <v>28764094</v>
      </c>
      <c r="D30" s="49">
        <v>69</v>
      </c>
      <c r="E30" s="49"/>
      <c r="F30" s="49"/>
      <c r="G30" s="49">
        <v>8357707</v>
      </c>
      <c r="H30" s="49">
        <v>3545005</v>
      </c>
      <c r="I30" s="49">
        <v>3694207</v>
      </c>
      <c r="J30" s="49">
        <v>53</v>
      </c>
      <c r="K30" s="49"/>
      <c r="L30" s="50"/>
      <c r="M30" s="8">
        <f t="shared" si="0"/>
        <v>15596919</v>
      </c>
      <c r="N30" s="8">
        <f t="shared" si="1"/>
        <v>44361013</v>
      </c>
      <c r="O30" s="8">
        <f t="shared" si="2"/>
        <v>416870.92753623187</v>
      </c>
      <c r="P30" s="8">
        <f t="shared" si="3"/>
        <v>294281.49056603771</v>
      </c>
      <c r="Q30" s="21" t="str">
        <f t="shared" si="4"/>
        <v/>
      </c>
    </row>
    <row r="31" spans="1:17" ht="21.75" customHeight="1" x14ac:dyDescent="0.2">
      <c r="A31" s="47">
        <v>45926</v>
      </c>
      <c r="B31" s="48" t="s">
        <v>404</v>
      </c>
      <c r="C31" s="49">
        <v>33911641</v>
      </c>
      <c r="D31" s="49">
        <v>84</v>
      </c>
      <c r="E31" s="49"/>
      <c r="F31" s="49"/>
      <c r="G31" s="49">
        <v>6275861</v>
      </c>
      <c r="H31" s="49">
        <v>5301898</v>
      </c>
      <c r="I31" s="49">
        <v>2341943</v>
      </c>
      <c r="J31" s="49">
        <v>51</v>
      </c>
      <c r="K31" s="49">
        <v>185185</v>
      </c>
      <c r="L31" s="50"/>
      <c r="M31" s="8">
        <f t="shared" si="0"/>
        <v>13919702</v>
      </c>
      <c r="N31" s="8">
        <f t="shared" si="1"/>
        <v>47831343</v>
      </c>
      <c r="O31" s="8">
        <f t="shared" si="2"/>
        <v>403710.01190476189</v>
      </c>
      <c r="P31" s="8">
        <f t="shared" si="3"/>
        <v>272935.33333333331</v>
      </c>
      <c r="Q31" s="21" t="str">
        <f t="shared" si="4"/>
        <v/>
      </c>
    </row>
    <row r="32" spans="1:17" ht="21.75" customHeight="1" x14ac:dyDescent="0.2">
      <c r="A32" s="51">
        <v>45927</v>
      </c>
      <c r="B32" s="52" t="s">
        <v>405</v>
      </c>
      <c r="C32" s="49">
        <v>36097782</v>
      </c>
      <c r="D32" s="49">
        <v>85</v>
      </c>
      <c r="E32" s="49"/>
      <c r="F32" s="49"/>
      <c r="G32" s="49">
        <v>10291567</v>
      </c>
      <c r="H32" s="49">
        <v>6519027</v>
      </c>
      <c r="I32" s="49">
        <v>1619345</v>
      </c>
      <c r="J32" s="49">
        <v>69</v>
      </c>
      <c r="K32" s="49"/>
      <c r="L32" s="50"/>
      <c r="M32" s="8">
        <f t="shared" si="0"/>
        <v>18429939</v>
      </c>
      <c r="N32" s="8">
        <f t="shared" si="1"/>
        <v>54527721</v>
      </c>
      <c r="O32" s="8">
        <f t="shared" si="2"/>
        <v>424679.78823529411</v>
      </c>
      <c r="P32" s="8">
        <f t="shared" si="3"/>
        <v>267100.5652173913</v>
      </c>
      <c r="Q32" s="21" t="str">
        <f t="shared" si="4"/>
        <v/>
      </c>
    </row>
    <row r="33" spans="1:17" ht="21.75" customHeight="1" x14ac:dyDescent="0.2">
      <c r="A33" s="51">
        <v>45928</v>
      </c>
      <c r="B33" s="52" t="s">
        <v>406</v>
      </c>
      <c r="C33" s="49">
        <v>17055038</v>
      </c>
      <c r="D33" s="49">
        <v>49</v>
      </c>
      <c r="E33" s="49"/>
      <c r="F33" s="49"/>
      <c r="G33" s="49">
        <v>9007927</v>
      </c>
      <c r="H33" s="49">
        <v>4189014</v>
      </c>
      <c r="I33" s="49">
        <v>4283960</v>
      </c>
      <c r="J33" s="49">
        <v>56</v>
      </c>
      <c r="K33" s="49"/>
      <c r="L33" s="50"/>
      <c r="M33" s="8">
        <f t="shared" si="0"/>
        <v>17480901</v>
      </c>
      <c r="N33" s="8">
        <f t="shared" si="1"/>
        <v>34535939</v>
      </c>
      <c r="O33" s="8">
        <f t="shared" si="2"/>
        <v>348062</v>
      </c>
      <c r="P33" s="8">
        <f t="shared" si="3"/>
        <v>312158.94642857142</v>
      </c>
      <c r="Q33" s="21" t="str">
        <f t="shared" si="4"/>
        <v/>
      </c>
    </row>
    <row r="34" spans="1:17" ht="21.75" customHeight="1" x14ac:dyDescent="0.2">
      <c r="A34" s="47">
        <v>45929</v>
      </c>
      <c r="B34" s="48" t="s">
        <v>400</v>
      </c>
      <c r="C34" s="49">
        <v>27545580</v>
      </c>
      <c r="D34" s="49">
        <v>58</v>
      </c>
      <c r="E34" s="49"/>
      <c r="F34" s="49"/>
      <c r="G34" s="49">
        <v>5650575</v>
      </c>
      <c r="H34" s="49">
        <v>1750002</v>
      </c>
      <c r="I34" s="49">
        <v>1260956</v>
      </c>
      <c r="J34" s="49">
        <v>33</v>
      </c>
      <c r="K34" s="49">
        <v>3187081</v>
      </c>
      <c r="L34" s="50"/>
      <c r="M34" s="8">
        <f t="shared" si="0"/>
        <v>8661533</v>
      </c>
      <c r="N34" s="8">
        <f t="shared" si="1"/>
        <v>36207113</v>
      </c>
      <c r="O34" s="8">
        <f t="shared" si="2"/>
        <v>474923.79310344829</v>
      </c>
      <c r="P34" s="8">
        <f t="shared" si="3"/>
        <v>262470.69696969696</v>
      </c>
      <c r="Q34" s="21" t="str">
        <f t="shared" si="4"/>
        <v/>
      </c>
    </row>
    <row r="35" spans="1:17" ht="21.75" customHeight="1" x14ac:dyDescent="0.2">
      <c r="A35" s="47">
        <v>45930</v>
      </c>
      <c r="B35" s="48" t="s">
        <v>401</v>
      </c>
      <c r="C35" s="49">
        <v>21126593</v>
      </c>
      <c r="D35" s="49">
        <v>52</v>
      </c>
      <c r="E35" s="49"/>
      <c r="F35" s="49"/>
      <c r="G35" s="49">
        <v>9591536</v>
      </c>
      <c r="H35" s="49">
        <v>522001</v>
      </c>
      <c r="I35" s="49">
        <v>3270927</v>
      </c>
      <c r="J35" s="49">
        <v>44</v>
      </c>
      <c r="K35" s="49">
        <v>2843714</v>
      </c>
      <c r="L35" s="50"/>
      <c r="M35" s="8">
        <f t="shared" si="0"/>
        <v>13384464</v>
      </c>
      <c r="N35" s="8">
        <f t="shared" si="1"/>
        <v>34511057</v>
      </c>
      <c r="O35" s="8">
        <f t="shared" si="2"/>
        <v>406280.63461538462</v>
      </c>
      <c r="P35" s="8">
        <f t="shared" si="3"/>
        <v>304192.36363636365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407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45931</v>
      </c>
      <c r="B6" s="48" t="s">
        <v>402</v>
      </c>
      <c r="C6" s="49">
        <v>29092773</v>
      </c>
      <c r="D6" s="49">
        <v>54</v>
      </c>
      <c r="E6" s="49"/>
      <c r="F6" s="49"/>
      <c r="G6" s="49">
        <v>8633814</v>
      </c>
      <c r="H6" s="49">
        <v>7409030</v>
      </c>
      <c r="I6" s="49">
        <v>3053185</v>
      </c>
      <c r="J6" s="49">
        <v>56</v>
      </c>
      <c r="K6" s="49">
        <v>4287482</v>
      </c>
      <c r="L6" s="50"/>
      <c r="M6" s="8">
        <f t="shared" ref="M6:M36" si="0">IF(SUM(G6:I6)&gt;0,SUM(G6:I6),"")</f>
        <v>19096029</v>
      </c>
      <c r="N6" s="8">
        <f t="shared" ref="N6:N36" si="1">IF(N(C6)+N(M6)&gt;0,N(C6)+N(M6),"")</f>
        <v>48188802</v>
      </c>
      <c r="O6" s="8">
        <f t="shared" ref="O6:O36" si="2">IFERROR(IF(D6&gt;0,C6/D6,""),"")</f>
        <v>538755.0555555555</v>
      </c>
      <c r="P6" s="8">
        <f t="shared" ref="P6:P36" si="3">IFERROR(IF(J6&gt;0,M6/J6,""),"")</f>
        <v>341000.51785714284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45932</v>
      </c>
      <c r="B7" s="48" t="s">
        <v>403</v>
      </c>
      <c r="C7" s="49">
        <v>41866167</v>
      </c>
      <c r="D7" s="49">
        <v>98</v>
      </c>
      <c r="E7" s="49"/>
      <c r="F7" s="49"/>
      <c r="G7" s="49">
        <v>17493440</v>
      </c>
      <c r="H7" s="49">
        <v>5845048</v>
      </c>
      <c r="I7" s="49">
        <v>2381135</v>
      </c>
      <c r="J7" s="49">
        <v>71</v>
      </c>
      <c r="K7" s="49">
        <v>296296</v>
      </c>
      <c r="L7" s="50"/>
      <c r="M7" s="8">
        <f t="shared" si="0"/>
        <v>25719623</v>
      </c>
      <c r="N7" s="8">
        <f t="shared" si="1"/>
        <v>67585790</v>
      </c>
      <c r="O7" s="8">
        <f t="shared" si="2"/>
        <v>427205.78571428574</v>
      </c>
      <c r="P7" s="8">
        <f t="shared" si="3"/>
        <v>362248.21126760566</v>
      </c>
      <c r="Q7" s="21" t="str">
        <f t="shared" si="4"/>
        <v/>
      </c>
    </row>
    <row r="8" spans="1:17" ht="21.75" customHeight="1" x14ac:dyDescent="0.2">
      <c r="A8" s="47">
        <v>45933</v>
      </c>
      <c r="B8" s="48" t="s">
        <v>404</v>
      </c>
      <c r="C8" s="49">
        <v>32927083</v>
      </c>
      <c r="D8" s="49">
        <v>74</v>
      </c>
      <c r="E8" s="49"/>
      <c r="F8" s="49"/>
      <c r="G8" s="49">
        <v>8370298</v>
      </c>
      <c r="H8" s="49">
        <v>5441235</v>
      </c>
      <c r="I8" s="49">
        <v>2403172</v>
      </c>
      <c r="J8" s="49">
        <v>75</v>
      </c>
      <c r="K8" s="49">
        <v>2990725</v>
      </c>
      <c r="L8" s="50"/>
      <c r="M8" s="8">
        <f t="shared" si="0"/>
        <v>16214705</v>
      </c>
      <c r="N8" s="8">
        <f t="shared" si="1"/>
        <v>49141788</v>
      </c>
      <c r="O8" s="8">
        <f t="shared" si="2"/>
        <v>444960.58108108107</v>
      </c>
      <c r="P8" s="8">
        <f t="shared" si="3"/>
        <v>216196.06666666668</v>
      </c>
      <c r="Q8" s="21" t="str">
        <f t="shared" si="4"/>
        <v/>
      </c>
    </row>
    <row r="9" spans="1:17" ht="21.75" customHeight="1" x14ac:dyDescent="0.2">
      <c r="A9" s="47">
        <v>45934</v>
      </c>
      <c r="B9" s="48" t="s">
        <v>405</v>
      </c>
      <c r="C9" s="49">
        <v>38167616</v>
      </c>
      <c r="D9" s="49">
        <v>92</v>
      </c>
      <c r="E9" s="49"/>
      <c r="F9" s="49"/>
      <c r="G9" s="49">
        <v>10959619</v>
      </c>
      <c r="H9" s="49">
        <v>8020160</v>
      </c>
      <c r="I9" s="49">
        <v>5712537</v>
      </c>
      <c r="J9" s="49">
        <v>90</v>
      </c>
      <c r="K9" s="49">
        <v>259259</v>
      </c>
      <c r="L9" s="50"/>
      <c r="M9" s="8">
        <f t="shared" si="0"/>
        <v>24692316</v>
      </c>
      <c r="N9" s="8">
        <f t="shared" si="1"/>
        <v>62859932</v>
      </c>
      <c r="O9" s="8">
        <f t="shared" si="2"/>
        <v>414865.39130434784</v>
      </c>
      <c r="P9" s="8">
        <f t="shared" si="3"/>
        <v>274359.06666666665</v>
      </c>
      <c r="Q9" s="21" t="str">
        <f t="shared" si="4"/>
        <v/>
      </c>
    </row>
    <row r="10" spans="1:17" ht="21.75" customHeight="1" x14ac:dyDescent="0.2">
      <c r="A10" s="47">
        <v>45935</v>
      </c>
      <c r="B10" s="48" t="s">
        <v>406</v>
      </c>
      <c r="C10" s="49">
        <v>34499524</v>
      </c>
      <c r="D10" s="49">
        <v>67</v>
      </c>
      <c r="E10" s="49"/>
      <c r="F10" s="49"/>
      <c r="G10" s="49">
        <v>11523563</v>
      </c>
      <c r="H10" s="49">
        <v>4457011</v>
      </c>
      <c r="I10" s="49">
        <v>3321838</v>
      </c>
      <c r="J10" s="49">
        <v>72</v>
      </c>
      <c r="K10" s="49"/>
      <c r="L10" s="50"/>
      <c r="M10" s="8">
        <f t="shared" si="0"/>
        <v>19302412</v>
      </c>
      <c r="N10" s="8">
        <f t="shared" si="1"/>
        <v>53801936</v>
      </c>
      <c r="O10" s="8">
        <f t="shared" si="2"/>
        <v>514918.26865671639</v>
      </c>
      <c r="P10" s="8">
        <f t="shared" si="3"/>
        <v>268089.05555555556</v>
      </c>
      <c r="Q10" s="21" t="str">
        <f t="shared" si="4"/>
        <v/>
      </c>
    </row>
    <row r="11" spans="1:17" ht="21.75" customHeight="1" x14ac:dyDescent="0.2">
      <c r="A11" s="51">
        <v>45936</v>
      </c>
      <c r="B11" s="52" t="s">
        <v>400</v>
      </c>
      <c r="C11" s="49">
        <v>31670604</v>
      </c>
      <c r="D11" s="49">
        <v>76</v>
      </c>
      <c r="E11" s="49"/>
      <c r="F11" s="49"/>
      <c r="G11" s="49">
        <v>4617677</v>
      </c>
      <c r="H11" s="49">
        <v>3110004</v>
      </c>
      <c r="I11" s="49">
        <v>1429954</v>
      </c>
      <c r="J11" s="49">
        <v>37</v>
      </c>
      <c r="K11" s="49">
        <v>259259</v>
      </c>
      <c r="L11" s="50"/>
      <c r="M11" s="8">
        <f t="shared" si="0"/>
        <v>9157635</v>
      </c>
      <c r="N11" s="8">
        <f t="shared" si="1"/>
        <v>40828239</v>
      </c>
      <c r="O11" s="8">
        <f t="shared" si="2"/>
        <v>416718.4736842105</v>
      </c>
      <c r="P11" s="8">
        <f t="shared" si="3"/>
        <v>247503.64864864864</v>
      </c>
      <c r="Q11" s="21" t="str">
        <f t="shared" si="4"/>
        <v/>
      </c>
    </row>
    <row r="12" spans="1:17" ht="21.75" customHeight="1" x14ac:dyDescent="0.2">
      <c r="A12" s="51">
        <v>45937</v>
      </c>
      <c r="B12" s="52" t="s">
        <v>401</v>
      </c>
      <c r="C12" s="49">
        <v>25939983</v>
      </c>
      <c r="D12" s="49">
        <v>51</v>
      </c>
      <c r="E12" s="49"/>
      <c r="F12" s="49"/>
      <c r="G12" s="49">
        <v>11169060</v>
      </c>
      <c r="H12" s="49">
        <v>2084014</v>
      </c>
      <c r="I12" s="49">
        <v>4552574</v>
      </c>
      <c r="J12" s="49">
        <v>66</v>
      </c>
      <c r="K12" s="49">
        <v>972222</v>
      </c>
      <c r="L12" s="50"/>
      <c r="M12" s="8">
        <f t="shared" si="0"/>
        <v>17805648</v>
      </c>
      <c r="N12" s="8">
        <f t="shared" si="1"/>
        <v>43745631</v>
      </c>
      <c r="O12" s="8">
        <f t="shared" si="2"/>
        <v>508627.1176470588</v>
      </c>
      <c r="P12" s="8">
        <f t="shared" si="3"/>
        <v>269782.54545454547</v>
      </c>
      <c r="Q12" s="21" t="str">
        <f t="shared" si="4"/>
        <v/>
      </c>
    </row>
    <row r="13" spans="1:17" ht="21.75" customHeight="1" x14ac:dyDescent="0.2">
      <c r="A13" s="47">
        <v>45938</v>
      </c>
      <c r="B13" s="48" t="s">
        <v>402</v>
      </c>
      <c r="C13" s="49">
        <v>34173473</v>
      </c>
      <c r="D13" s="49">
        <v>87</v>
      </c>
      <c r="E13" s="49"/>
      <c r="F13" s="49"/>
      <c r="G13" s="49">
        <v>5852671</v>
      </c>
      <c r="H13" s="49">
        <v>7328017</v>
      </c>
      <c r="I13" s="49">
        <v>1549194</v>
      </c>
      <c r="J13" s="49">
        <v>50</v>
      </c>
      <c r="K13" s="49"/>
      <c r="L13" s="50"/>
      <c r="M13" s="8">
        <f t="shared" si="0"/>
        <v>14729882</v>
      </c>
      <c r="N13" s="8">
        <f t="shared" si="1"/>
        <v>48903355</v>
      </c>
      <c r="O13" s="8">
        <f t="shared" si="2"/>
        <v>392798.54022988508</v>
      </c>
      <c r="P13" s="8">
        <f t="shared" si="3"/>
        <v>294597.64</v>
      </c>
      <c r="Q13" s="21" t="str">
        <f t="shared" si="4"/>
        <v/>
      </c>
    </row>
    <row r="14" spans="1:17" ht="21.75" customHeight="1" x14ac:dyDescent="0.2">
      <c r="A14" s="47">
        <v>45939</v>
      </c>
      <c r="B14" s="48" t="s">
        <v>403</v>
      </c>
      <c r="C14" s="49">
        <v>38432276</v>
      </c>
      <c r="D14" s="49">
        <v>101</v>
      </c>
      <c r="E14" s="49"/>
      <c r="F14" s="49"/>
      <c r="G14" s="49">
        <v>11618778</v>
      </c>
      <c r="H14" s="49">
        <v>4602012</v>
      </c>
      <c r="I14" s="49">
        <v>3268913</v>
      </c>
      <c r="J14" s="49">
        <v>73</v>
      </c>
      <c r="K14" s="49">
        <v>1119295</v>
      </c>
      <c r="L14" s="50"/>
      <c r="M14" s="8">
        <f t="shared" si="0"/>
        <v>19489703</v>
      </c>
      <c r="N14" s="8">
        <f t="shared" si="1"/>
        <v>57921979</v>
      </c>
      <c r="O14" s="8">
        <f t="shared" si="2"/>
        <v>380517.58415841585</v>
      </c>
      <c r="P14" s="8">
        <f t="shared" si="3"/>
        <v>266982.23287671234</v>
      </c>
      <c r="Q14" s="21" t="str">
        <f t="shared" si="4"/>
        <v/>
      </c>
    </row>
    <row r="15" spans="1:17" ht="21.75" customHeight="1" x14ac:dyDescent="0.2">
      <c r="A15" s="47">
        <v>45940</v>
      </c>
      <c r="B15" s="48" t="s">
        <v>404</v>
      </c>
      <c r="C15" s="49">
        <v>34567940</v>
      </c>
      <c r="D15" s="49">
        <v>95</v>
      </c>
      <c r="E15" s="49"/>
      <c r="F15" s="49"/>
      <c r="G15" s="49">
        <v>9994773</v>
      </c>
      <c r="H15" s="49">
        <v>6855007</v>
      </c>
      <c r="I15" s="49">
        <v>2338358</v>
      </c>
      <c r="J15" s="49">
        <v>86</v>
      </c>
      <c r="K15" s="49">
        <v>1115264</v>
      </c>
      <c r="L15" s="50"/>
      <c r="M15" s="8">
        <f t="shared" si="0"/>
        <v>19188138</v>
      </c>
      <c r="N15" s="8">
        <f t="shared" si="1"/>
        <v>53756078</v>
      </c>
      <c r="O15" s="8">
        <f t="shared" si="2"/>
        <v>363873.05263157893</v>
      </c>
      <c r="P15" s="8">
        <f t="shared" si="3"/>
        <v>223117.88372093023</v>
      </c>
      <c r="Q15" s="21" t="str">
        <f t="shared" si="4"/>
        <v/>
      </c>
    </row>
    <row r="16" spans="1:17" ht="21.75" customHeight="1" x14ac:dyDescent="0.2">
      <c r="A16" s="47">
        <v>45941</v>
      </c>
      <c r="B16" s="48" t="s">
        <v>405</v>
      </c>
      <c r="C16" s="49">
        <v>32537713</v>
      </c>
      <c r="D16" s="49">
        <v>72</v>
      </c>
      <c r="E16" s="49"/>
      <c r="F16" s="49"/>
      <c r="G16" s="49">
        <v>14862245</v>
      </c>
      <c r="H16" s="49">
        <v>8419609</v>
      </c>
      <c r="I16" s="49">
        <v>2925329</v>
      </c>
      <c r="J16" s="49">
        <v>103</v>
      </c>
      <c r="K16" s="49">
        <v>1053985</v>
      </c>
      <c r="L16" s="50"/>
      <c r="M16" s="8">
        <f t="shared" si="0"/>
        <v>26207183</v>
      </c>
      <c r="N16" s="8">
        <f t="shared" si="1"/>
        <v>58744896</v>
      </c>
      <c r="O16" s="8">
        <f t="shared" si="2"/>
        <v>451912.68055555556</v>
      </c>
      <c r="P16" s="8">
        <f t="shared" si="3"/>
        <v>254438.66990291263</v>
      </c>
      <c r="Q16" s="21" t="str">
        <f t="shared" si="4"/>
        <v/>
      </c>
    </row>
    <row r="17" spans="1:17" ht="21.75" customHeight="1" x14ac:dyDescent="0.2">
      <c r="A17" s="47">
        <v>45942</v>
      </c>
      <c r="B17" s="48" t="s">
        <v>406</v>
      </c>
      <c r="C17" s="49">
        <v>23009102</v>
      </c>
      <c r="D17" s="49">
        <v>58</v>
      </c>
      <c r="E17" s="49"/>
      <c r="F17" s="49"/>
      <c r="G17" s="49">
        <v>10787852</v>
      </c>
      <c r="H17" s="49">
        <v>8777029</v>
      </c>
      <c r="I17" s="49">
        <v>5361360</v>
      </c>
      <c r="J17" s="49">
        <v>90</v>
      </c>
      <c r="K17" s="49">
        <v>1007407</v>
      </c>
      <c r="L17" s="50"/>
      <c r="M17" s="8">
        <f t="shared" si="0"/>
        <v>24926241</v>
      </c>
      <c r="N17" s="8">
        <f t="shared" si="1"/>
        <v>47935343</v>
      </c>
      <c r="O17" s="8">
        <f t="shared" si="2"/>
        <v>396708.6551724138</v>
      </c>
      <c r="P17" s="8">
        <f t="shared" si="3"/>
        <v>276958.23333333334</v>
      </c>
      <c r="Q17" s="21" t="str">
        <f t="shared" si="4"/>
        <v/>
      </c>
    </row>
    <row r="18" spans="1:17" ht="21.75" customHeight="1" x14ac:dyDescent="0.2">
      <c r="A18" s="51">
        <v>45943</v>
      </c>
      <c r="B18" s="52" t="s">
        <v>400</v>
      </c>
      <c r="C18" s="49">
        <v>24240333</v>
      </c>
      <c r="D18" s="49">
        <v>60</v>
      </c>
      <c r="E18" s="49"/>
      <c r="F18" s="49"/>
      <c r="G18" s="49">
        <v>3761961</v>
      </c>
      <c r="H18" s="49">
        <v>2757010</v>
      </c>
      <c r="I18" s="49">
        <v>1915863</v>
      </c>
      <c r="J18" s="49">
        <v>41</v>
      </c>
      <c r="K18" s="49">
        <v>1012859</v>
      </c>
      <c r="L18" s="50"/>
      <c r="M18" s="8">
        <f t="shared" si="0"/>
        <v>8434834</v>
      </c>
      <c r="N18" s="8">
        <f t="shared" si="1"/>
        <v>32675167</v>
      </c>
      <c r="O18" s="8">
        <f t="shared" si="2"/>
        <v>404005.55</v>
      </c>
      <c r="P18" s="8">
        <f t="shared" si="3"/>
        <v>205727.65853658537</v>
      </c>
      <c r="Q18" s="21" t="str">
        <f t="shared" si="4"/>
        <v/>
      </c>
    </row>
    <row r="19" spans="1:17" ht="21.75" customHeight="1" x14ac:dyDescent="0.2">
      <c r="A19" s="51">
        <v>45944</v>
      </c>
      <c r="B19" s="52" t="s">
        <v>401</v>
      </c>
      <c r="C19" s="49">
        <v>36250480</v>
      </c>
      <c r="D19" s="49">
        <v>99</v>
      </c>
      <c r="E19" s="49"/>
      <c r="F19" s="49"/>
      <c r="G19" s="49">
        <v>7133409</v>
      </c>
      <c r="H19" s="49">
        <v>2047008</v>
      </c>
      <c r="I19" s="49">
        <v>2730829</v>
      </c>
      <c r="J19" s="49">
        <v>41</v>
      </c>
      <c r="K19" s="49">
        <v>296296</v>
      </c>
      <c r="L19" s="50"/>
      <c r="M19" s="8">
        <f t="shared" si="0"/>
        <v>11911246</v>
      </c>
      <c r="N19" s="8">
        <f t="shared" si="1"/>
        <v>48161726</v>
      </c>
      <c r="O19" s="8">
        <f t="shared" si="2"/>
        <v>366166.46464646462</v>
      </c>
      <c r="P19" s="8">
        <f t="shared" si="3"/>
        <v>290518.19512195123</v>
      </c>
      <c r="Q19" s="21" t="str">
        <f t="shared" si="4"/>
        <v/>
      </c>
    </row>
    <row r="20" spans="1:17" ht="21.75" customHeight="1" x14ac:dyDescent="0.2">
      <c r="A20" s="47">
        <v>45945</v>
      </c>
      <c r="B20" s="48" t="s">
        <v>402</v>
      </c>
      <c r="C20" s="49">
        <v>47570579</v>
      </c>
      <c r="D20" s="49">
        <v>106</v>
      </c>
      <c r="E20" s="49"/>
      <c r="F20" s="49"/>
      <c r="G20" s="49">
        <v>9567799</v>
      </c>
      <c r="H20" s="49">
        <v>6190018</v>
      </c>
      <c r="I20" s="49">
        <v>2432192</v>
      </c>
      <c r="J20" s="49">
        <v>61</v>
      </c>
      <c r="K20" s="49">
        <v>1175925</v>
      </c>
      <c r="L20" s="50"/>
      <c r="M20" s="8">
        <f t="shared" si="0"/>
        <v>18190009</v>
      </c>
      <c r="N20" s="8">
        <f t="shared" si="1"/>
        <v>65760588</v>
      </c>
      <c r="O20" s="8">
        <f t="shared" si="2"/>
        <v>448779.04716981133</v>
      </c>
      <c r="P20" s="8">
        <f t="shared" si="3"/>
        <v>298196.86885245901</v>
      </c>
      <c r="Q20" s="21" t="str">
        <f t="shared" si="4"/>
        <v/>
      </c>
    </row>
    <row r="21" spans="1:17" ht="21.75" customHeight="1" x14ac:dyDescent="0.2">
      <c r="A21" s="47">
        <v>45946</v>
      </c>
      <c r="B21" s="48" t="s">
        <v>403</v>
      </c>
      <c r="C21" s="49">
        <v>31258870</v>
      </c>
      <c r="D21" s="49">
        <v>84</v>
      </c>
      <c r="E21" s="49"/>
      <c r="F21" s="49"/>
      <c r="G21" s="49">
        <v>10855316</v>
      </c>
      <c r="H21" s="49">
        <v>7121017</v>
      </c>
      <c r="I21" s="49">
        <v>3567138</v>
      </c>
      <c r="J21" s="49">
        <v>76</v>
      </c>
      <c r="K21" s="49">
        <v>509259</v>
      </c>
      <c r="L21" s="50"/>
      <c r="M21" s="8">
        <f t="shared" si="0"/>
        <v>21543471</v>
      </c>
      <c r="N21" s="8">
        <f t="shared" si="1"/>
        <v>52802341</v>
      </c>
      <c r="O21" s="8">
        <f t="shared" si="2"/>
        <v>372129.40476190473</v>
      </c>
      <c r="P21" s="8">
        <f t="shared" si="3"/>
        <v>283466.7236842105</v>
      </c>
      <c r="Q21" s="21" t="str">
        <f t="shared" si="4"/>
        <v/>
      </c>
    </row>
    <row r="22" spans="1:17" ht="21.75" customHeight="1" x14ac:dyDescent="0.2">
      <c r="A22" s="47">
        <v>45947</v>
      </c>
      <c r="B22" s="48" t="s">
        <v>404</v>
      </c>
      <c r="C22" s="49">
        <v>28324051</v>
      </c>
      <c r="D22" s="49">
        <v>74</v>
      </c>
      <c r="E22" s="49"/>
      <c r="F22" s="49"/>
      <c r="G22" s="49">
        <v>5789883</v>
      </c>
      <c r="H22" s="49">
        <v>7305022</v>
      </c>
      <c r="I22" s="49">
        <v>5099994</v>
      </c>
      <c r="J22" s="49">
        <v>74</v>
      </c>
      <c r="K22" s="49">
        <v>1197104</v>
      </c>
      <c r="L22" s="50"/>
      <c r="M22" s="8">
        <f t="shared" si="0"/>
        <v>18194899</v>
      </c>
      <c r="N22" s="8">
        <f t="shared" si="1"/>
        <v>46518950</v>
      </c>
      <c r="O22" s="8">
        <f t="shared" si="2"/>
        <v>382757.44594594592</v>
      </c>
      <c r="P22" s="8">
        <f t="shared" si="3"/>
        <v>245877.01351351352</v>
      </c>
      <c r="Q22" s="21" t="str">
        <f t="shared" si="4"/>
        <v/>
      </c>
    </row>
    <row r="23" spans="1:17" ht="21.75" customHeight="1" x14ac:dyDescent="0.2">
      <c r="A23" s="47">
        <v>45948</v>
      </c>
      <c r="B23" s="48" t="s">
        <v>405</v>
      </c>
      <c r="C23" s="49">
        <v>35152020</v>
      </c>
      <c r="D23" s="49">
        <v>86</v>
      </c>
      <c r="E23" s="49"/>
      <c r="F23" s="49"/>
      <c r="G23" s="49">
        <v>13734819</v>
      </c>
      <c r="H23" s="49">
        <v>7032017</v>
      </c>
      <c r="I23" s="49">
        <v>3290837</v>
      </c>
      <c r="J23" s="49">
        <v>89</v>
      </c>
      <c r="K23" s="49"/>
      <c r="L23" s="50"/>
      <c r="M23" s="8">
        <f t="shared" si="0"/>
        <v>24057673</v>
      </c>
      <c r="N23" s="8">
        <f t="shared" si="1"/>
        <v>59209693</v>
      </c>
      <c r="O23" s="8">
        <f t="shared" si="2"/>
        <v>408744.41860465117</v>
      </c>
      <c r="P23" s="8">
        <f t="shared" si="3"/>
        <v>270310.93258426967</v>
      </c>
      <c r="Q23" s="21" t="str">
        <f t="shared" si="4"/>
        <v/>
      </c>
    </row>
    <row r="24" spans="1:17" ht="21.75" customHeight="1" x14ac:dyDescent="0.2">
      <c r="A24" s="47">
        <v>45949</v>
      </c>
      <c r="B24" s="48" t="s">
        <v>406</v>
      </c>
      <c r="C24" s="49">
        <v>24770522</v>
      </c>
      <c r="D24" s="49">
        <v>71</v>
      </c>
      <c r="E24" s="49"/>
      <c r="F24" s="49"/>
      <c r="G24" s="49">
        <v>5545576</v>
      </c>
      <c r="H24" s="49">
        <v>4479018</v>
      </c>
      <c r="I24" s="49">
        <v>4556150</v>
      </c>
      <c r="J24" s="49">
        <v>58</v>
      </c>
      <c r="K24" s="49">
        <v>324074</v>
      </c>
      <c r="L24" s="50"/>
      <c r="M24" s="8">
        <f t="shared" si="0"/>
        <v>14580744</v>
      </c>
      <c r="N24" s="8">
        <f t="shared" si="1"/>
        <v>39351266</v>
      </c>
      <c r="O24" s="8">
        <f t="shared" si="2"/>
        <v>348880.59154929576</v>
      </c>
      <c r="P24" s="8">
        <f t="shared" si="3"/>
        <v>251392.13793103449</v>
      </c>
      <c r="Q24" s="21" t="str">
        <f t="shared" si="4"/>
        <v/>
      </c>
    </row>
    <row r="25" spans="1:17" ht="21.75" customHeight="1" x14ac:dyDescent="0.2">
      <c r="A25" s="51">
        <v>45950</v>
      </c>
      <c r="B25" s="52" t="s">
        <v>400</v>
      </c>
      <c r="C25" s="49">
        <v>27684307</v>
      </c>
      <c r="D25" s="49">
        <v>66</v>
      </c>
      <c r="E25" s="49"/>
      <c r="F25" s="49"/>
      <c r="G25" s="49">
        <v>8825547</v>
      </c>
      <c r="H25" s="49">
        <v>1832002</v>
      </c>
      <c r="I25" s="49">
        <v>2457713</v>
      </c>
      <c r="J25" s="49">
        <v>45</v>
      </c>
      <c r="K25" s="49">
        <v>185185</v>
      </c>
      <c r="L25" s="50"/>
      <c r="M25" s="8">
        <f t="shared" si="0"/>
        <v>13115262</v>
      </c>
      <c r="N25" s="8">
        <f t="shared" si="1"/>
        <v>40799569</v>
      </c>
      <c r="O25" s="8">
        <f t="shared" si="2"/>
        <v>419459.19696969696</v>
      </c>
      <c r="P25" s="8">
        <f t="shared" si="3"/>
        <v>291450.26666666666</v>
      </c>
      <c r="Q25" s="21" t="str">
        <f t="shared" si="4"/>
        <v/>
      </c>
    </row>
    <row r="26" spans="1:17" ht="21.75" customHeight="1" x14ac:dyDescent="0.2">
      <c r="A26" s="51">
        <v>45951</v>
      </c>
      <c r="B26" s="52" t="s">
        <v>401</v>
      </c>
      <c r="C26" s="49">
        <v>39878762</v>
      </c>
      <c r="D26" s="49">
        <v>99</v>
      </c>
      <c r="E26" s="49"/>
      <c r="F26" s="49"/>
      <c r="G26" s="49">
        <v>12161723</v>
      </c>
      <c r="H26" s="49">
        <v>3232005</v>
      </c>
      <c r="I26" s="49">
        <v>2261693</v>
      </c>
      <c r="J26" s="49">
        <v>55</v>
      </c>
      <c r="K26" s="49"/>
      <c r="L26" s="50"/>
      <c r="M26" s="8">
        <f t="shared" si="0"/>
        <v>17655421</v>
      </c>
      <c r="N26" s="8">
        <f t="shared" si="1"/>
        <v>57534183</v>
      </c>
      <c r="O26" s="8">
        <f t="shared" si="2"/>
        <v>402815.77777777775</v>
      </c>
      <c r="P26" s="8">
        <f t="shared" si="3"/>
        <v>321007.65454545454</v>
      </c>
      <c r="Q26" s="21" t="str">
        <f t="shared" si="4"/>
        <v/>
      </c>
    </row>
    <row r="27" spans="1:17" ht="21.75" customHeight="1" x14ac:dyDescent="0.2">
      <c r="A27" s="47">
        <v>45952</v>
      </c>
      <c r="B27" s="48" t="s">
        <v>402</v>
      </c>
      <c r="C27" s="49">
        <v>37314405</v>
      </c>
      <c r="D27" s="49">
        <v>86</v>
      </c>
      <c r="E27" s="49"/>
      <c r="F27" s="49"/>
      <c r="G27" s="49">
        <v>10594670</v>
      </c>
      <c r="H27" s="49">
        <v>6844015</v>
      </c>
      <c r="I27" s="49">
        <v>3053957</v>
      </c>
      <c r="J27" s="49">
        <v>65</v>
      </c>
      <c r="K27" s="49">
        <v>3386666</v>
      </c>
      <c r="L27" s="50"/>
      <c r="M27" s="8">
        <f t="shared" si="0"/>
        <v>20492642</v>
      </c>
      <c r="N27" s="8">
        <f t="shared" si="1"/>
        <v>57807047</v>
      </c>
      <c r="O27" s="8">
        <f t="shared" si="2"/>
        <v>433888.43023255817</v>
      </c>
      <c r="P27" s="8">
        <f t="shared" si="3"/>
        <v>315271.41538461536</v>
      </c>
      <c r="Q27" s="21" t="str">
        <f t="shared" si="4"/>
        <v/>
      </c>
    </row>
    <row r="28" spans="1:17" ht="21.75" customHeight="1" x14ac:dyDescent="0.2">
      <c r="A28" s="47">
        <v>45953</v>
      </c>
      <c r="B28" s="48" t="s">
        <v>403</v>
      </c>
      <c r="C28" s="49">
        <v>41839281</v>
      </c>
      <c r="D28" s="49">
        <v>103</v>
      </c>
      <c r="E28" s="49"/>
      <c r="F28" s="49"/>
      <c r="G28" s="49">
        <v>7914946</v>
      </c>
      <c r="H28" s="49">
        <v>4136019</v>
      </c>
      <c r="I28" s="49">
        <v>2622403</v>
      </c>
      <c r="J28" s="49">
        <v>49</v>
      </c>
      <c r="K28" s="49">
        <v>1957600</v>
      </c>
      <c r="L28" s="50"/>
      <c r="M28" s="8">
        <f t="shared" si="0"/>
        <v>14673368</v>
      </c>
      <c r="N28" s="8">
        <f t="shared" si="1"/>
        <v>56512649</v>
      </c>
      <c r="O28" s="8">
        <f t="shared" si="2"/>
        <v>406206.61165048543</v>
      </c>
      <c r="P28" s="8">
        <f t="shared" si="3"/>
        <v>299456.48979591834</v>
      </c>
      <c r="Q28" s="21" t="str">
        <f t="shared" si="4"/>
        <v/>
      </c>
    </row>
    <row r="29" spans="1:17" ht="21.75" customHeight="1" x14ac:dyDescent="0.2">
      <c r="A29" s="47">
        <v>45954</v>
      </c>
      <c r="B29" s="48" t="s">
        <v>404</v>
      </c>
      <c r="C29" s="49">
        <v>47098951</v>
      </c>
      <c r="D29" s="49">
        <v>120</v>
      </c>
      <c r="E29" s="49"/>
      <c r="F29" s="49"/>
      <c r="G29" s="49">
        <v>6988414</v>
      </c>
      <c r="H29" s="49">
        <v>9919051</v>
      </c>
      <c r="I29" s="49">
        <v>2122731</v>
      </c>
      <c r="J29" s="49">
        <v>62</v>
      </c>
      <c r="K29" s="49">
        <v>259259</v>
      </c>
      <c r="L29" s="50"/>
      <c r="M29" s="8">
        <f t="shared" si="0"/>
        <v>19030196</v>
      </c>
      <c r="N29" s="8">
        <f t="shared" si="1"/>
        <v>66129147</v>
      </c>
      <c r="O29" s="8">
        <f t="shared" si="2"/>
        <v>392491.25833333336</v>
      </c>
      <c r="P29" s="8">
        <f t="shared" si="3"/>
        <v>306938.6451612903</v>
      </c>
      <c r="Q29" s="21" t="str">
        <f t="shared" si="4"/>
        <v/>
      </c>
    </row>
    <row r="30" spans="1:17" ht="21.75" customHeight="1" x14ac:dyDescent="0.2">
      <c r="A30" s="47">
        <v>45955</v>
      </c>
      <c r="B30" s="48" t="s">
        <v>405</v>
      </c>
      <c r="C30" s="49">
        <v>39190083</v>
      </c>
      <c r="D30" s="49">
        <v>98</v>
      </c>
      <c r="E30" s="49"/>
      <c r="F30" s="49"/>
      <c r="G30" s="49">
        <v>9397319</v>
      </c>
      <c r="H30" s="49">
        <v>7912539</v>
      </c>
      <c r="I30" s="49">
        <v>3912415</v>
      </c>
      <c r="J30" s="49">
        <v>91</v>
      </c>
      <c r="K30" s="49">
        <v>5678062</v>
      </c>
      <c r="L30" s="50"/>
      <c r="M30" s="8">
        <f t="shared" si="0"/>
        <v>21222273</v>
      </c>
      <c r="N30" s="8">
        <f t="shared" si="1"/>
        <v>60412356</v>
      </c>
      <c r="O30" s="8">
        <f t="shared" si="2"/>
        <v>399898.80612244899</v>
      </c>
      <c r="P30" s="8">
        <f t="shared" si="3"/>
        <v>233211.7912087912</v>
      </c>
      <c r="Q30" s="21" t="str">
        <f t="shared" si="4"/>
        <v/>
      </c>
    </row>
    <row r="31" spans="1:17" ht="21.75" customHeight="1" x14ac:dyDescent="0.2">
      <c r="A31" s="47">
        <v>45956</v>
      </c>
      <c r="B31" s="48" t="s">
        <v>406</v>
      </c>
      <c r="C31" s="49">
        <v>29838803</v>
      </c>
      <c r="D31" s="49">
        <v>80</v>
      </c>
      <c r="E31" s="49"/>
      <c r="F31" s="49"/>
      <c r="G31" s="49">
        <v>8534055</v>
      </c>
      <c r="H31" s="49">
        <v>5791518</v>
      </c>
      <c r="I31" s="49">
        <v>2989530</v>
      </c>
      <c r="J31" s="49">
        <v>64</v>
      </c>
      <c r="K31" s="49">
        <v>296296</v>
      </c>
      <c r="L31" s="50"/>
      <c r="M31" s="8">
        <f t="shared" si="0"/>
        <v>17315103</v>
      </c>
      <c r="N31" s="8">
        <f t="shared" si="1"/>
        <v>47153906</v>
      </c>
      <c r="O31" s="8">
        <f t="shared" si="2"/>
        <v>372985.03749999998</v>
      </c>
      <c r="P31" s="8">
        <f t="shared" si="3"/>
        <v>270548.484375</v>
      </c>
      <c r="Q31" s="21" t="str">
        <f t="shared" si="4"/>
        <v/>
      </c>
    </row>
    <row r="32" spans="1:17" ht="21.75" customHeight="1" x14ac:dyDescent="0.2">
      <c r="A32" s="51">
        <v>45957</v>
      </c>
      <c r="B32" s="52" t="s">
        <v>400</v>
      </c>
      <c r="C32" s="49">
        <v>42781227</v>
      </c>
      <c r="D32" s="49">
        <v>93</v>
      </c>
      <c r="E32" s="49"/>
      <c r="F32" s="49"/>
      <c r="G32" s="49">
        <v>7607171</v>
      </c>
      <c r="H32" s="49">
        <v>5336011</v>
      </c>
      <c r="I32" s="49">
        <v>2195092</v>
      </c>
      <c r="J32" s="49">
        <v>50</v>
      </c>
      <c r="K32" s="49">
        <v>1622172</v>
      </c>
      <c r="L32" s="50"/>
      <c r="M32" s="8">
        <f t="shared" si="0"/>
        <v>15138274</v>
      </c>
      <c r="N32" s="8">
        <f t="shared" si="1"/>
        <v>57919501</v>
      </c>
      <c r="O32" s="8">
        <f t="shared" si="2"/>
        <v>460013.19354838709</v>
      </c>
      <c r="P32" s="8">
        <f t="shared" si="3"/>
        <v>302765.48</v>
      </c>
      <c r="Q32" s="21" t="str">
        <f t="shared" si="4"/>
        <v/>
      </c>
    </row>
    <row r="33" spans="1:17" ht="21.75" customHeight="1" x14ac:dyDescent="0.2">
      <c r="A33" s="51">
        <v>45958</v>
      </c>
      <c r="B33" s="52" t="s">
        <v>401</v>
      </c>
      <c r="C33" s="49">
        <v>42127035</v>
      </c>
      <c r="D33" s="49">
        <v>87</v>
      </c>
      <c r="E33" s="49"/>
      <c r="F33" s="49"/>
      <c r="G33" s="49">
        <v>8714382</v>
      </c>
      <c r="H33" s="49">
        <v>5786008</v>
      </c>
      <c r="I33" s="49">
        <v>1874195</v>
      </c>
      <c r="J33" s="49">
        <v>53</v>
      </c>
      <c r="K33" s="49">
        <v>4810278</v>
      </c>
      <c r="L33" s="50"/>
      <c r="M33" s="8">
        <f t="shared" si="0"/>
        <v>16374585</v>
      </c>
      <c r="N33" s="8">
        <f t="shared" si="1"/>
        <v>58501620</v>
      </c>
      <c r="O33" s="8">
        <f t="shared" si="2"/>
        <v>484218.79310344829</v>
      </c>
      <c r="P33" s="8">
        <f t="shared" si="3"/>
        <v>308954.43396226416</v>
      </c>
      <c r="Q33" s="21" t="str">
        <f t="shared" si="4"/>
        <v/>
      </c>
    </row>
    <row r="34" spans="1:17" ht="21.75" customHeight="1" x14ac:dyDescent="0.2">
      <c r="A34" s="47">
        <v>45959</v>
      </c>
      <c r="B34" s="48" t="s">
        <v>402</v>
      </c>
      <c r="C34" s="49">
        <v>55797480</v>
      </c>
      <c r="D34" s="49">
        <v>110</v>
      </c>
      <c r="E34" s="49"/>
      <c r="F34" s="49"/>
      <c r="G34" s="49">
        <v>10340391</v>
      </c>
      <c r="H34" s="49">
        <v>7818001</v>
      </c>
      <c r="I34" s="49">
        <v>2247429</v>
      </c>
      <c r="J34" s="49">
        <v>78</v>
      </c>
      <c r="K34" s="49">
        <v>15734022</v>
      </c>
      <c r="L34" s="50"/>
      <c r="M34" s="8">
        <f t="shared" si="0"/>
        <v>20405821</v>
      </c>
      <c r="N34" s="8">
        <f t="shared" si="1"/>
        <v>76203301</v>
      </c>
      <c r="O34" s="8">
        <f t="shared" si="2"/>
        <v>507249.81818181818</v>
      </c>
      <c r="P34" s="8">
        <f t="shared" si="3"/>
        <v>261613.08974358975</v>
      </c>
      <c r="Q34" s="21" t="str">
        <f t="shared" si="4"/>
        <v/>
      </c>
    </row>
    <row r="35" spans="1:17" ht="21.75" customHeight="1" x14ac:dyDescent="0.2">
      <c r="A35" s="47">
        <v>45960</v>
      </c>
      <c r="B35" s="48" t="s">
        <v>403</v>
      </c>
      <c r="C35" s="49">
        <v>52517367</v>
      </c>
      <c r="D35" s="49">
        <v>127</v>
      </c>
      <c r="E35" s="49"/>
      <c r="F35" s="49"/>
      <c r="G35" s="49">
        <v>11386488</v>
      </c>
      <c r="H35" s="49">
        <v>4258011</v>
      </c>
      <c r="I35" s="49">
        <v>2307008</v>
      </c>
      <c r="J35" s="49">
        <v>70</v>
      </c>
      <c r="K35" s="49">
        <v>2906370</v>
      </c>
      <c r="L35" s="50"/>
      <c r="M35" s="8">
        <f t="shared" si="0"/>
        <v>17951507</v>
      </c>
      <c r="N35" s="8">
        <f t="shared" si="1"/>
        <v>70468874</v>
      </c>
      <c r="O35" s="8">
        <f t="shared" si="2"/>
        <v>413522.57480314962</v>
      </c>
      <c r="P35" s="8">
        <f t="shared" si="3"/>
        <v>256450.1</v>
      </c>
      <c r="Q35" s="21" t="str">
        <f t="shared" si="4"/>
        <v/>
      </c>
    </row>
    <row r="36" spans="1:17" ht="18.75" customHeight="1" x14ac:dyDescent="0.2">
      <c r="A36" s="115">
        <v>45961</v>
      </c>
      <c r="B36" t="s">
        <v>404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408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45962</v>
      </c>
      <c r="B6" s="48" t="s">
        <v>405</v>
      </c>
      <c r="C6" s="49">
        <v>47479052</v>
      </c>
      <c r="D6" s="49">
        <v>116</v>
      </c>
      <c r="E6" s="49"/>
      <c r="F6" s="49"/>
      <c r="G6" s="49">
        <v>9657531</v>
      </c>
      <c r="H6" s="49">
        <v>5461954</v>
      </c>
      <c r="I6" s="49">
        <v>2094151</v>
      </c>
      <c r="J6" s="49">
        <v>71</v>
      </c>
      <c r="K6" s="49">
        <v>1325096</v>
      </c>
      <c r="L6" s="50"/>
      <c r="M6" s="8">
        <f t="shared" ref="M6:M35" si="0">IF(SUM(G6:I6)&gt;0,SUM(G6:I6),"")</f>
        <v>17213636</v>
      </c>
      <c r="N6" s="8">
        <f t="shared" ref="N6:N35" si="1">IF(N(C6)+N(M6)&gt;0,N(C6)+N(M6),"")</f>
        <v>64692688</v>
      </c>
      <c r="O6" s="8">
        <f t="shared" ref="O6:O35" si="2">IFERROR(IF(D6&gt;0,C6/D6,""),"")</f>
        <v>409302.1724137931</v>
      </c>
      <c r="P6" s="8">
        <f t="shared" ref="P6:P35" si="3">IFERROR(IF(J6&gt;0,M6/J6,""),"")</f>
        <v>242445.57746478874</v>
      </c>
      <c r="Q6" s="21" t="str">
        <f t="shared" ref="Q6:Q35" si="4">IFERROR(IF(E6&gt;0,D6/E6,""),"")</f>
        <v/>
      </c>
    </row>
    <row r="7" spans="1:17" ht="21.75" customHeight="1" x14ac:dyDescent="0.2">
      <c r="A7" s="47">
        <v>45963</v>
      </c>
      <c r="B7" s="48" t="s">
        <v>406</v>
      </c>
      <c r="C7" s="49">
        <v>44821039</v>
      </c>
      <c r="D7" s="49">
        <v>90</v>
      </c>
      <c r="E7" s="49"/>
      <c r="F7" s="49"/>
      <c r="G7" s="49">
        <v>9507674</v>
      </c>
      <c r="H7" s="49">
        <v>2917006</v>
      </c>
      <c r="I7" s="49">
        <v>4138514</v>
      </c>
      <c r="J7" s="49">
        <v>59</v>
      </c>
      <c r="K7" s="49">
        <v>7380800</v>
      </c>
      <c r="L7" s="50"/>
      <c r="M7" s="8">
        <f t="shared" si="0"/>
        <v>16563194</v>
      </c>
      <c r="N7" s="8">
        <f t="shared" si="1"/>
        <v>61384233</v>
      </c>
      <c r="O7" s="8">
        <f t="shared" si="2"/>
        <v>498011.54444444447</v>
      </c>
      <c r="P7" s="8">
        <f t="shared" si="3"/>
        <v>280732.10169491527</v>
      </c>
      <c r="Q7" s="21" t="str">
        <f t="shared" si="4"/>
        <v/>
      </c>
    </row>
    <row r="8" spans="1:17" ht="21.75" customHeight="1" x14ac:dyDescent="0.2">
      <c r="A8" s="47">
        <v>45964</v>
      </c>
      <c r="B8" s="48" t="s">
        <v>400</v>
      </c>
      <c r="C8" s="49">
        <v>37521052</v>
      </c>
      <c r="D8" s="49">
        <v>91</v>
      </c>
      <c r="E8" s="49"/>
      <c r="F8" s="49"/>
      <c r="G8" s="49">
        <v>4192924</v>
      </c>
      <c r="H8" s="49">
        <v>1253011</v>
      </c>
      <c r="I8" s="49">
        <v>1699970</v>
      </c>
      <c r="J8" s="49">
        <v>26</v>
      </c>
      <c r="K8" s="49">
        <v>1256000</v>
      </c>
      <c r="L8" s="50"/>
      <c r="M8" s="8">
        <f t="shared" si="0"/>
        <v>7145905</v>
      </c>
      <c r="N8" s="8">
        <f t="shared" si="1"/>
        <v>44666957</v>
      </c>
      <c r="O8" s="8">
        <f t="shared" si="2"/>
        <v>412319.25274725276</v>
      </c>
      <c r="P8" s="8">
        <f t="shared" si="3"/>
        <v>274842.5</v>
      </c>
      <c r="Q8" s="21" t="str">
        <f t="shared" si="4"/>
        <v/>
      </c>
    </row>
    <row r="9" spans="1:17" ht="21.75" customHeight="1" x14ac:dyDescent="0.2">
      <c r="A9" s="47">
        <v>45965</v>
      </c>
      <c r="B9" s="48" t="s">
        <v>401</v>
      </c>
      <c r="C9" s="49">
        <v>50467342</v>
      </c>
      <c r="D9" s="49">
        <v>111</v>
      </c>
      <c r="E9" s="49"/>
      <c r="F9" s="49"/>
      <c r="G9" s="49">
        <v>10944333</v>
      </c>
      <c r="H9" s="49">
        <v>5103957</v>
      </c>
      <c r="I9" s="49">
        <v>3439002</v>
      </c>
      <c r="J9" s="49">
        <v>60</v>
      </c>
      <c r="K9" s="49">
        <v>2463411</v>
      </c>
      <c r="L9" s="50"/>
      <c r="M9" s="8">
        <f t="shared" si="0"/>
        <v>19487292</v>
      </c>
      <c r="N9" s="8">
        <f t="shared" si="1"/>
        <v>69954634</v>
      </c>
      <c r="O9" s="8">
        <f t="shared" si="2"/>
        <v>454660.73873873876</v>
      </c>
      <c r="P9" s="8">
        <f t="shared" si="3"/>
        <v>324788.2</v>
      </c>
      <c r="Q9" s="21" t="str">
        <f t="shared" si="4"/>
        <v/>
      </c>
    </row>
    <row r="10" spans="1:17" ht="21.75" customHeight="1" x14ac:dyDescent="0.2">
      <c r="A10" s="47">
        <v>45966</v>
      </c>
      <c r="B10" s="48" t="s">
        <v>402</v>
      </c>
      <c r="C10" s="49">
        <v>49212582</v>
      </c>
      <c r="D10" s="49">
        <v>118</v>
      </c>
      <c r="E10" s="49"/>
      <c r="F10" s="49"/>
      <c r="G10" s="49">
        <v>9454879</v>
      </c>
      <c r="H10" s="49">
        <v>5255018</v>
      </c>
      <c r="I10" s="49">
        <v>2162967</v>
      </c>
      <c r="J10" s="49">
        <v>66</v>
      </c>
      <c r="K10" s="49">
        <v>1426454</v>
      </c>
      <c r="L10" s="50"/>
      <c r="M10" s="8">
        <f t="shared" si="0"/>
        <v>16872864</v>
      </c>
      <c r="N10" s="8">
        <f t="shared" si="1"/>
        <v>66085446</v>
      </c>
      <c r="O10" s="8">
        <f t="shared" si="2"/>
        <v>417055.77966101695</v>
      </c>
      <c r="P10" s="8">
        <f t="shared" si="3"/>
        <v>255649.45454545456</v>
      </c>
      <c r="Q10" s="21" t="str">
        <f t="shared" si="4"/>
        <v/>
      </c>
    </row>
    <row r="11" spans="1:17" ht="21.75" customHeight="1" x14ac:dyDescent="0.2">
      <c r="A11" s="51">
        <v>45967</v>
      </c>
      <c r="B11" s="52" t="s">
        <v>403</v>
      </c>
      <c r="C11" s="49">
        <v>60027007</v>
      </c>
      <c r="D11" s="49">
        <v>126</v>
      </c>
      <c r="E11" s="49"/>
      <c r="F11" s="49"/>
      <c r="G11" s="49">
        <v>11104091</v>
      </c>
      <c r="H11" s="49">
        <v>9389119</v>
      </c>
      <c r="I11" s="49">
        <v>4991001</v>
      </c>
      <c r="J11" s="49">
        <v>90</v>
      </c>
      <c r="K11" s="49">
        <v>1092000</v>
      </c>
      <c r="L11" s="50"/>
      <c r="M11" s="8">
        <f t="shared" si="0"/>
        <v>25484211</v>
      </c>
      <c r="N11" s="8">
        <f t="shared" si="1"/>
        <v>85511218</v>
      </c>
      <c r="O11" s="8">
        <f t="shared" si="2"/>
        <v>476404.81746031746</v>
      </c>
      <c r="P11" s="8">
        <f t="shared" si="3"/>
        <v>283157.90000000002</v>
      </c>
      <c r="Q11" s="21" t="str">
        <f t="shared" si="4"/>
        <v/>
      </c>
    </row>
    <row r="12" spans="1:17" ht="21.75" customHeight="1" x14ac:dyDescent="0.2">
      <c r="A12" s="51">
        <v>45968</v>
      </c>
      <c r="B12" s="52" t="s">
        <v>404</v>
      </c>
      <c r="C12" s="49">
        <v>58404733</v>
      </c>
      <c r="D12" s="49">
        <v>153</v>
      </c>
      <c r="E12" s="49"/>
      <c r="F12" s="49"/>
      <c r="G12" s="49">
        <v>6636002</v>
      </c>
      <c r="H12" s="49">
        <v>7247511</v>
      </c>
      <c r="I12" s="49">
        <v>3067400</v>
      </c>
      <c r="J12" s="49">
        <v>73</v>
      </c>
      <c r="K12" s="49">
        <v>2088133</v>
      </c>
      <c r="L12" s="50"/>
      <c r="M12" s="8">
        <f t="shared" si="0"/>
        <v>16950913</v>
      </c>
      <c r="N12" s="8">
        <f t="shared" si="1"/>
        <v>75355646</v>
      </c>
      <c r="O12" s="8">
        <f t="shared" si="2"/>
        <v>381730.28104575165</v>
      </c>
      <c r="P12" s="8">
        <f t="shared" si="3"/>
        <v>232204.28767123289</v>
      </c>
      <c r="Q12" s="21" t="str">
        <f t="shared" si="4"/>
        <v/>
      </c>
    </row>
    <row r="13" spans="1:17" ht="21.75" customHeight="1" x14ac:dyDescent="0.2">
      <c r="A13" s="47">
        <v>45969</v>
      </c>
      <c r="B13" s="48" t="s">
        <v>405</v>
      </c>
      <c r="C13" s="49">
        <v>49122507</v>
      </c>
      <c r="D13" s="49">
        <v>130</v>
      </c>
      <c r="E13" s="49"/>
      <c r="F13" s="49"/>
      <c r="G13" s="49">
        <v>10064479</v>
      </c>
      <c r="H13" s="49">
        <v>11675253</v>
      </c>
      <c r="I13" s="49">
        <v>3642643</v>
      </c>
      <c r="J13" s="49">
        <v>101</v>
      </c>
      <c r="K13" s="49">
        <v>1282063</v>
      </c>
      <c r="L13" s="50"/>
      <c r="M13" s="8">
        <f t="shared" si="0"/>
        <v>25382375</v>
      </c>
      <c r="N13" s="8">
        <f t="shared" si="1"/>
        <v>74504882</v>
      </c>
      <c r="O13" s="8">
        <f t="shared" si="2"/>
        <v>377865.43846153846</v>
      </c>
      <c r="P13" s="8">
        <f t="shared" si="3"/>
        <v>251310.64356435643</v>
      </c>
      <c r="Q13" s="21" t="str">
        <f t="shared" si="4"/>
        <v/>
      </c>
    </row>
    <row r="14" spans="1:17" ht="21.75" customHeight="1" x14ac:dyDescent="0.2">
      <c r="A14" s="47">
        <v>45970</v>
      </c>
      <c r="B14" s="48" t="s">
        <v>406</v>
      </c>
      <c r="C14" s="49">
        <v>33572771</v>
      </c>
      <c r="D14" s="49">
        <v>92</v>
      </c>
      <c r="E14" s="49"/>
      <c r="F14" s="49"/>
      <c r="G14" s="49">
        <v>8721076</v>
      </c>
      <c r="H14" s="49">
        <v>3423006</v>
      </c>
      <c r="I14" s="49">
        <v>2801231</v>
      </c>
      <c r="J14" s="49">
        <v>68</v>
      </c>
      <c r="K14" s="49">
        <v>2077935</v>
      </c>
      <c r="L14" s="50"/>
      <c r="M14" s="8">
        <f t="shared" si="0"/>
        <v>14945313</v>
      </c>
      <c r="N14" s="8">
        <f t="shared" si="1"/>
        <v>48518084</v>
      </c>
      <c r="O14" s="8">
        <f t="shared" si="2"/>
        <v>364921.42391304346</v>
      </c>
      <c r="P14" s="8">
        <f t="shared" si="3"/>
        <v>219784.01470588235</v>
      </c>
      <c r="Q14" s="21" t="str">
        <f t="shared" si="4"/>
        <v/>
      </c>
    </row>
    <row r="15" spans="1:17" ht="21.75" customHeight="1" x14ac:dyDescent="0.2">
      <c r="A15" s="47">
        <v>45971</v>
      </c>
      <c r="B15" s="48" t="s">
        <v>400</v>
      </c>
      <c r="C15" s="49">
        <v>46977598</v>
      </c>
      <c r="D15" s="49">
        <v>112</v>
      </c>
      <c r="E15" s="49"/>
      <c r="F15" s="49"/>
      <c r="G15" s="49">
        <v>6171972</v>
      </c>
      <c r="H15" s="49">
        <v>3156024</v>
      </c>
      <c r="I15" s="49">
        <v>4083355</v>
      </c>
      <c r="J15" s="49">
        <v>58</v>
      </c>
      <c r="K15" s="49">
        <v>185185</v>
      </c>
      <c r="L15" s="50"/>
      <c r="M15" s="8">
        <f t="shared" si="0"/>
        <v>13411351</v>
      </c>
      <c r="N15" s="8">
        <f t="shared" si="1"/>
        <v>60388949</v>
      </c>
      <c r="O15" s="8">
        <f t="shared" si="2"/>
        <v>419442.83928571426</v>
      </c>
      <c r="P15" s="8">
        <f t="shared" si="3"/>
        <v>231230.18965517241</v>
      </c>
      <c r="Q15" s="21" t="str">
        <f t="shared" si="4"/>
        <v/>
      </c>
    </row>
    <row r="16" spans="1:17" ht="21.75" customHeight="1" x14ac:dyDescent="0.2">
      <c r="A16" s="47">
        <v>45972</v>
      </c>
      <c r="B16" s="48" t="s">
        <v>401</v>
      </c>
      <c r="C16" s="49">
        <v>56799581</v>
      </c>
      <c r="D16" s="49">
        <v>132</v>
      </c>
      <c r="E16" s="49"/>
      <c r="F16" s="49"/>
      <c r="G16" s="49">
        <v>13151171</v>
      </c>
      <c r="H16" s="49">
        <v>8384742</v>
      </c>
      <c r="I16" s="49">
        <v>4054912</v>
      </c>
      <c r="J16" s="49">
        <v>68</v>
      </c>
      <c r="K16" s="49">
        <v>3422385</v>
      </c>
      <c r="L16" s="50"/>
      <c r="M16" s="8">
        <f t="shared" si="0"/>
        <v>25590825</v>
      </c>
      <c r="N16" s="8">
        <f t="shared" si="1"/>
        <v>82390406</v>
      </c>
      <c r="O16" s="8">
        <f t="shared" si="2"/>
        <v>430299.85606060608</v>
      </c>
      <c r="P16" s="8">
        <f t="shared" si="3"/>
        <v>376335.6617647059</v>
      </c>
      <c r="Q16" s="21" t="str">
        <f t="shared" si="4"/>
        <v/>
      </c>
    </row>
    <row r="17" spans="1:17" ht="21.75" customHeight="1" x14ac:dyDescent="0.2">
      <c r="A17" s="47">
        <v>45973</v>
      </c>
      <c r="B17" s="48" t="s">
        <v>402</v>
      </c>
      <c r="C17" s="49">
        <v>47954694</v>
      </c>
      <c r="D17" s="49">
        <v>102</v>
      </c>
      <c r="E17" s="49"/>
      <c r="F17" s="49"/>
      <c r="G17" s="49">
        <v>6815983</v>
      </c>
      <c r="H17" s="49">
        <v>5357012</v>
      </c>
      <c r="I17" s="49">
        <v>3774543</v>
      </c>
      <c r="J17" s="49">
        <v>60</v>
      </c>
      <c r="K17" s="49">
        <v>8497920</v>
      </c>
      <c r="L17" s="50"/>
      <c r="M17" s="8">
        <f t="shared" si="0"/>
        <v>15947538</v>
      </c>
      <c r="N17" s="8">
        <f t="shared" si="1"/>
        <v>63902232</v>
      </c>
      <c r="O17" s="8">
        <f t="shared" si="2"/>
        <v>470144.0588235294</v>
      </c>
      <c r="P17" s="8">
        <f t="shared" si="3"/>
        <v>265792.3</v>
      </c>
      <c r="Q17" s="21" t="str">
        <f t="shared" si="4"/>
        <v/>
      </c>
    </row>
    <row r="18" spans="1:17" ht="21.75" customHeight="1" x14ac:dyDescent="0.2">
      <c r="A18" s="51">
        <v>45974</v>
      </c>
      <c r="B18" s="52" t="s">
        <v>403</v>
      </c>
      <c r="C18" s="49">
        <v>50035288</v>
      </c>
      <c r="D18" s="49">
        <v>119</v>
      </c>
      <c r="E18" s="49"/>
      <c r="F18" s="49"/>
      <c r="G18" s="49">
        <v>7009202</v>
      </c>
      <c r="H18" s="49">
        <v>7098023</v>
      </c>
      <c r="I18" s="49">
        <v>4038610</v>
      </c>
      <c r="J18" s="49">
        <v>68</v>
      </c>
      <c r="K18" s="49">
        <v>5921379</v>
      </c>
      <c r="L18" s="50"/>
      <c r="M18" s="8">
        <f t="shared" si="0"/>
        <v>18145835</v>
      </c>
      <c r="N18" s="8">
        <f t="shared" si="1"/>
        <v>68181123</v>
      </c>
      <c r="O18" s="8">
        <f t="shared" si="2"/>
        <v>420464.60504201683</v>
      </c>
      <c r="P18" s="8">
        <f t="shared" si="3"/>
        <v>266850.51470588235</v>
      </c>
      <c r="Q18" s="21" t="str">
        <f t="shared" si="4"/>
        <v/>
      </c>
    </row>
    <row r="19" spans="1:17" ht="21.75" customHeight="1" x14ac:dyDescent="0.2">
      <c r="A19" s="51">
        <v>45975</v>
      </c>
      <c r="B19" s="52" t="s">
        <v>404</v>
      </c>
      <c r="C19" s="49">
        <v>58933664</v>
      </c>
      <c r="D19" s="49">
        <v>139</v>
      </c>
      <c r="E19" s="49"/>
      <c r="F19" s="49"/>
      <c r="G19" s="49">
        <v>12051372</v>
      </c>
      <c r="H19" s="49">
        <v>9324160</v>
      </c>
      <c r="I19" s="49">
        <v>5112832</v>
      </c>
      <c r="J19" s="49">
        <v>104</v>
      </c>
      <c r="K19" s="49">
        <v>231482</v>
      </c>
      <c r="L19" s="50"/>
      <c r="M19" s="8">
        <f t="shared" si="0"/>
        <v>26488364</v>
      </c>
      <c r="N19" s="8">
        <f t="shared" si="1"/>
        <v>85422028</v>
      </c>
      <c r="O19" s="8">
        <f t="shared" si="2"/>
        <v>423983.19424460432</v>
      </c>
      <c r="P19" s="8">
        <f t="shared" si="3"/>
        <v>254695.80769230769</v>
      </c>
      <c r="Q19" s="21" t="str">
        <f t="shared" si="4"/>
        <v/>
      </c>
    </row>
    <row r="20" spans="1:17" ht="21.75" customHeight="1" x14ac:dyDescent="0.2">
      <c r="A20" s="47">
        <v>45976</v>
      </c>
      <c r="B20" s="48" t="s">
        <v>405</v>
      </c>
      <c r="C20" s="49">
        <v>42959257</v>
      </c>
      <c r="D20" s="49">
        <v>104</v>
      </c>
      <c r="E20" s="49"/>
      <c r="F20" s="49"/>
      <c r="G20" s="49">
        <v>15619017</v>
      </c>
      <c r="H20" s="49">
        <v>8474008</v>
      </c>
      <c r="I20" s="49">
        <v>5119079</v>
      </c>
      <c r="J20" s="49">
        <v>109</v>
      </c>
      <c r="K20" s="49">
        <v>2613555</v>
      </c>
      <c r="L20" s="50"/>
      <c r="M20" s="8">
        <f t="shared" si="0"/>
        <v>29212104</v>
      </c>
      <c r="N20" s="8">
        <f t="shared" si="1"/>
        <v>72171361</v>
      </c>
      <c r="O20" s="8">
        <f t="shared" si="2"/>
        <v>413069.77884615387</v>
      </c>
      <c r="P20" s="8">
        <f t="shared" si="3"/>
        <v>268000.95412844035</v>
      </c>
      <c r="Q20" s="21" t="str">
        <f t="shared" si="4"/>
        <v/>
      </c>
    </row>
    <row r="21" spans="1:17" ht="21.75" customHeight="1" x14ac:dyDescent="0.2">
      <c r="A21" s="47">
        <v>45977</v>
      </c>
      <c r="B21" s="48" t="s">
        <v>406</v>
      </c>
      <c r="C21" s="49">
        <v>34137320</v>
      </c>
      <c r="D21" s="49">
        <v>87</v>
      </c>
      <c r="E21" s="49"/>
      <c r="F21" s="49"/>
      <c r="G21" s="49">
        <v>7576500</v>
      </c>
      <c r="H21" s="49">
        <v>5916016</v>
      </c>
      <c r="I21" s="49">
        <v>5316449</v>
      </c>
      <c r="J21" s="49">
        <v>74</v>
      </c>
      <c r="K21" s="49">
        <v>444445</v>
      </c>
      <c r="L21" s="50"/>
      <c r="M21" s="8">
        <f t="shared" si="0"/>
        <v>18808965</v>
      </c>
      <c r="N21" s="8">
        <f t="shared" si="1"/>
        <v>52946285</v>
      </c>
      <c r="O21" s="8">
        <f t="shared" si="2"/>
        <v>392382.98850574711</v>
      </c>
      <c r="P21" s="8">
        <f t="shared" si="3"/>
        <v>254175.20270270269</v>
      </c>
      <c r="Q21" s="21" t="str">
        <f t="shared" si="4"/>
        <v/>
      </c>
    </row>
    <row r="22" spans="1:17" ht="21.75" customHeight="1" x14ac:dyDescent="0.2">
      <c r="A22" s="47">
        <v>45978</v>
      </c>
      <c r="B22" s="48" t="s">
        <v>400</v>
      </c>
      <c r="C22" s="49">
        <v>41086060</v>
      </c>
      <c r="D22" s="49">
        <v>100</v>
      </c>
      <c r="E22" s="49"/>
      <c r="F22" s="49"/>
      <c r="G22" s="49">
        <v>5947917</v>
      </c>
      <c r="H22" s="49">
        <v>1858006</v>
      </c>
      <c r="I22" s="49">
        <v>2763111</v>
      </c>
      <c r="J22" s="49">
        <v>44</v>
      </c>
      <c r="K22" s="49">
        <v>1916000</v>
      </c>
      <c r="L22" s="50"/>
      <c r="M22" s="8">
        <f t="shared" si="0"/>
        <v>10569034</v>
      </c>
      <c r="N22" s="8">
        <f t="shared" si="1"/>
        <v>51655094</v>
      </c>
      <c r="O22" s="8">
        <f t="shared" si="2"/>
        <v>410860.6</v>
      </c>
      <c r="P22" s="8">
        <f t="shared" si="3"/>
        <v>240205.31818181818</v>
      </c>
      <c r="Q22" s="21" t="str">
        <f t="shared" si="4"/>
        <v/>
      </c>
    </row>
    <row r="23" spans="1:17" ht="21.75" customHeight="1" x14ac:dyDescent="0.2">
      <c r="A23" s="47">
        <v>45979</v>
      </c>
      <c r="B23" s="48" t="s">
        <v>401</v>
      </c>
      <c r="C23" s="49">
        <v>43987545</v>
      </c>
      <c r="D23" s="49">
        <v>103</v>
      </c>
      <c r="E23" s="49"/>
      <c r="F23" s="49"/>
      <c r="G23" s="49">
        <v>11951918</v>
      </c>
      <c r="H23" s="49">
        <v>3677010</v>
      </c>
      <c r="I23" s="49">
        <v>1491415</v>
      </c>
      <c r="J23" s="49">
        <v>56</v>
      </c>
      <c r="K23" s="49">
        <v>1049896</v>
      </c>
      <c r="L23" s="50"/>
      <c r="M23" s="8">
        <f t="shared" si="0"/>
        <v>17120343</v>
      </c>
      <c r="N23" s="8">
        <f t="shared" si="1"/>
        <v>61107888</v>
      </c>
      <c r="O23" s="8">
        <f t="shared" si="2"/>
        <v>427063.54368932039</v>
      </c>
      <c r="P23" s="8">
        <f t="shared" si="3"/>
        <v>305720.41071428574</v>
      </c>
      <c r="Q23" s="21" t="str">
        <f t="shared" si="4"/>
        <v/>
      </c>
    </row>
    <row r="24" spans="1:17" ht="21.75" customHeight="1" x14ac:dyDescent="0.2">
      <c r="A24" s="47">
        <v>45980</v>
      </c>
      <c r="B24" s="48" t="s">
        <v>402</v>
      </c>
      <c r="C24" s="49">
        <v>51729180</v>
      </c>
      <c r="D24" s="49">
        <v>124</v>
      </c>
      <c r="E24" s="49"/>
      <c r="F24" s="49"/>
      <c r="G24" s="49">
        <v>12314489</v>
      </c>
      <c r="H24" s="49">
        <v>4803017</v>
      </c>
      <c r="I24" s="49">
        <v>4183673</v>
      </c>
      <c r="J24" s="49">
        <v>80</v>
      </c>
      <c r="K24" s="49">
        <v>5492640</v>
      </c>
      <c r="L24" s="50"/>
      <c r="M24" s="8">
        <f t="shared" si="0"/>
        <v>21301179</v>
      </c>
      <c r="N24" s="8">
        <f t="shared" si="1"/>
        <v>73030359</v>
      </c>
      <c r="O24" s="8">
        <f t="shared" si="2"/>
        <v>417170.80645161291</v>
      </c>
      <c r="P24" s="8">
        <f t="shared" si="3"/>
        <v>266264.73749999999</v>
      </c>
      <c r="Q24" s="21" t="str">
        <f t="shared" si="4"/>
        <v/>
      </c>
    </row>
    <row r="25" spans="1:17" ht="21.75" customHeight="1" x14ac:dyDescent="0.2">
      <c r="A25" s="51">
        <v>45981</v>
      </c>
      <c r="B25" s="52" t="s">
        <v>403</v>
      </c>
      <c r="C25" s="49">
        <v>48954223</v>
      </c>
      <c r="D25" s="49">
        <v>125</v>
      </c>
      <c r="E25" s="49"/>
      <c r="F25" s="49"/>
      <c r="G25" s="49">
        <v>7837443</v>
      </c>
      <c r="H25" s="49">
        <v>7792005</v>
      </c>
      <c r="I25" s="49">
        <v>8543908</v>
      </c>
      <c r="J25" s="49">
        <v>80</v>
      </c>
      <c r="K25" s="49">
        <v>1989525</v>
      </c>
      <c r="L25" s="50"/>
      <c r="M25" s="8">
        <f t="shared" si="0"/>
        <v>24173356</v>
      </c>
      <c r="N25" s="8">
        <f t="shared" si="1"/>
        <v>73127579</v>
      </c>
      <c r="O25" s="8">
        <f t="shared" si="2"/>
        <v>391633.78399999999</v>
      </c>
      <c r="P25" s="8">
        <f t="shared" si="3"/>
        <v>302166.95</v>
      </c>
      <c r="Q25" s="21" t="str">
        <f t="shared" si="4"/>
        <v/>
      </c>
    </row>
    <row r="26" spans="1:17" ht="21.75" customHeight="1" x14ac:dyDescent="0.2">
      <c r="A26" s="51">
        <v>45982</v>
      </c>
      <c r="B26" s="52" t="s">
        <v>404</v>
      </c>
      <c r="C26" s="49">
        <v>49924577</v>
      </c>
      <c r="D26" s="49">
        <v>118</v>
      </c>
      <c r="E26" s="49"/>
      <c r="F26" s="49"/>
      <c r="G26" s="49">
        <v>11050962</v>
      </c>
      <c r="H26" s="49">
        <v>9479029</v>
      </c>
      <c r="I26" s="49">
        <v>3975110</v>
      </c>
      <c r="J26" s="49">
        <v>94</v>
      </c>
      <c r="K26" s="49">
        <v>3183915</v>
      </c>
      <c r="L26" s="50"/>
      <c r="M26" s="8">
        <f t="shared" si="0"/>
        <v>24505101</v>
      </c>
      <c r="N26" s="8">
        <f t="shared" si="1"/>
        <v>74429678</v>
      </c>
      <c r="O26" s="8">
        <f t="shared" si="2"/>
        <v>423089.63559322036</v>
      </c>
      <c r="P26" s="8">
        <f t="shared" si="3"/>
        <v>260692.56382978722</v>
      </c>
      <c r="Q26" s="21" t="str">
        <f t="shared" si="4"/>
        <v/>
      </c>
    </row>
    <row r="27" spans="1:17" ht="21.75" customHeight="1" x14ac:dyDescent="0.2">
      <c r="A27" s="47">
        <v>45983</v>
      </c>
      <c r="B27" s="48" t="s">
        <v>405</v>
      </c>
      <c r="C27" s="49">
        <v>34397955</v>
      </c>
      <c r="D27" s="49">
        <v>92</v>
      </c>
      <c r="E27" s="49"/>
      <c r="F27" s="49"/>
      <c r="G27" s="49">
        <v>11895164</v>
      </c>
      <c r="H27" s="49">
        <v>3951009</v>
      </c>
      <c r="I27" s="49">
        <v>4188385</v>
      </c>
      <c r="J27" s="49">
        <v>90</v>
      </c>
      <c r="K27" s="49"/>
      <c r="L27" s="50"/>
      <c r="M27" s="8">
        <f t="shared" si="0"/>
        <v>20034558</v>
      </c>
      <c r="N27" s="8">
        <f t="shared" si="1"/>
        <v>54432513</v>
      </c>
      <c r="O27" s="8">
        <f t="shared" si="2"/>
        <v>373890.8152173913</v>
      </c>
      <c r="P27" s="8">
        <f t="shared" si="3"/>
        <v>222606.2</v>
      </c>
      <c r="Q27" s="21" t="str">
        <f t="shared" si="4"/>
        <v/>
      </c>
    </row>
    <row r="28" spans="1:17" ht="21.75" customHeight="1" x14ac:dyDescent="0.2">
      <c r="A28" s="47">
        <v>45984</v>
      </c>
      <c r="B28" s="48" t="s">
        <v>406</v>
      </c>
      <c r="C28" s="49">
        <v>34989519</v>
      </c>
      <c r="D28" s="49">
        <v>85</v>
      </c>
      <c r="E28" s="49"/>
      <c r="F28" s="49"/>
      <c r="G28" s="49">
        <v>14327436</v>
      </c>
      <c r="H28" s="49">
        <v>3550015</v>
      </c>
      <c r="I28" s="49">
        <v>4095413</v>
      </c>
      <c r="J28" s="49">
        <v>81</v>
      </c>
      <c r="K28" s="49">
        <v>629600</v>
      </c>
      <c r="L28" s="50"/>
      <c r="M28" s="8">
        <f t="shared" si="0"/>
        <v>21972864</v>
      </c>
      <c r="N28" s="8">
        <f t="shared" si="1"/>
        <v>56962383</v>
      </c>
      <c r="O28" s="8">
        <f t="shared" si="2"/>
        <v>411641.4</v>
      </c>
      <c r="P28" s="8">
        <f t="shared" si="3"/>
        <v>271269.9259259259</v>
      </c>
      <c r="Q28" s="21" t="str">
        <f t="shared" si="4"/>
        <v/>
      </c>
    </row>
    <row r="29" spans="1:17" ht="21.75" customHeight="1" x14ac:dyDescent="0.2">
      <c r="A29" s="47">
        <v>45985</v>
      </c>
      <c r="B29" s="48" t="s">
        <v>400</v>
      </c>
      <c r="C29" s="49">
        <v>44241336</v>
      </c>
      <c r="D29" s="49">
        <v>88</v>
      </c>
      <c r="E29" s="49"/>
      <c r="F29" s="49"/>
      <c r="G29" s="49">
        <v>8497514</v>
      </c>
      <c r="H29" s="49">
        <v>4962016</v>
      </c>
      <c r="I29" s="49">
        <v>4671301</v>
      </c>
      <c r="J29" s="49">
        <v>61</v>
      </c>
      <c r="K29" s="49">
        <v>8007398</v>
      </c>
      <c r="L29" s="50"/>
      <c r="M29" s="8">
        <f t="shared" si="0"/>
        <v>18130831</v>
      </c>
      <c r="N29" s="8">
        <f t="shared" si="1"/>
        <v>62372167</v>
      </c>
      <c r="O29" s="8">
        <f t="shared" si="2"/>
        <v>502742.45454545453</v>
      </c>
      <c r="P29" s="8">
        <f t="shared" si="3"/>
        <v>297226.73770491802</v>
      </c>
      <c r="Q29" s="21" t="str">
        <f t="shared" si="4"/>
        <v/>
      </c>
    </row>
    <row r="30" spans="1:17" ht="21.75" customHeight="1" x14ac:dyDescent="0.2">
      <c r="A30" s="47">
        <v>45986</v>
      </c>
      <c r="B30" s="48" t="s">
        <v>401</v>
      </c>
      <c r="C30" s="49">
        <v>64843824</v>
      </c>
      <c r="D30" s="49">
        <v>137</v>
      </c>
      <c r="E30" s="49"/>
      <c r="F30" s="49"/>
      <c r="G30" s="49">
        <v>7114980</v>
      </c>
      <c r="H30" s="49">
        <v>4628024</v>
      </c>
      <c r="I30" s="49">
        <v>4863072</v>
      </c>
      <c r="J30" s="49">
        <v>67</v>
      </c>
      <c r="K30" s="49">
        <v>4251200</v>
      </c>
      <c r="L30" s="50"/>
      <c r="M30" s="8">
        <f t="shared" si="0"/>
        <v>16606076</v>
      </c>
      <c r="N30" s="8">
        <f t="shared" si="1"/>
        <v>81449900</v>
      </c>
      <c r="O30" s="8">
        <f t="shared" si="2"/>
        <v>473312.58394160582</v>
      </c>
      <c r="P30" s="8">
        <f t="shared" si="3"/>
        <v>247851.88059701491</v>
      </c>
      <c r="Q30" s="21" t="str">
        <f t="shared" si="4"/>
        <v/>
      </c>
    </row>
    <row r="31" spans="1:17" ht="21.75" customHeight="1" x14ac:dyDescent="0.2">
      <c r="A31" s="47">
        <v>45987</v>
      </c>
      <c r="B31" s="48" t="s">
        <v>402</v>
      </c>
      <c r="C31" s="49">
        <v>45696695</v>
      </c>
      <c r="D31" s="49">
        <v>119</v>
      </c>
      <c r="E31" s="49"/>
      <c r="F31" s="49"/>
      <c r="G31" s="49">
        <v>14793011</v>
      </c>
      <c r="H31" s="49">
        <v>7416341</v>
      </c>
      <c r="I31" s="49">
        <v>4042941</v>
      </c>
      <c r="J31" s="49">
        <v>85</v>
      </c>
      <c r="K31" s="49">
        <v>979255</v>
      </c>
      <c r="L31" s="50"/>
      <c r="M31" s="8">
        <f t="shared" si="0"/>
        <v>26252293</v>
      </c>
      <c r="N31" s="8">
        <f t="shared" si="1"/>
        <v>71948988</v>
      </c>
      <c r="O31" s="8">
        <f t="shared" si="2"/>
        <v>384005.84033613448</v>
      </c>
      <c r="P31" s="8">
        <f t="shared" si="3"/>
        <v>308850.50588235294</v>
      </c>
      <c r="Q31" s="21" t="str">
        <f t="shared" si="4"/>
        <v/>
      </c>
    </row>
    <row r="32" spans="1:17" ht="21.75" customHeight="1" x14ac:dyDescent="0.2">
      <c r="A32" s="51">
        <v>45988</v>
      </c>
      <c r="B32" s="52" t="s">
        <v>403</v>
      </c>
      <c r="C32" s="49">
        <v>60753329</v>
      </c>
      <c r="D32" s="49">
        <v>158</v>
      </c>
      <c r="E32" s="49"/>
      <c r="F32" s="49"/>
      <c r="G32" s="49">
        <v>17658520</v>
      </c>
      <c r="H32" s="49">
        <v>4878001</v>
      </c>
      <c r="I32" s="49">
        <v>4975380</v>
      </c>
      <c r="J32" s="49">
        <v>94</v>
      </c>
      <c r="K32" s="49">
        <v>2276025</v>
      </c>
      <c r="L32" s="50"/>
      <c r="M32" s="8">
        <f t="shared" si="0"/>
        <v>27511901</v>
      </c>
      <c r="N32" s="8">
        <f t="shared" si="1"/>
        <v>88265230</v>
      </c>
      <c r="O32" s="8">
        <f t="shared" si="2"/>
        <v>384514.74050632911</v>
      </c>
      <c r="P32" s="8">
        <f t="shared" si="3"/>
        <v>292679.79787234042</v>
      </c>
      <c r="Q32" s="21" t="str">
        <f t="shared" si="4"/>
        <v/>
      </c>
    </row>
    <row r="33" spans="1:17" ht="21.75" customHeight="1" x14ac:dyDescent="0.2">
      <c r="A33" s="51">
        <v>45989</v>
      </c>
      <c r="B33" s="52" t="s">
        <v>404</v>
      </c>
      <c r="C33" s="49">
        <v>62827222</v>
      </c>
      <c r="D33" s="49">
        <v>145</v>
      </c>
      <c r="E33" s="49"/>
      <c r="F33" s="49"/>
      <c r="G33" s="49">
        <v>17413291</v>
      </c>
      <c r="H33" s="49">
        <v>9434058</v>
      </c>
      <c r="I33" s="49">
        <v>7139249</v>
      </c>
      <c r="J33" s="49">
        <v>115</v>
      </c>
      <c r="K33" s="49">
        <v>7252646</v>
      </c>
      <c r="L33" s="50"/>
      <c r="M33" s="8">
        <f t="shared" si="0"/>
        <v>33986598</v>
      </c>
      <c r="N33" s="8">
        <f t="shared" si="1"/>
        <v>96813820</v>
      </c>
      <c r="O33" s="8">
        <f t="shared" si="2"/>
        <v>433291.18620689656</v>
      </c>
      <c r="P33" s="8">
        <f t="shared" si="3"/>
        <v>295535.63478260871</v>
      </c>
      <c r="Q33" s="21" t="str">
        <f t="shared" si="4"/>
        <v/>
      </c>
    </row>
    <row r="34" spans="1:17" ht="21.75" customHeight="1" x14ac:dyDescent="0.2">
      <c r="A34" s="47">
        <v>45990</v>
      </c>
      <c r="B34" s="48" t="s">
        <v>405</v>
      </c>
      <c r="C34" s="49">
        <v>56163940</v>
      </c>
      <c r="D34" s="49">
        <v>150</v>
      </c>
      <c r="E34" s="49"/>
      <c r="F34" s="49"/>
      <c r="G34" s="49">
        <v>12169877</v>
      </c>
      <c r="H34" s="49">
        <v>8166029</v>
      </c>
      <c r="I34" s="49">
        <v>5901888</v>
      </c>
      <c r="J34" s="49">
        <v>116</v>
      </c>
      <c r="K34" s="49">
        <v>2316839</v>
      </c>
      <c r="L34" s="50"/>
      <c r="M34" s="8">
        <f t="shared" si="0"/>
        <v>26237794</v>
      </c>
      <c r="N34" s="8">
        <f t="shared" si="1"/>
        <v>82401734</v>
      </c>
      <c r="O34" s="8">
        <f t="shared" si="2"/>
        <v>374426.26666666666</v>
      </c>
      <c r="P34" s="8">
        <f t="shared" si="3"/>
        <v>226187.87931034484</v>
      </c>
      <c r="Q34" s="21" t="str">
        <f t="shared" si="4"/>
        <v/>
      </c>
    </row>
    <row r="35" spans="1:17" ht="21.75" customHeight="1" x14ac:dyDescent="0.2">
      <c r="A35" s="47">
        <v>45991</v>
      </c>
      <c r="B35" s="48" t="s">
        <v>406</v>
      </c>
      <c r="C35" s="49">
        <v>45037191</v>
      </c>
      <c r="D35" s="49">
        <v>113</v>
      </c>
      <c r="E35" s="49"/>
      <c r="F35" s="49"/>
      <c r="G35" s="49">
        <v>13629146</v>
      </c>
      <c r="H35" s="49">
        <v>4748004</v>
      </c>
      <c r="I35" s="49">
        <v>2738968</v>
      </c>
      <c r="J35" s="49">
        <v>78</v>
      </c>
      <c r="K35" s="49">
        <v>1323154</v>
      </c>
      <c r="L35" s="50"/>
      <c r="M35" s="8">
        <f t="shared" si="0"/>
        <v>21116118</v>
      </c>
      <c r="N35" s="8">
        <f t="shared" si="1"/>
        <v>66153309</v>
      </c>
      <c r="O35" s="8">
        <f t="shared" si="2"/>
        <v>398559.21238938055</v>
      </c>
      <c r="P35" s="8">
        <f t="shared" si="3"/>
        <v>270719.46153846156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409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45992</v>
      </c>
      <c r="B6" s="48" t="s">
        <v>400</v>
      </c>
      <c r="C6" s="49">
        <v>45020711</v>
      </c>
      <c r="D6" s="49">
        <v>86</v>
      </c>
      <c r="E6" s="49"/>
      <c r="F6" s="49"/>
      <c r="G6" s="49">
        <v>6040002</v>
      </c>
      <c r="H6" s="49">
        <v>2779005</v>
      </c>
      <c r="I6" s="49">
        <v>1577438</v>
      </c>
      <c r="J6" s="49">
        <v>42</v>
      </c>
      <c r="K6" s="49">
        <v>10475495</v>
      </c>
      <c r="L6" s="50"/>
      <c r="M6" s="8">
        <f t="shared" ref="M6:M36" si="0">IF(SUM(G6:I6)&gt;0,SUM(G6:I6),"")</f>
        <v>10396445</v>
      </c>
      <c r="N6" s="8">
        <f t="shared" ref="N6:N36" si="1">IF(N(C6)+N(M6)&gt;0,N(C6)+N(M6),"")</f>
        <v>55417156</v>
      </c>
      <c r="O6" s="8">
        <f t="shared" ref="O6:O36" si="2">IFERROR(IF(D6&gt;0,C6/D6,""),"")</f>
        <v>523496.63953488372</v>
      </c>
      <c r="P6" s="8">
        <f t="shared" ref="P6:P36" si="3">IFERROR(IF(J6&gt;0,M6/J6,""),"")</f>
        <v>247534.40476190476</v>
      </c>
      <c r="Q6" s="21" t="str">
        <f t="shared" ref="Q6:Q36" si="4">IFERROR(IF(E6&gt;0,D6/E6,""),"")</f>
        <v/>
      </c>
    </row>
    <row r="7" spans="1:17" ht="21.75" customHeight="1" x14ac:dyDescent="0.2">
      <c r="A7" s="47">
        <v>45993</v>
      </c>
      <c r="B7" s="48" t="s">
        <v>401</v>
      </c>
      <c r="C7" s="49">
        <v>53475125</v>
      </c>
      <c r="D7" s="49">
        <v>121</v>
      </c>
      <c r="E7" s="49"/>
      <c r="F7" s="49"/>
      <c r="G7" s="49">
        <v>11543936</v>
      </c>
      <c r="H7" s="49">
        <v>2448018</v>
      </c>
      <c r="I7" s="49">
        <v>2999915</v>
      </c>
      <c r="J7" s="49">
        <v>54</v>
      </c>
      <c r="K7" s="49">
        <v>3200000</v>
      </c>
      <c r="L7" s="50"/>
      <c r="M7" s="8">
        <f t="shared" si="0"/>
        <v>16991869</v>
      </c>
      <c r="N7" s="8">
        <f t="shared" si="1"/>
        <v>70466994</v>
      </c>
      <c r="O7" s="8">
        <f t="shared" si="2"/>
        <v>441943.18181818182</v>
      </c>
      <c r="P7" s="8">
        <f t="shared" si="3"/>
        <v>314664.24074074073</v>
      </c>
      <c r="Q7" s="21" t="str">
        <f t="shared" si="4"/>
        <v/>
      </c>
    </row>
    <row r="8" spans="1:17" ht="21.75" customHeight="1" x14ac:dyDescent="0.2">
      <c r="A8" s="47">
        <v>45994</v>
      </c>
      <c r="B8" s="48" t="s">
        <v>402</v>
      </c>
      <c r="C8" s="49">
        <v>52732636</v>
      </c>
      <c r="D8" s="49">
        <v>117</v>
      </c>
      <c r="E8" s="49"/>
      <c r="F8" s="49"/>
      <c r="G8" s="49">
        <v>7441507</v>
      </c>
      <c r="H8" s="49">
        <v>4226023</v>
      </c>
      <c r="I8" s="49">
        <v>4348011</v>
      </c>
      <c r="J8" s="49">
        <v>61</v>
      </c>
      <c r="K8" s="49">
        <v>2403608</v>
      </c>
      <c r="L8" s="50"/>
      <c r="M8" s="8">
        <f t="shared" si="0"/>
        <v>16015541</v>
      </c>
      <c r="N8" s="8">
        <f t="shared" si="1"/>
        <v>68748177</v>
      </c>
      <c r="O8" s="8">
        <f t="shared" si="2"/>
        <v>450706.29059829062</v>
      </c>
      <c r="P8" s="8">
        <f t="shared" si="3"/>
        <v>262549.85245901637</v>
      </c>
      <c r="Q8" s="21" t="str">
        <f t="shared" si="4"/>
        <v/>
      </c>
    </row>
    <row r="9" spans="1:17" ht="21.75" customHeight="1" x14ac:dyDescent="0.2">
      <c r="A9" s="47">
        <v>45995</v>
      </c>
      <c r="B9" s="48" t="s">
        <v>403</v>
      </c>
      <c r="C9" s="49">
        <v>44254621</v>
      </c>
      <c r="D9" s="49">
        <v>98</v>
      </c>
      <c r="E9" s="49"/>
      <c r="F9" s="49"/>
      <c r="G9" s="49">
        <v>14201097</v>
      </c>
      <c r="H9" s="49">
        <v>5686012</v>
      </c>
      <c r="I9" s="49">
        <v>3045926</v>
      </c>
      <c r="J9" s="49">
        <v>91</v>
      </c>
      <c r="K9" s="49">
        <v>551037</v>
      </c>
      <c r="L9" s="50"/>
      <c r="M9" s="8">
        <f t="shared" si="0"/>
        <v>22933035</v>
      </c>
      <c r="N9" s="8">
        <f t="shared" si="1"/>
        <v>67187656</v>
      </c>
      <c r="O9" s="8">
        <f t="shared" si="2"/>
        <v>451577.76530612243</v>
      </c>
      <c r="P9" s="8">
        <f t="shared" si="3"/>
        <v>252011.37362637362</v>
      </c>
      <c r="Q9" s="21" t="str">
        <f t="shared" si="4"/>
        <v/>
      </c>
    </row>
    <row r="10" spans="1:17" ht="21.75" customHeight="1" x14ac:dyDescent="0.2">
      <c r="A10" s="47">
        <v>45996</v>
      </c>
      <c r="B10" s="48" t="s">
        <v>404</v>
      </c>
      <c r="C10" s="49">
        <v>48002681</v>
      </c>
      <c r="D10" s="49">
        <v>116</v>
      </c>
      <c r="E10" s="49"/>
      <c r="F10" s="49"/>
      <c r="G10" s="49">
        <v>13714286</v>
      </c>
      <c r="H10" s="49">
        <v>7682027</v>
      </c>
      <c r="I10" s="49">
        <v>4757941</v>
      </c>
      <c r="J10" s="49">
        <v>99</v>
      </c>
      <c r="K10" s="49">
        <v>4482379</v>
      </c>
      <c r="L10" s="50"/>
      <c r="M10" s="8">
        <f t="shared" si="0"/>
        <v>26154254</v>
      </c>
      <c r="N10" s="8">
        <f t="shared" si="1"/>
        <v>74156935</v>
      </c>
      <c r="O10" s="8">
        <f t="shared" si="2"/>
        <v>413816.21551724139</v>
      </c>
      <c r="P10" s="8">
        <f t="shared" si="3"/>
        <v>264184.38383838383</v>
      </c>
      <c r="Q10" s="21" t="str">
        <f t="shared" si="4"/>
        <v/>
      </c>
    </row>
    <row r="11" spans="1:17" ht="21.75" customHeight="1" x14ac:dyDescent="0.2">
      <c r="A11" s="51">
        <v>45997</v>
      </c>
      <c r="B11" s="52" t="s">
        <v>405</v>
      </c>
      <c r="C11" s="49">
        <v>38647128</v>
      </c>
      <c r="D11" s="49">
        <v>95</v>
      </c>
      <c r="E11" s="49"/>
      <c r="F11" s="49"/>
      <c r="G11" s="49">
        <v>14455707</v>
      </c>
      <c r="H11" s="49">
        <v>11348542</v>
      </c>
      <c r="I11" s="49">
        <v>8723830</v>
      </c>
      <c r="J11" s="49">
        <v>136</v>
      </c>
      <c r="K11" s="49">
        <v>1857600</v>
      </c>
      <c r="L11" s="50"/>
      <c r="M11" s="8">
        <f t="shared" si="0"/>
        <v>34528079</v>
      </c>
      <c r="N11" s="8">
        <f t="shared" si="1"/>
        <v>73175207</v>
      </c>
      <c r="O11" s="8">
        <f t="shared" si="2"/>
        <v>406811.87368421053</v>
      </c>
      <c r="P11" s="8">
        <f t="shared" si="3"/>
        <v>253882.9338235294</v>
      </c>
      <c r="Q11" s="21" t="str">
        <f t="shared" si="4"/>
        <v/>
      </c>
    </row>
    <row r="12" spans="1:17" ht="21.75" customHeight="1" x14ac:dyDescent="0.2">
      <c r="A12" s="51">
        <v>45998</v>
      </c>
      <c r="B12" s="52" t="s">
        <v>406</v>
      </c>
      <c r="C12" s="49">
        <v>41728875</v>
      </c>
      <c r="D12" s="49">
        <v>112</v>
      </c>
      <c r="E12" s="49"/>
      <c r="F12" s="49"/>
      <c r="G12" s="49">
        <v>14353575</v>
      </c>
      <c r="H12" s="49">
        <v>6256016</v>
      </c>
      <c r="I12" s="49">
        <v>3840130</v>
      </c>
      <c r="J12" s="49">
        <v>86</v>
      </c>
      <c r="K12" s="49">
        <v>1244340</v>
      </c>
      <c r="L12" s="50"/>
      <c r="M12" s="8">
        <f t="shared" si="0"/>
        <v>24449721</v>
      </c>
      <c r="N12" s="8">
        <f t="shared" si="1"/>
        <v>66178596</v>
      </c>
      <c r="O12" s="8">
        <f t="shared" si="2"/>
        <v>372579.24107142858</v>
      </c>
      <c r="P12" s="8">
        <f t="shared" si="3"/>
        <v>284299.08139534883</v>
      </c>
      <c r="Q12" s="21" t="str">
        <f t="shared" si="4"/>
        <v/>
      </c>
    </row>
    <row r="13" spans="1:17" ht="21.75" customHeight="1" x14ac:dyDescent="0.2">
      <c r="A13" s="47">
        <v>45999</v>
      </c>
      <c r="B13" s="48" t="s">
        <v>400</v>
      </c>
      <c r="C13" s="49">
        <v>33332635</v>
      </c>
      <c r="D13" s="49">
        <v>70</v>
      </c>
      <c r="E13" s="49"/>
      <c r="F13" s="49"/>
      <c r="G13" s="49">
        <v>10259014</v>
      </c>
      <c r="H13" s="49">
        <v>6904555</v>
      </c>
      <c r="I13" s="49">
        <v>1594281</v>
      </c>
      <c r="J13" s="49">
        <v>55</v>
      </c>
      <c r="K13" s="49">
        <v>7472458</v>
      </c>
      <c r="L13" s="50"/>
      <c r="M13" s="8">
        <f t="shared" si="0"/>
        <v>18757850</v>
      </c>
      <c r="N13" s="8">
        <f t="shared" si="1"/>
        <v>52090485</v>
      </c>
      <c r="O13" s="8">
        <f t="shared" si="2"/>
        <v>476180.5</v>
      </c>
      <c r="P13" s="8">
        <f t="shared" si="3"/>
        <v>341051.81818181818</v>
      </c>
      <c r="Q13" s="21" t="str">
        <f t="shared" si="4"/>
        <v/>
      </c>
    </row>
    <row r="14" spans="1:17" ht="21.75" customHeight="1" x14ac:dyDescent="0.2">
      <c r="A14" s="47">
        <v>46000</v>
      </c>
      <c r="B14" s="48" t="s">
        <v>401</v>
      </c>
      <c r="C14" s="49">
        <v>56618375</v>
      </c>
      <c r="D14" s="49">
        <v>116</v>
      </c>
      <c r="E14" s="49"/>
      <c r="F14" s="49"/>
      <c r="G14" s="49">
        <v>17487196</v>
      </c>
      <c r="H14" s="49">
        <v>4983015</v>
      </c>
      <c r="I14" s="49">
        <v>2586169</v>
      </c>
      <c r="J14" s="49">
        <v>85</v>
      </c>
      <c r="K14" s="49">
        <v>686400</v>
      </c>
      <c r="L14" s="50"/>
      <c r="M14" s="8">
        <f t="shared" si="0"/>
        <v>25056380</v>
      </c>
      <c r="N14" s="8">
        <f t="shared" si="1"/>
        <v>81674755</v>
      </c>
      <c r="O14" s="8">
        <f t="shared" si="2"/>
        <v>488089.43965517241</v>
      </c>
      <c r="P14" s="8">
        <f t="shared" si="3"/>
        <v>294780.9411764706</v>
      </c>
      <c r="Q14" s="21" t="str">
        <f t="shared" si="4"/>
        <v/>
      </c>
    </row>
    <row r="15" spans="1:17" ht="21.75" customHeight="1" x14ac:dyDescent="0.2">
      <c r="A15" s="47">
        <v>46001</v>
      </c>
      <c r="B15" s="48" t="s">
        <v>402</v>
      </c>
      <c r="C15" s="49">
        <v>47094926</v>
      </c>
      <c r="D15" s="49">
        <v>113</v>
      </c>
      <c r="E15" s="49"/>
      <c r="F15" s="49"/>
      <c r="G15" s="49">
        <v>11865091</v>
      </c>
      <c r="H15" s="49">
        <v>9099536</v>
      </c>
      <c r="I15" s="49">
        <v>4065185</v>
      </c>
      <c r="J15" s="49">
        <v>79</v>
      </c>
      <c r="K15" s="49">
        <v>555559</v>
      </c>
      <c r="L15" s="50"/>
      <c r="M15" s="8">
        <f t="shared" si="0"/>
        <v>25029812</v>
      </c>
      <c r="N15" s="8">
        <f t="shared" si="1"/>
        <v>72124738</v>
      </c>
      <c r="O15" s="8">
        <f t="shared" si="2"/>
        <v>416769.25663716812</v>
      </c>
      <c r="P15" s="8">
        <f t="shared" si="3"/>
        <v>316833.06329113926</v>
      </c>
      <c r="Q15" s="21" t="str">
        <f t="shared" si="4"/>
        <v/>
      </c>
    </row>
    <row r="16" spans="1:17" ht="21.75" customHeight="1" x14ac:dyDescent="0.2">
      <c r="A16" s="47">
        <v>46002</v>
      </c>
      <c r="B16" s="48" t="s">
        <v>403</v>
      </c>
      <c r="C16" s="49">
        <v>51119403</v>
      </c>
      <c r="D16" s="49">
        <v>116</v>
      </c>
      <c r="E16" s="49"/>
      <c r="F16" s="49"/>
      <c r="G16" s="49">
        <v>15286488</v>
      </c>
      <c r="H16" s="49">
        <v>6212016</v>
      </c>
      <c r="I16" s="49">
        <v>5758149</v>
      </c>
      <c r="J16" s="49">
        <v>95</v>
      </c>
      <c r="K16" s="49">
        <v>3017039</v>
      </c>
      <c r="L16" s="50"/>
      <c r="M16" s="8">
        <f t="shared" si="0"/>
        <v>27256653</v>
      </c>
      <c r="N16" s="8">
        <f t="shared" si="1"/>
        <v>78376056</v>
      </c>
      <c r="O16" s="8">
        <f t="shared" si="2"/>
        <v>440684.50862068968</v>
      </c>
      <c r="P16" s="8">
        <f t="shared" si="3"/>
        <v>286912.13684210525</v>
      </c>
      <c r="Q16" s="21" t="str">
        <f t="shared" si="4"/>
        <v/>
      </c>
    </row>
    <row r="17" spans="1:17" ht="21.75" customHeight="1" x14ac:dyDescent="0.2">
      <c r="A17" s="47">
        <v>46003</v>
      </c>
      <c r="B17" s="48" t="s">
        <v>404</v>
      </c>
      <c r="C17" s="49">
        <v>53829137</v>
      </c>
      <c r="D17" s="49">
        <v>143</v>
      </c>
      <c r="E17" s="49"/>
      <c r="F17" s="49"/>
      <c r="G17" s="49">
        <v>14987854</v>
      </c>
      <c r="H17" s="49">
        <v>6453357</v>
      </c>
      <c r="I17" s="49">
        <v>5763081</v>
      </c>
      <c r="J17" s="49">
        <v>93</v>
      </c>
      <c r="K17" s="49">
        <v>1301096</v>
      </c>
      <c r="L17" s="50"/>
      <c r="M17" s="8">
        <f t="shared" si="0"/>
        <v>27204292</v>
      </c>
      <c r="N17" s="8">
        <f t="shared" si="1"/>
        <v>81033429</v>
      </c>
      <c r="O17" s="8">
        <f t="shared" si="2"/>
        <v>376427.53146853147</v>
      </c>
      <c r="P17" s="8">
        <f t="shared" si="3"/>
        <v>292519.26881720428</v>
      </c>
      <c r="Q17" s="21" t="str">
        <f t="shared" si="4"/>
        <v/>
      </c>
    </row>
    <row r="18" spans="1:17" ht="21.75" customHeight="1" x14ac:dyDescent="0.2">
      <c r="A18" s="51">
        <v>46004</v>
      </c>
      <c r="B18" s="52" t="s">
        <v>405</v>
      </c>
      <c r="C18" s="49">
        <v>47733077</v>
      </c>
      <c r="D18" s="49">
        <v>130</v>
      </c>
      <c r="E18" s="49"/>
      <c r="F18" s="49"/>
      <c r="G18" s="49">
        <v>19014662</v>
      </c>
      <c r="H18" s="49">
        <v>7307517</v>
      </c>
      <c r="I18" s="49">
        <v>8850265</v>
      </c>
      <c r="J18" s="49">
        <v>126</v>
      </c>
      <c r="K18" s="49">
        <v>1629726</v>
      </c>
      <c r="L18" s="50"/>
      <c r="M18" s="8">
        <f t="shared" si="0"/>
        <v>35172444</v>
      </c>
      <c r="N18" s="8">
        <f t="shared" si="1"/>
        <v>82905521</v>
      </c>
      <c r="O18" s="8">
        <f t="shared" si="2"/>
        <v>367177.5153846154</v>
      </c>
      <c r="P18" s="8">
        <f t="shared" si="3"/>
        <v>279146.38095238095</v>
      </c>
      <c r="Q18" s="21" t="str">
        <f t="shared" si="4"/>
        <v/>
      </c>
    </row>
    <row r="19" spans="1:17" ht="21.75" customHeight="1" x14ac:dyDescent="0.2">
      <c r="A19" s="51">
        <v>46005</v>
      </c>
      <c r="B19" s="52" t="s">
        <v>406</v>
      </c>
      <c r="C19" s="49">
        <v>41435138</v>
      </c>
      <c r="D19" s="49">
        <v>95</v>
      </c>
      <c r="E19" s="49"/>
      <c r="F19" s="49"/>
      <c r="G19" s="49">
        <v>15588856</v>
      </c>
      <c r="H19" s="49">
        <v>6897997</v>
      </c>
      <c r="I19" s="49">
        <v>4743390</v>
      </c>
      <c r="J19" s="49">
        <v>96</v>
      </c>
      <c r="K19" s="49">
        <v>687585</v>
      </c>
      <c r="L19" s="50"/>
      <c r="M19" s="8">
        <f t="shared" si="0"/>
        <v>27230243</v>
      </c>
      <c r="N19" s="8">
        <f t="shared" si="1"/>
        <v>68665381</v>
      </c>
      <c r="O19" s="8">
        <f t="shared" si="2"/>
        <v>436159.34736842103</v>
      </c>
      <c r="P19" s="8">
        <f t="shared" si="3"/>
        <v>283648.36458333331</v>
      </c>
      <c r="Q19" s="21" t="str">
        <f t="shared" si="4"/>
        <v/>
      </c>
    </row>
    <row r="20" spans="1:17" ht="21.75" customHeight="1" x14ac:dyDescent="0.2">
      <c r="A20" s="47">
        <v>46006</v>
      </c>
      <c r="B20" s="48" t="s">
        <v>400</v>
      </c>
      <c r="C20" s="49">
        <v>41698022</v>
      </c>
      <c r="D20" s="49">
        <v>93</v>
      </c>
      <c r="E20" s="49"/>
      <c r="F20" s="49"/>
      <c r="G20" s="49">
        <v>8565662</v>
      </c>
      <c r="H20" s="49">
        <v>4055518</v>
      </c>
      <c r="I20" s="49">
        <v>3562710</v>
      </c>
      <c r="J20" s="49">
        <v>47</v>
      </c>
      <c r="K20" s="49">
        <v>919066</v>
      </c>
      <c r="L20" s="50"/>
      <c r="M20" s="8">
        <f t="shared" si="0"/>
        <v>16183890</v>
      </c>
      <c r="N20" s="8">
        <f t="shared" si="1"/>
        <v>57881912</v>
      </c>
      <c r="O20" s="8">
        <f t="shared" si="2"/>
        <v>448365.82795698923</v>
      </c>
      <c r="P20" s="8">
        <f t="shared" si="3"/>
        <v>344338.08510638296</v>
      </c>
      <c r="Q20" s="21" t="str">
        <f t="shared" si="4"/>
        <v/>
      </c>
    </row>
    <row r="21" spans="1:17" ht="21.75" customHeight="1" x14ac:dyDescent="0.2">
      <c r="A21" s="47">
        <v>46007</v>
      </c>
      <c r="B21" s="48" t="s">
        <v>401</v>
      </c>
      <c r="C21" s="49">
        <v>52852703</v>
      </c>
      <c r="D21" s="49">
        <v>110</v>
      </c>
      <c r="E21" s="49"/>
      <c r="F21" s="49"/>
      <c r="G21" s="49">
        <v>11127768</v>
      </c>
      <c r="H21" s="49">
        <v>7421026</v>
      </c>
      <c r="I21" s="49">
        <v>3624867</v>
      </c>
      <c r="J21" s="49">
        <v>70</v>
      </c>
      <c r="K21" s="49">
        <v>10362516</v>
      </c>
      <c r="L21" s="50"/>
      <c r="M21" s="8">
        <f t="shared" si="0"/>
        <v>22173661</v>
      </c>
      <c r="N21" s="8">
        <f t="shared" si="1"/>
        <v>75026364</v>
      </c>
      <c r="O21" s="8">
        <f t="shared" si="2"/>
        <v>480479.11818181816</v>
      </c>
      <c r="P21" s="8">
        <f t="shared" si="3"/>
        <v>316766.58571428573</v>
      </c>
      <c r="Q21" s="21" t="str">
        <f t="shared" si="4"/>
        <v/>
      </c>
    </row>
    <row r="22" spans="1:17" ht="21.75" customHeight="1" x14ac:dyDescent="0.2">
      <c r="A22" s="47">
        <v>46008</v>
      </c>
      <c r="B22" s="48" t="s">
        <v>402</v>
      </c>
      <c r="C22" s="49">
        <v>49659065</v>
      </c>
      <c r="D22" s="49">
        <v>115</v>
      </c>
      <c r="E22" s="49"/>
      <c r="F22" s="49"/>
      <c r="G22" s="49">
        <v>12595240</v>
      </c>
      <c r="H22" s="49">
        <v>3931000</v>
      </c>
      <c r="I22" s="49">
        <v>4572643</v>
      </c>
      <c r="J22" s="49">
        <v>70</v>
      </c>
      <c r="K22" s="49">
        <v>3200000</v>
      </c>
      <c r="L22" s="50"/>
      <c r="M22" s="8">
        <f t="shared" si="0"/>
        <v>21098883</v>
      </c>
      <c r="N22" s="8">
        <f t="shared" si="1"/>
        <v>70757948</v>
      </c>
      <c r="O22" s="8">
        <f t="shared" si="2"/>
        <v>431817.95652173914</v>
      </c>
      <c r="P22" s="8">
        <f t="shared" si="3"/>
        <v>301412.61428571428</v>
      </c>
      <c r="Q22" s="21" t="str">
        <f t="shared" si="4"/>
        <v/>
      </c>
    </row>
    <row r="23" spans="1:17" ht="21.75" customHeight="1" x14ac:dyDescent="0.2">
      <c r="A23" s="47">
        <v>46009</v>
      </c>
      <c r="B23" s="48" t="s">
        <v>403</v>
      </c>
      <c r="C23" s="49">
        <v>62449331</v>
      </c>
      <c r="D23" s="49">
        <v>151</v>
      </c>
      <c r="E23" s="49"/>
      <c r="F23" s="49"/>
      <c r="G23" s="49">
        <v>15186983</v>
      </c>
      <c r="H23" s="49">
        <v>7781005</v>
      </c>
      <c r="I23" s="49">
        <v>6529673</v>
      </c>
      <c r="J23" s="49">
        <v>94</v>
      </c>
      <c r="K23" s="49"/>
      <c r="L23" s="50"/>
      <c r="M23" s="8">
        <f t="shared" si="0"/>
        <v>29497661</v>
      </c>
      <c r="N23" s="8">
        <f t="shared" si="1"/>
        <v>91946992</v>
      </c>
      <c r="O23" s="8">
        <f t="shared" si="2"/>
        <v>413571.72847682121</v>
      </c>
      <c r="P23" s="8">
        <f t="shared" si="3"/>
        <v>313804.90425531915</v>
      </c>
      <c r="Q23" s="21" t="str">
        <f t="shared" si="4"/>
        <v/>
      </c>
    </row>
    <row r="24" spans="1:17" ht="21.75" customHeight="1" x14ac:dyDescent="0.2">
      <c r="A24" s="47">
        <v>46010</v>
      </c>
      <c r="B24" s="48" t="s">
        <v>404</v>
      </c>
      <c r="C24" s="49">
        <v>48714273</v>
      </c>
      <c r="D24" s="49">
        <v>111</v>
      </c>
      <c r="E24" s="49"/>
      <c r="F24" s="49"/>
      <c r="G24" s="49">
        <v>14376995</v>
      </c>
      <c r="H24" s="49">
        <v>9782005</v>
      </c>
      <c r="I24" s="49">
        <v>8101719</v>
      </c>
      <c r="J24" s="49">
        <v>97</v>
      </c>
      <c r="K24" s="49">
        <v>2148024</v>
      </c>
      <c r="L24" s="50"/>
      <c r="M24" s="8">
        <f t="shared" si="0"/>
        <v>32260719</v>
      </c>
      <c r="N24" s="8">
        <f t="shared" si="1"/>
        <v>80974992</v>
      </c>
      <c r="O24" s="8">
        <f t="shared" si="2"/>
        <v>438867.32432432432</v>
      </c>
      <c r="P24" s="8">
        <f t="shared" si="3"/>
        <v>332584.73195876286</v>
      </c>
      <c r="Q24" s="21" t="str">
        <f t="shared" si="4"/>
        <v/>
      </c>
    </row>
    <row r="25" spans="1:17" ht="21.75" customHeight="1" x14ac:dyDescent="0.2">
      <c r="A25" s="51">
        <v>46011</v>
      </c>
      <c r="B25" s="52" t="s">
        <v>405</v>
      </c>
      <c r="C25" s="49">
        <v>50795744</v>
      </c>
      <c r="D25" s="49">
        <v>135</v>
      </c>
      <c r="E25" s="49"/>
      <c r="F25" s="49"/>
      <c r="G25" s="49">
        <v>17759999</v>
      </c>
      <c r="H25" s="49">
        <v>7124988</v>
      </c>
      <c r="I25" s="49">
        <v>9636220</v>
      </c>
      <c r="J25" s="49">
        <v>118</v>
      </c>
      <c r="K25" s="49">
        <v>375000</v>
      </c>
      <c r="L25" s="50"/>
      <c r="M25" s="8">
        <f t="shared" si="0"/>
        <v>34521207</v>
      </c>
      <c r="N25" s="8">
        <f t="shared" si="1"/>
        <v>85316951</v>
      </c>
      <c r="O25" s="8">
        <f t="shared" si="2"/>
        <v>376264.77037037036</v>
      </c>
      <c r="P25" s="8">
        <f t="shared" si="3"/>
        <v>292552.60169491527</v>
      </c>
      <c r="Q25" s="21" t="str">
        <f t="shared" si="4"/>
        <v/>
      </c>
    </row>
    <row r="26" spans="1:17" ht="21.75" customHeight="1" x14ac:dyDescent="0.2">
      <c r="A26" s="51">
        <v>46012</v>
      </c>
      <c r="B26" s="52" t="s">
        <v>406</v>
      </c>
      <c r="C26" s="49">
        <v>55920248</v>
      </c>
      <c r="D26" s="49">
        <v>134</v>
      </c>
      <c r="E26" s="49"/>
      <c r="F26" s="49"/>
      <c r="G26" s="49">
        <v>17424989</v>
      </c>
      <c r="H26" s="49">
        <v>7755989</v>
      </c>
      <c r="I26" s="49">
        <v>7071219</v>
      </c>
      <c r="J26" s="49">
        <v>97</v>
      </c>
      <c r="K26" s="49">
        <v>518518</v>
      </c>
      <c r="L26" s="50"/>
      <c r="M26" s="8">
        <f t="shared" si="0"/>
        <v>32252197</v>
      </c>
      <c r="N26" s="8">
        <f t="shared" si="1"/>
        <v>88172445</v>
      </c>
      <c r="O26" s="8">
        <f t="shared" si="2"/>
        <v>417315.28358208953</v>
      </c>
      <c r="P26" s="8">
        <f t="shared" si="3"/>
        <v>332496.87628865981</v>
      </c>
      <c r="Q26" s="21" t="str">
        <f t="shared" si="4"/>
        <v/>
      </c>
    </row>
    <row r="27" spans="1:17" ht="21.75" customHeight="1" x14ac:dyDescent="0.2">
      <c r="A27" s="47">
        <v>46013</v>
      </c>
      <c r="B27" s="48" t="s">
        <v>400</v>
      </c>
      <c r="C27" s="49">
        <v>46980276</v>
      </c>
      <c r="D27" s="49">
        <v>106</v>
      </c>
      <c r="E27" s="49"/>
      <c r="F27" s="49"/>
      <c r="G27" s="49">
        <v>6457997</v>
      </c>
      <c r="H27" s="49">
        <v>2384448</v>
      </c>
      <c r="I27" s="49">
        <v>1667650</v>
      </c>
      <c r="J27" s="49">
        <v>42</v>
      </c>
      <c r="K27" s="49">
        <v>1235400</v>
      </c>
      <c r="L27" s="50"/>
      <c r="M27" s="8">
        <f t="shared" si="0"/>
        <v>10510095</v>
      </c>
      <c r="N27" s="8">
        <f t="shared" si="1"/>
        <v>57490371</v>
      </c>
      <c r="O27" s="8">
        <f t="shared" si="2"/>
        <v>443210.15094339621</v>
      </c>
      <c r="P27" s="8">
        <f t="shared" si="3"/>
        <v>250240.35714285713</v>
      </c>
      <c r="Q27" s="21" t="str">
        <f t="shared" si="4"/>
        <v/>
      </c>
    </row>
    <row r="28" spans="1:17" ht="21.75" customHeight="1" x14ac:dyDescent="0.2">
      <c r="A28" s="47">
        <v>46014</v>
      </c>
      <c r="B28" s="48" t="s">
        <v>401</v>
      </c>
      <c r="C28" s="49">
        <v>51451657</v>
      </c>
      <c r="D28" s="49">
        <v>111</v>
      </c>
      <c r="E28" s="49"/>
      <c r="F28" s="49"/>
      <c r="G28" s="49">
        <v>15652224</v>
      </c>
      <c r="H28" s="49">
        <v>6664999</v>
      </c>
      <c r="I28" s="49">
        <v>6391994</v>
      </c>
      <c r="J28" s="49">
        <v>85</v>
      </c>
      <c r="K28" s="49">
        <v>3218763</v>
      </c>
      <c r="L28" s="50"/>
      <c r="M28" s="8">
        <f t="shared" si="0"/>
        <v>28709217</v>
      </c>
      <c r="N28" s="8">
        <f t="shared" si="1"/>
        <v>80160874</v>
      </c>
      <c r="O28" s="8">
        <f t="shared" si="2"/>
        <v>463528.44144144142</v>
      </c>
      <c r="P28" s="8">
        <f t="shared" si="3"/>
        <v>337755.49411764706</v>
      </c>
      <c r="Q28" s="21" t="str">
        <f t="shared" si="4"/>
        <v/>
      </c>
    </row>
    <row r="29" spans="1:17" ht="21.75" customHeight="1" x14ac:dyDescent="0.2">
      <c r="A29" s="47">
        <v>46015</v>
      </c>
      <c r="B29" s="48" t="s">
        <v>402</v>
      </c>
      <c r="C29" s="49">
        <v>53098053</v>
      </c>
      <c r="D29" s="49">
        <v>112</v>
      </c>
      <c r="E29" s="49"/>
      <c r="F29" s="49"/>
      <c r="G29" s="49">
        <v>9858995</v>
      </c>
      <c r="H29" s="49">
        <v>8762998</v>
      </c>
      <c r="I29" s="49">
        <v>5304037</v>
      </c>
      <c r="J29" s="49">
        <v>89</v>
      </c>
      <c r="K29" s="49">
        <v>753600</v>
      </c>
      <c r="L29" s="50"/>
      <c r="M29" s="8">
        <f t="shared" si="0"/>
        <v>23926030</v>
      </c>
      <c r="N29" s="8">
        <f t="shared" si="1"/>
        <v>77024083</v>
      </c>
      <c r="O29" s="8">
        <f t="shared" si="2"/>
        <v>474089.75892857142</v>
      </c>
      <c r="P29" s="8">
        <f t="shared" si="3"/>
        <v>268831.79775280901</v>
      </c>
      <c r="Q29" s="21" t="str">
        <f t="shared" si="4"/>
        <v/>
      </c>
    </row>
    <row r="30" spans="1:17" ht="21.75" customHeight="1" x14ac:dyDescent="0.2">
      <c r="A30" s="47">
        <v>46016</v>
      </c>
      <c r="B30" s="48" t="s">
        <v>403</v>
      </c>
      <c r="C30" s="49">
        <v>61644741</v>
      </c>
      <c r="D30" s="49">
        <v>137</v>
      </c>
      <c r="E30" s="49"/>
      <c r="F30" s="49"/>
      <c r="G30" s="49">
        <v>15208062</v>
      </c>
      <c r="H30" s="49">
        <v>6618000</v>
      </c>
      <c r="I30" s="49">
        <v>6348998</v>
      </c>
      <c r="J30" s="49">
        <v>82</v>
      </c>
      <c r="K30" s="49">
        <v>518518</v>
      </c>
      <c r="L30" s="50"/>
      <c r="M30" s="8">
        <f t="shared" si="0"/>
        <v>28175060</v>
      </c>
      <c r="N30" s="8">
        <f t="shared" si="1"/>
        <v>89819801</v>
      </c>
      <c r="O30" s="8">
        <f t="shared" si="2"/>
        <v>449961.61313868611</v>
      </c>
      <c r="P30" s="8">
        <f t="shared" si="3"/>
        <v>343598.29268292681</v>
      </c>
      <c r="Q30" s="21" t="str">
        <f t="shared" si="4"/>
        <v/>
      </c>
    </row>
    <row r="31" spans="1:17" ht="21.75" customHeight="1" x14ac:dyDescent="0.2">
      <c r="A31" s="47">
        <v>46017</v>
      </c>
      <c r="B31" s="48" t="s">
        <v>404</v>
      </c>
      <c r="C31" s="49">
        <v>61877513</v>
      </c>
      <c r="D31" s="49">
        <v>143</v>
      </c>
      <c r="E31" s="49"/>
      <c r="F31" s="49"/>
      <c r="G31" s="49">
        <v>20741501</v>
      </c>
      <c r="H31" s="49">
        <v>11478834</v>
      </c>
      <c r="I31" s="49">
        <v>11817995</v>
      </c>
      <c r="J31" s="49">
        <v>146</v>
      </c>
      <c r="K31" s="49">
        <v>2708888</v>
      </c>
      <c r="L31" s="50"/>
      <c r="M31" s="8">
        <f t="shared" si="0"/>
        <v>44038330</v>
      </c>
      <c r="N31" s="8">
        <f t="shared" si="1"/>
        <v>105915843</v>
      </c>
      <c r="O31" s="8">
        <f t="shared" si="2"/>
        <v>432709.88111888111</v>
      </c>
      <c r="P31" s="8">
        <f t="shared" si="3"/>
        <v>301632.39726027398</v>
      </c>
      <c r="Q31" s="21" t="str">
        <f t="shared" si="4"/>
        <v/>
      </c>
    </row>
    <row r="32" spans="1:17" ht="21.75" customHeight="1" x14ac:dyDescent="0.2">
      <c r="A32" s="51">
        <v>46018</v>
      </c>
      <c r="B32" s="52" t="s">
        <v>405</v>
      </c>
      <c r="C32" s="49">
        <v>48321039</v>
      </c>
      <c r="D32" s="49">
        <v>116</v>
      </c>
      <c r="E32" s="49"/>
      <c r="F32" s="49"/>
      <c r="G32" s="49">
        <v>16132991</v>
      </c>
      <c r="H32" s="49">
        <v>7724502</v>
      </c>
      <c r="I32" s="49">
        <v>9496996</v>
      </c>
      <c r="J32" s="49">
        <v>110</v>
      </c>
      <c r="K32" s="49">
        <v>1486281</v>
      </c>
      <c r="L32" s="50"/>
      <c r="M32" s="8">
        <f t="shared" si="0"/>
        <v>33354489</v>
      </c>
      <c r="N32" s="8">
        <f t="shared" si="1"/>
        <v>81675528</v>
      </c>
      <c r="O32" s="8">
        <f t="shared" si="2"/>
        <v>416560.68103448278</v>
      </c>
      <c r="P32" s="8">
        <f t="shared" si="3"/>
        <v>303222.62727272726</v>
      </c>
      <c r="Q32" s="21" t="str">
        <f t="shared" si="4"/>
        <v/>
      </c>
    </row>
    <row r="33" spans="1:17" ht="21.75" customHeight="1" x14ac:dyDescent="0.2">
      <c r="A33" s="51">
        <v>46019</v>
      </c>
      <c r="B33" s="52" t="s">
        <v>406</v>
      </c>
      <c r="C33" s="49">
        <v>30080503</v>
      </c>
      <c r="D33" s="49">
        <v>71</v>
      </c>
      <c r="E33" s="49"/>
      <c r="F33" s="49"/>
      <c r="G33" s="49">
        <v>17184990</v>
      </c>
      <c r="H33" s="49">
        <v>8477983</v>
      </c>
      <c r="I33" s="49">
        <v>4265997</v>
      </c>
      <c r="J33" s="49">
        <v>91</v>
      </c>
      <c r="K33" s="49">
        <v>259259</v>
      </c>
      <c r="L33" s="50"/>
      <c r="M33" s="8">
        <f t="shared" si="0"/>
        <v>29928970</v>
      </c>
      <c r="N33" s="8">
        <f t="shared" si="1"/>
        <v>60009473</v>
      </c>
      <c r="O33" s="8">
        <f t="shared" si="2"/>
        <v>423669.05633802817</v>
      </c>
      <c r="P33" s="8">
        <f t="shared" si="3"/>
        <v>328889.78021978022</v>
      </c>
      <c r="Q33" s="21" t="str">
        <f t="shared" si="4"/>
        <v/>
      </c>
    </row>
    <row r="34" spans="1:17" ht="21.75" customHeight="1" x14ac:dyDescent="0.2">
      <c r="A34" s="47">
        <v>46020</v>
      </c>
      <c r="B34" s="48" t="s">
        <v>400</v>
      </c>
      <c r="C34" s="49">
        <v>57282818</v>
      </c>
      <c r="D34" s="49">
        <v>123</v>
      </c>
      <c r="E34" s="49"/>
      <c r="F34" s="49"/>
      <c r="G34" s="49">
        <v>10157468</v>
      </c>
      <c r="H34" s="49">
        <v>5945498</v>
      </c>
      <c r="I34" s="49">
        <v>4318996</v>
      </c>
      <c r="J34" s="49">
        <v>63</v>
      </c>
      <c r="K34" s="49">
        <v>3897660</v>
      </c>
      <c r="L34" s="50"/>
      <c r="M34" s="8">
        <f t="shared" si="0"/>
        <v>20421962</v>
      </c>
      <c r="N34" s="8">
        <f t="shared" si="1"/>
        <v>77704780</v>
      </c>
      <c r="O34" s="8">
        <f t="shared" si="2"/>
        <v>465713.96747967479</v>
      </c>
      <c r="P34" s="8">
        <f t="shared" si="3"/>
        <v>324158.12698412698</v>
      </c>
      <c r="Q34" s="21" t="str">
        <f t="shared" si="4"/>
        <v/>
      </c>
    </row>
    <row r="35" spans="1:17" ht="21.75" customHeight="1" x14ac:dyDescent="0.2">
      <c r="A35" s="47">
        <v>46021</v>
      </c>
      <c r="B35" s="48" t="s">
        <v>401</v>
      </c>
      <c r="C35" s="49">
        <v>49456025</v>
      </c>
      <c r="D35" s="49">
        <v>110</v>
      </c>
      <c r="E35" s="49"/>
      <c r="F35" s="49"/>
      <c r="G35" s="49">
        <v>17250994</v>
      </c>
      <c r="H35" s="49">
        <v>7305002</v>
      </c>
      <c r="I35" s="49">
        <v>3205002</v>
      </c>
      <c r="J35" s="49">
        <v>88</v>
      </c>
      <c r="K35" s="49">
        <v>826474</v>
      </c>
      <c r="L35" s="50"/>
      <c r="M35" s="8">
        <f t="shared" si="0"/>
        <v>27760998</v>
      </c>
      <c r="N35" s="8">
        <f t="shared" si="1"/>
        <v>77217023</v>
      </c>
      <c r="O35" s="8">
        <f t="shared" si="2"/>
        <v>449600.22727272729</v>
      </c>
      <c r="P35" s="8">
        <f t="shared" si="3"/>
        <v>315465.88636363635</v>
      </c>
      <c r="Q35" s="21" t="str">
        <f t="shared" si="4"/>
        <v/>
      </c>
    </row>
    <row r="36" spans="1:17" ht="18.75" customHeight="1" x14ac:dyDescent="0.2">
      <c r="A36" s="115">
        <v>46022</v>
      </c>
      <c r="B36" t="s">
        <v>402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2845717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410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46023</v>
      </c>
      <c r="B6" s="48" t="s">
        <v>403</v>
      </c>
      <c r="C6" s="49">
        <v>25001742</v>
      </c>
      <c r="D6" s="49">
        <v>56</v>
      </c>
      <c r="E6" s="49"/>
      <c r="F6" s="49"/>
      <c r="G6" s="49">
        <v>10564994</v>
      </c>
      <c r="H6" s="49">
        <v>5039000</v>
      </c>
      <c r="I6" s="49"/>
      <c r="J6" s="49">
        <v>52</v>
      </c>
      <c r="K6" s="49">
        <v>1828800</v>
      </c>
      <c r="L6" s="50"/>
      <c r="M6" s="8">
        <f t="shared" ref="M6:M36" si="0">IF(SUM(G6:I6)&gt;0,SUM(G6:I6),"")</f>
        <v>15603994</v>
      </c>
      <c r="N6" s="8">
        <f t="shared" ref="N6:N36" si="1">IF(N(C6)+N(M6)&gt;0,N(C6)+N(M6),"")</f>
        <v>40605736</v>
      </c>
      <c r="O6" s="8">
        <f t="shared" ref="O6:O36" si="2">IFERROR(IF(D6&gt;0,C6/D6,""),"")</f>
        <v>446459.67857142858</v>
      </c>
      <c r="P6" s="8">
        <f t="shared" ref="P6:P36" si="3">IFERROR(IF(J6&gt;0,M6/J6,""),"")</f>
        <v>300076.80769230769</v>
      </c>
      <c r="Q6" s="21" t="str">
        <f t="shared" ref="Q6:Q36" si="4">IFERROR(IF(E6&gt;0,D6/E6,""),"")</f>
        <v/>
      </c>
    </row>
    <row r="7" spans="1:17" ht="21.75" customHeight="1" x14ac:dyDescent="0.2">
      <c r="A7" s="47">
        <v>46024</v>
      </c>
      <c r="B7" s="48" t="s">
        <v>404</v>
      </c>
      <c r="C7" s="49">
        <v>50184036</v>
      </c>
      <c r="D7" s="49">
        <v>114</v>
      </c>
      <c r="E7" s="49"/>
      <c r="F7" s="49"/>
      <c r="G7" s="49">
        <v>15593002</v>
      </c>
      <c r="H7" s="49">
        <v>3400001</v>
      </c>
      <c r="I7" s="49">
        <v>3953000</v>
      </c>
      <c r="J7" s="49">
        <v>67</v>
      </c>
      <c r="K7" s="49">
        <v>1858777</v>
      </c>
      <c r="L7" s="50"/>
      <c r="M7" s="8">
        <f t="shared" si="0"/>
        <v>22946003</v>
      </c>
      <c r="N7" s="8">
        <f t="shared" si="1"/>
        <v>73130039</v>
      </c>
      <c r="O7" s="8">
        <f t="shared" si="2"/>
        <v>440210.84210526315</v>
      </c>
      <c r="P7" s="8">
        <f t="shared" si="3"/>
        <v>342477.65671641793</v>
      </c>
      <c r="Q7" s="21" t="str">
        <f t="shared" si="4"/>
        <v/>
      </c>
    </row>
    <row r="8" spans="1:17" ht="21.75" customHeight="1" x14ac:dyDescent="0.2">
      <c r="A8" s="47">
        <v>46025</v>
      </c>
      <c r="B8" s="48" t="s">
        <v>405</v>
      </c>
      <c r="C8" s="49">
        <v>47734539</v>
      </c>
      <c r="D8" s="49">
        <v>99</v>
      </c>
      <c r="E8" s="49"/>
      <c r="F8" s="49"/>
      <c r="G8" s="49">
        <v>19596996</v>
      </c>
      <c r="H8" s="49">
        <v>7069997</v>
      </c>
      <c r="I8" s="49">
        <v>6322501</v>
      </c>
      <c r="J8" s="49">
        <v>104</v>
      </c>
      <c r="K8" s="49">
        <v>1448044</v>
      </c>
      <c r="L8" s="50"/>
      <c r="M8" s="8">
        <f t="shared" si="0"/>
        <v>32989494</v>
      </c>
      <c r="N8" s="8">
        <f t="shared" si="1"/>
        <v>80724033</v>
      </c>
      <c r="O8" s="8">
        <f t="shared" si="2"/>
        <v>482167.06060606061</v>
      </c>
      <c r="P8" s="8">
        <f t="shared" si="3"/>
        <v>317206.67307692306</v>
      </c>
      <c r="Q8" s="21" t="str">
        <f t="shared" si="4"/>
        <v/>
      </c>
    </row>
    <row r="9" spans="1:17" ht="21.75" customHeight="1" x14ac:dyDescent="0.2">
      <c r="A9" s="47">
        <v>46026</v>
      </c>
      <c r="B9" s="48" t="s">
        <v>406</v>
      </c>
      <c r="C9" s="49">
        <v>34958008</v>
      </c>
      <c r="D9" s="49">
        <v>86</v>
      </c>
      <c r="E9" s="49"/>
      <c r="F9" s="49"/>
      <c r="G9" s="49">
        <v>16407993</v>
      </c>
      <c r="H9" s="49">
        <v>6483002</v>
      </c>
      <c r="I9" s="49">
        <v>5469504</v>
      </c>
      <c r="J9" s="49">
        <v>81</v>
      </c>
      <c r="K9" s="49"/>
      <c r="L9" s="50"/>
      <c r="M9" s="8">
        <f t="shared" si="0"/>
        <v>28360499</v>
      </c>
      <c r="N9" s="8">
        <f t="shared" si="1"/>
        <v>63318507</v>
      </c>
      <c r="O9" s="8">
        <f t="shared" si="2"/>
        <v>406488.46511627908</v>
      </c>
      <c r="P9" s="8">
        <f t="shared" si="3"/>
        <v>350129.61728395062</v>
      </c>
      <c r="Q9" s="21" t="str">
        <f t="shared" si="4"/>
        <v/>
      </c>
    </row>
    <row r="10" spans="1:17" ht="21.75" customHeight="1" x14ac:dyDescent="0.2">
      <c r="A10" s="47">
        <v>46027</v>
      </c>
      <c r="B10" s="48" t="s">
        <v>400</v>
      </c>
      <c r="C10" s="49">
        <v>54065334</v>
      </c>
      <c r="D10" s="49">
        <v>95</v>
      </c>
      <c r="E10" s="49"/>
      <c r="F10" s="49"/>
      <c r="G10" s="49">
        <v>11335501</v>
      </c>
      <c r="H10" s="49">
        <v>1326000</v>
      </c>
      <c r="I10" s="49">
        <v>3826014</v>
      </c>
      <c r="J10" s="49">
        <v>54</v>
      </c>
      <c r="K10" s="49">
        <v>8653394</v>
      </c>
      <c r="L10" s="50"/>
      <c r="M10" s="8">
        <f t="shared" si="0"/>
        <v>16487515</v>
      </c>
      <c r="N10" s="8">
        <f t="shared" si="1"/>
        <v>70552849</v>
      </c>
      <c r="O10" s="8">
        <f t="shared" si="2"/>
        <v>569108.77894736838</v>
      </c>
      <c r="P10" s="8">
        <f t="shared" si="3"/>
        <v>305324.35185185185</v>
      </c>
      <c r="Q10" s="21" t="str">
        <f t="shared" si="4"/>
        <v/>
      </c>
    </row>
    <row r="11" spans="1:17" ht="21.75" customHeight="1" x14ac:dyDescent="0.2">
      <c r="A11" s="51">
        <v>46028</v>
      </c>
      <c r="B11" s="52" t="s">
        <v>401</v>
      </c>
      <c r="C11" s="49">
        <v>52726296</v>
      </c>
      <c r="D11" s="49">
        <v>129</v>
      </c>
      <c r="E11" s="49"/>
      <c r="F11" s="49"/>
      <c r="G11" s="49">
        <v>4490007</v>
      </c>
      <c r="H11" s="49">
        <v>4503001</v>
      </c>
      <c r="I11" s="49">
        <v>4728001</v>
      </c>
      <c r="J11" s="49">
        <v>46</v>
      </c>
      <c r="K11" s="49"/>
      <c r="L11" s="50"/>
      <c r="M11" s="8">
        <f t="shared" si="0"/>
        <v>13721009</v>
      </c>
      <c r="N11" s="8">
        <f t="shared" si="1"/>
        <v>66447305</v>
      </c>
      <c r="O11" s="8">
        <f t="shared" si="2"/>
        <v>408730.97674418607</v>
      </c>
      <c r="P11" s="8">
        <f t="shared" si="3"/>
        <v>298282.80434782611</v>
      </c>
      <c r="Q11" s="21" t="str">
        <f t="shared" si="4"/>
        <v/>
      </c>
    </row>
    <row r="12" spans="1:17" ht="21.75" customHeight="1" x14ac:dyDescent="0.2">
      <c r="A12" s="51">
        <v>46029</v>
      </c>
      <c r="B12" s="52" t="s">
        <v>402</v>
      </c>
      <c r="C12" s="49">
        <v>75409220</v>
      </c>
      <c r="D12" s="49">
        <v>139</v>
      </c>
      <c r="E12" s="49"/>
      <c r="F12" s="49"/>
      <c r="G12" s="49">
        <v>13687498</v>
      </c>
      <c r="H12" s="49">
        <v>6330998</v>
      </c>
      <c r="I12" s="49">
        <v>6358013</v>
      </c>
      <c r="J12" s="49">
        <v>86</v>
      </c>
      <c r="K12" s="49">
        <v>2576118</v>
      </c>
      <c r="L12" s="50"/>
      <c r="M12" s="8">
        <f t="shared" si="0"/>
        <v>26376509</v>
      </c>
      <c r="N12" s="8">
        <f t="shared" si="1"/>
        <v>101785729</v>
      </c>
      <c r="O12" s="8">
        <f t="shared" si="2"/>
        <v>542512.37410071946</v>
      </c>
      <c r="P12" s="8">
        <f t="shared" si="3"/>
        <v>306703.59302325582</v>
      </c>
      <c r="Q12" s="21" t="str">
        <f t="shared" si="4"/>
        <v/>
      </c>
    </row>
    <row r="13" spans="1:17" ht="21.75" customHeight="1" x14ac:dyDescent="0.2">
      <c r="A13" s="47">
        <v>46030</v>
      </c>
      <c r="B13" s="48" t="s">
        <v>403</v>
      </c>
      <c r="C13" s="49">
        <v>49039315</v>
      </c>
      <c r="D13" s="49">
        <v>110</v>
      </c>
      <c r="E13" s="49"/>
      <c r="F13" s="49"/>
      <c r="G13" s="49">
        <v>17827537</v>
      </c>
      <c r="H13" s="49">
        <v>4471999</v>
      </c>
      <c r="I13" s="49">
        <v>5427006</v>
      </c>
      <c r="J13" s="49">
        <v>78</v>
      </c>
      <c r="K13" s="49">
        <v>2108800</v>
      </c>
      <c r="L13" s="50"/>
      <c r="M13" s="8">
        <f t="shared" si="0"/>
        <v>27726542</v>
      </c>
      <c r="N13" s="8">
        <f t="shared" si="1"/>
        <v>76765857</v>
      </c>
      <c r="O13" s="8">
        <f t="shared" si="2"/>
        <v>445811.95454545453</v>
      </c>
      <c r="P13" s="8">
        <f t="shared" si="3"/>
        <v>355468.48717948719</v>
      </c>
      <c r="Q13" s="21" t="str">
        <f t="shared" si="4"/>
        <v/>
      </c>
    </row>
    <row r="14" spans="1:17" ht="21.75" customHeight="1" x14ac:dyDescent="0.2">
      <c r="A14" s="47">
        <v>46031</v>
      </c>
      <c r="B14" s="48" t="s">
        <v>404</v>
      </c>
      <c r="C14" s="49">
        <v>45292794</v>
      </c>
      <c r="D14" s="49">
        <v>102</v>
      </c>
      <c r="E14" s="49"/>
      <c r="F14" s="49"/>
      <c r="G14" s="49">
        <v>9798504</v>
      </c>
      <c r="H14" s="49">
        <v>7388998</v>
      </c>
      <c r="I14" s="49">
        <v>9328997</v>
      </c>
      <c r="J14" s="49">
        <v>84</v>
      </c>
      <c r="K14" s="49"/>
      <c r="L14" s="50"/>
      <c r="M14" s="8">
        <f t="shared" si="0"/>
        <v>26516499</v>
      </c>
      <c r="N14" s="8">
        <f t="shared" si="1"/>
        <v>71809293</v>
      </c>
      <c r="O14" s="8">
        <f t="shared" si="2"/>
        <v>444047</v>
      </c>
      <c r="P14" s="8">
        <f t="shared" si="3"/>
        <v>315672.60714285716</v>
      </c>
      <c r="Q14" s="21" t="str">
        <f t="shared" si="4"/>
        <v/>
      </c>
    </row>
    <row r="15" spans="1:17" ht="21.75" customHeight="1" x14ac:dyDescent="0.2">
      <c r="A15" s="47">
        <v>46032</v>
      </c>
      <c r="B15" s="48" t="s">
        <v>405</v>
      </c>
      <c r="C15" s="49">
        <v>54739558</v>
      </c>
      <c r="D15" s="49">
        <v>117</v>
      </c>
      <c r="E15" s="49"/>
      <c r="F15" s="49"/>
      <c r="G15" s="49">
        <v>16620492</v>
      </c>
      <c r="H15" s="49">
        <v>4627999</v>
      </c>
      <c r="I15" s="49">
        <v>7272623</v>
      </c>
      <c r="J15" s="49">
        <v>115</v>
      </c>
      <c r="K15" s="49">
        <v>1782400</v>
      </c>
      <c r="L15" s="50"/>
      <c r="M15" s="8">
        <f t="shared" si="0"/>
        <v>28521114</v>
      </c>
      <c r="N15" s="8">
        <f t="shared" si="1"/>
        <v>83260672</v>
      </c>
      <c r="O15" s="8">
        <f t="shared" si="2"/>
        <v>467859.47008547006</v>
      </c>
      <c r="P15" s="8">
        <f t="shared" si="3"/>
        <v>248009.68695652173</v>
      </c>
      <c r="Q15" s="21" t="str">
        <f t="shared" si="4"/>
        <v/>
      </c>
    </row>
    <row r="16" spans="1:17" ht="21.75" customHeight="1" x14ac:dyDescent="0.2">
      <c r="A16" s="47">
        <v>46033</v>
      </c>
      <c r="B16" s="48" t="s">
        <v>406</v>
      </c>
      <c r="C16" s="49">
        <v>60573074</v>
      </c>
      <c r="D16" s="49">
        <v>146</v>
      </c>
      <c r="E16" s="49"/>
      <c r="F16" s="49"/>
      <c r="G16" s="49">
        <v>19239069</v>
      </c>
      <c r="H16" s="49">
        <v>8141001</v>
      </c>
      <c r="I16" s="49">
        <v>5033998</v>
      </c>
      <c r="J16" s="49">
        <v>98</v>
      </c>
      <c r="K16" s="49">
        <v>1142400</v>
      </c>
      <c r="L16" s="50"/>
      <c r="M16" s="8">
        <f t="shared" si="0"/>
        <v>32414068</v>
      </c>
      <c r="N16" s="8">
        <f t="shared" si="1"/>
        <v>92987142</v>
      </c>
      <c r="O16" s="8">
        <f t="shared" si="2"/>
        <v>414884.0684931507</v>
      </c>
      <c r="P16" s="8">
        <f t="shared" si="3"/>
        <v>330755.79591836734</v>
      </c>
      <c r="Q16" s="21" t="str">
        <f t="shared" si="4"/>
        <v/>
      </c>
    </row>
    <row r="17" spans="1:17" ht="21.75" customHeight="1" x14ac:dyDescent="0.2">
      <c r="A17" s="47">
        <v>46034</v>
      </c>
      <c r="B17" s="48" t="s">
        <v>400</v>
      </c>
      <c r="C17" s="49">
        <v>48543821</v>
      </c>
      <c r="D17" s="49">
        <v>109</v>
      </c>
      <c r="E17" s="49"/>
      <c r="F17" s="49"/>
      <c r="G17" s="49">
        <v>17595993</v>
      </c>
      <c r="H17" s="49">
        <v>5776497</v>
      </c>
      <c r="I17" s="49">
        <v>4447999</v>
      </c>
      <c r="J17" s="49">
        <v>78</v>
      </c>
      <c r="K17" s="49">
        <v>4232770</v>
      </c>
      <c r="L17" s="50"/>
      <c r="M17" s="8">
        <f t="shared" si="0"/>
        <v>27820489</v>
      </c>
      <c r="N17" s="8">
        <f t="shared" si="1"/>
        <v>76364310</v>
      </c>
      <c r="O17" s="8">
        <f t="shared" si="2"/>
        <v>445356.15596330276</v>
      </c>
      <c r="P17" s="8">
        <f t="shared" si="3"/>
        <v>356672.93589743588</v>
      </c>
      <c r="Q17" s="21" t="str">
        <f t="shared" si="4"/>
        <v/>
      </c>
    </row>
    <row r="18" spans="1:17" ht="21.75" customHeight="1" x14ac:dyDescent="0.2">
      <c r="A18" s="51">
        <v>46035</v>
      </c>
      <c r="B18" s="52" t="s">
        <v>401</v>
      </c>
      <c r="C18" s="49">
        <v>47964470</v>
      </c>
      <c r="D18" s="49">
        <v>108</v>
      </c>
      <c r="E18" s="49"/>
      <c r="F18" s="49"/>
      <c r="G18" s="49">
        <v>17710487</v>
      </c>
      <c r="H18" s="49">
        <v>5746503</v>
      </c>
      <c r="I18" s="49">
        <v>4661001</v>
      </c>
      <c r="J18" s="49">
        <v>77</v>
      </c>
      <c r="K18" s="49">
        <v>1715200</v>
      </c>
      <c r="L18" s="50"/>
      <c r="M18" s="8">
        <f t="shared" si="0"/>
        <v>28117991</v>
      </c>
      <c r="N18" s="8">
        <f t="shared" si="1"/>
        <v>76082461</v>
      </c>
      <c r="O18" s="8">
        <f t="shared" si="2"/>
        <v>444115.46296296298</v>
      </c>
      <c r="P18" s="8">
        <f t="shared" si="3"/>
        <v>365168.71428571426</v>
      </c>
      <c r="Q18" s="21" t="str">
        <f t="shared" si="4"/>
        <v/>
      </c>
    </row>
    <row r="19" spans="1:17" ht="21.75" customHeight="1" x14ac:dyDescent="0.2">
      <c r="A19" s="51">
        <v>46036</v>
      </c>
      <c r="B19" s="52" t="s">
        <v>402</v>
      </c>
      <c r="C19" s="49">
        <v>49314490</v>
      </c>
      <c r="D19" s="49">
        <v>111</v>
      </c>
      <c r="E19" s="49"/>
      <c r="F19" s="49"/>
      <c r="G19" s="49">
        <v>15481501</v>
      </c>
      <c r="H19" s="49">
        <v>2766497</v>
      </c>
      <c r="I19" s="49">
        <v>4550999</v>
      </c>
      <c r="J19" s="49">
        <v>81</v>
      </c>
      <c r="K19" s="49">
        <v>3154972</v>
      </c>
      <c r="L19" s="50"/>
      <c r="M19" s="8">
        <f t="shared" si="0"/>
        <v>22798997</v>
      </c>
      <c r="N19" s="8">
        <f t="shared" si="1"/>
        <v>72113487</v>
      </c>
      <c r="O19" s="8">
        <f t="shared" si="2"/>
        <v>444274.68468468467</v>
      </c>
      <c r="P19" s="8">
        <f t="shared" si="3"/>
        <v>281469.09876543208</v>
      </c>
      <c r="Q19" s="21" t="str">
        <f t="shared" si="4"/>
        <v/>
      </c>
    </row>
    <row r="20" spans="1:17" ht="21.75" customHeight="1" x14ac:dyDescent="0.2">
      <c r="A20" s="47">
        <v>46037</v>
      </c>
      <c r="B20" s="48" t="s">
        <v>403</v>
      </c>
      <c r="C20" s="49">
        <v>77788100</v>
      </c>
      <c r="D20" s="49">
        <v>168</v>
      </c>
      <c r="E20" s="49"/>
      <c r="F20" s="49"/>
      <c r="G20" s="49">
        <v>20064490</v>
      </c>
      <c r="H20" s="49">
        <v>7455996</v>
      </c>
      <c r="I20" s="49">
        <v>10940996</v>
      </c>
      <c r="J20" s="49">
        <v>128</v>
      </c>
      <c r="K20" s="49">
        <v>1233600</v>
      </c>
      <c r="L20" s="50"/>
      <c r="M20" s="8">
        <f t="shared" si="0"/>
        <v>38461482</v>
      </c>
      <c r="N20" s="8">
        <f t="shared" si="1"/>
        <v>116249582</v>
      </c>
      <c r="O20" s="8">
        <f t="shared" si="2"/>
        <v>463024.40476190473</v>
      </c>
      <c r="P20" s="8">
        <f t="shared" si="3"/>
        <v>300480.328125</v>
      </c>
      <c r="Q20" s="21" t="str">
        <f t="shared" si="4"/>
        <v/>
      </c>
    </row>
    <row r="21" spans="1:17" ht="21.75" customHeight="1" x14ac:dyDescent="0.2">
      <c r="A21" s="47">
        <v>46038</v>
      </c>
      <c r="B21" s="48" t="s">
        <v>404</v>
      </c>
      <c r="C21" s="49">
        <v>66066774</v>
      </c>
      <c r="D21" s="49">
        <v>154</v>
      </c>
      <c r="E21" s="49"/>
      <c r="F21" s="49"/>
      <c r="G21" s="49">
        <v>17309484</v>
      </c>
      <c r="H21" s="49">
        <v>9800498</v>
      </c>
      <c r="I21" s="49">
        <v>8168996</v>
      </c>
      <c r="J21" s="49">
        <v>120</v>
      </c>
      <c r="K21" s="49">
        <v>1028800</v>
      </c>
      <c r="L21" s="50"/>
      <c r="M21" s="8">
        <f t="shared" si="0"/>
        <v>35278978</v>
      </c>
      <c r="N21" s="8">
        <f t="shared" si="1"/>
        <v>101345752</v>
      </c>
      <c r="O21" s="8">
        <f t="shared" si="2"/>
        <v>429005.02597402595</v>
      </c>
      <c r="P21" s="8">
        <f t="shared" si="3"/>
        <v>293991.48333333334</v>
      </c>
      <c r="Q21" s="21" t="str">
        <f t="shared" si="4"/>
        <v/>
      </c>
    </row>
    <row r="22" spans="1:17" ht="21.75" customHeight="1" x14ac:dyDescent="0.2">
      <c r="A22" s="47">
        <v>46039</v>
      </c>
      <c r="B22" s="48" t="s">
        <v>405</v>
      </c>
      <c r="C22" s="49">
        <v>49459538</v>
      </c>
      <c r="D22" s="49">
        <v>124</v>
      </c>
      <c r="E22" s="49"/>
      <c r="F22" s="49"/>
      <c r="G22" s="49">
        <v>19573497</v>
      </c>
      <c r="H22" s="49">
        <v>8697998</v>
      </c>
      <c r="I22" s="49">
        <v>5921493</v>
      </c>
      <c r="J22" s="49">
        <v>113</v>
      </c>
      <c r="K22" s="49">
        <v>400000</v>
      </c>
      <c r="L22" s="50"/>
      <c r="M22" s="8">
        <f t="shared" si="0"/>
        <v>34192988</v>
      </c>
      <c r="N22" s="8">
        <f t="shared" si="1"/>
        <v>83652526</v>
      </c>
      <c r="O22" s="8">
        <f t="shared" si="2"/>
        <v>398867.24193548388</v>
      </c>
      <c r="P22" s="8">
        <f t="shared" si="3"/>
        <v>302592.81415929203</v>
      </c>
      <c r="Q22" s="21" t="str">
        <f t="shared" si="4"/>
        <v/>
      </c>
    </row>
    <row r="23" spans="1:17" ht="21.75" customHeight="1" x14ac:dyDescent="0.2">
      <c r="A23" s="47">
        <v>46040</v>
      </c>
      <c r="B23" s="48" t="s">
        <v>406</v>
      </c>
      <c r="C23" s="49">
        <v>57089954</v>
      </c>
      <c r="D23" s="49">
        <v>112</v>
      </c>
      <c r="E23" s="49"/>
      <c r="F23" s="49"/>
      <c r="G23" s="49">
        <v>17406484</v>
      </c>
      <c r="H23" s="49">
        <v>8202505</v>
      </c>
      <c r="I23" s="49">
        <v>8121003</v>
      </c>
      <c r="J23" s="49">
        <v>113</v>
      </c>
      <c r="K23" s="49"/>
      <c r="L23" s="50"/>
      <c r="M23" s="8">
        <f t="shared" si="0"/>
        <v>33729992</v>
      </c>
      <c r="N23" s="8">
        <f t="shared" si="1"/>
        <v>90819946</v>
      </c>
      <c r="O23" s="8">
        <f t="shared" si="2"/>
        <v>509731.73214285716</v>
      </c>
      <c r="P23" s="8">
        <f t="shared" si="3"/>
        <v>298495.50442477874</v>
      </c>
      <c r="Q23" s="21" t="str">
        <f t="shared" si="4"/>
        <v/>
      </c>
    </row>
    <row r="24" spans="1:17" ht="21.75" customHeight="1" x14ac:dyDescent="0.2">
      <c r="A24" s="47">
        <v>46041</v>
      </c>
      <c r="B24" s="48" t="s">
        <v>400</v>
      </c>
      <c r="C24" s="49">
        <v>52831252</v>
      </c>
      <c r="D24" s="49">
        <v>107</v>
      </c>
      <c r="E24" s="49"/>
      <c r="F24" s="49"/>
      <c r="G24" s="49">
        <v>10261439</v>
      </c>
      <c r="H24" s="49">
        <v>7542495</v>
      </c>
      <c r="I24" s="49">
        <v>4967997</v>
      </c>
      <c r="J24" s="49">
        <v>70</v>
      </c>
      <c r="K24" s="49">
        <v>2774972</v>
      </c>
      <c r="L24" s="50"/>
      <c r="M24" s="8">
        <f t="shared" si="0"/>
        <v>22771931</v>
      </c>
      <c r="N24" s="8">
        <f t="shared" si="1"/>
        <v>75603183</v>
      </c>
      <c r="O24" s="8">
        <f t="shared" si="2"/>
        <v>493750.01869158878</v>
      </c>
      <c r="P24" s="8">
        <f t="shared" si="3"/>
        <v>325313.3</v>
      </c>
      <c r="Q24" s="21" t="str">
        <f t="shared" si="4"/>
        <v/>
      </c>
    </row>
    <row r="25" spans="1:17" ht="21.75" customHeight="1" x14ac:dyDescent="0.2">
      <c r="A25" s="51">
        <v>46042</v>
      </c>
      <c r="B25" s="52" t="s">
        <v>401</v>
      </c>
      <c r="C25" s="49">
        <v>61927143</v>
      </c>
      <c r="D25" s="49">
        <v>142</v>
      </c>
      <c r="E25" s="49"/>
      <c r="F25" s="49"/>
      <c r="G25" s="49">
        <v>14840482</v>
      </c>
      <c r="H25" s="49">
        <v>10920971</v>
      </c>
      <c r="I25" s="49">
        <v>5798499</v>
      </c>
      <c r="J25" s="49">
        <v>101</v>
      </c>
      <c r="K25" s="49">
        <v>1491882</v>
      </c>
      <c r="L25" s="50"/>
      <c r="M25" s="8">
        <f t="shared" si="0"/>
        <v>31559952</v>
      </c>
      <c r="N25" s="8">
        <f t="shared" si="1"/>
        <v>93487095</v>
      </c>
      <c r="O25" s="8">
        <f t="shared" si="2"/>
        <v>436106.64084507042</v>
      </c>
      <c r="P25" s="8">
        <f t="shared" si="3"/>
        <v>312474.77227722772</v>
      </c>
      <c r="Q25" s="21" t="str">
        <f t="shared" si="4"/>
        <v/>
      </c>
    </row>
    <row r="26" spans="1:17" ht="21.75" customHeight="1" x14ac:dyDescent="0.2">
      <c r="A26" s="51">
        <v>46043</v>
      </c>
      <c r="B26" s="52" t="s">
        <v>402</v>
      </c>
      <c r="C26" s="49">
        <v>67413416</v>
      </c>
      <c r="D26" s="49">
        <v>139</v>
      </c>
      <c r="E26" s="49"/>
      <c r="F26" s="49"/>
      <c r="G26" s="49">
        <v>18660986</v>
      </c>
      <c r="H26" s="49">
        <v>6880999</v>
      </c>
      <c r="I26" s="49">
        <v>6216994</v>
      </c>
      <c r="J26" s="49">
        <v>91</v>
      </c>
      <c r="K26" s="49">
        <v>4130983</v>
      </c>
      <c r="L26" s="50"/>
      <c r="M26" s="8">
        <f t="shared" si="0"/>
        <v>31758979</v>
      </c>
      <c r="N26" s="8">
        <f t="shared" si="1"/>
        <v>99172395</v>
      </c>
      <c r="O26" s="8">
        <f t="shared" si="2"/>
        <v>484988.60431654676</v>
      </c>
      <c r="P26" s="8">
        <f t="shared" si="3"/>
        <v>348999.76923076925</v>
      </c>
      <c r="Q26" s="21" t="str">
        <f t="shared" si="4"/>
        <v/>
      </c>
    </row>
    <row r="27" spans="1:17" ht="21.75" customHeight="1" x14ac:dyDescent="0.2">
      <c r="A27" s="47">
        <v>46044</v>
      </c>
      <c r="B27" s="48" t="s">
        <v>403</v>
      </c>
      <c r="C27" s="49">
        <v>64832034</v>
      </c>
      <c r="D27" s="49">
        <v>141</v>
      </c>
      <c r="E27" s="49"/>
      <c r="F27" s="49"/>
      <c r="G27" s="49">
        <v>18171988</v>
      </c>
      <c r="H27" s="49">
        <v>4241004</v>
      </c>
      <c r="I27" s="49">
        <v>7159494</v>
      </c>
      <c r="J27" s="49">
        <v>98</v>
      </c>
      <c r="K27" s="49">
        <v>1668571</v>
      </c>
      <c r="L27" s="50"/>
      <c r="M27" s="8">
        <f t="shared" si="0"/>
        <v>29572486</v>
      </c>
      <c r="N27" s="8">
        <f t="shared" si="1"/>
        <v>94404520</v>
      </c>
      <c r="O27" s="8">
        <f t="shared" si="2"/>
        <v>459801.6595744681</v>
      </c>
      <c r="P27" s="8">
        <f t="shared" si="3"/>
        <v>301760.06122448982</v>
      </c>
      <c r="Q27" s="21" t="str">
        <f t="shared" si="4"/>
        <v/>
      </c>
    </row>
    <row r="28" spans="1:17" ht="21.75" customHeight="1" x14ac:dyDescent="0.2">
      <c r="A28" s="47">
        <v>46045</v>
      </c>
      <c r="B28" s="48" t="s">
        <v>404</v>
      </c>
      <c r="C28" s="49">
        <v>68722926</v>
      </c>
      <c r="D28" s="49">
        <v>162</v>
      </c>
      <c r="E28" s="49"/>
      <c r="F28" s="49"/>
      <c r="G28" s="49">
        <v>18332728</v>
      </c>
      <c r="H28" s="49">
        <v>7538997</v>
      </c>
      <c r="I28" s="49">
        <v>11564491</v>
      </c>
      <c r="J28" s="49">
        <v>134</v>
      </c>
      <c r="K28" s="49">
        <v>3822588</v>
      </c>
      <c r="L28" s="50"/>
      <c r="M28" s="8">
        <f t="shared" si="0"/>
        <v>37436216</v>
      </c>
      <c r="N28" s="8">
        <f t="shared" si="1"/>
        <v>106159142</v>
      </c>
      <c r="O28" s="8">
        <f t="shared" si="2"/>
        <v>424215.59259259258</v>
      </c>
      <c r="P28" s="8">
        <f t="shared" si="3"/>
        <v>279374.74626865675</v>
      </c>
      <c r="Q28" s="21" t="str">
        <f t="shared" si="4"/>
        <v/>
      </c>
    </row>
    <row r="29" spans="1:17" ht="21.75" customHeight="1" x14ac:dyDescent="0.2">
      <c r="A29" s="47">
        <v>46046</v>
      </c>
      <c r="B29" s="48" t="s">
        <v>405</v>
      </c>
      <c r="C29" s="49">
        <v>64330956</v>
      </c>
      <c r="D29" s="49">
        <v>155</v>
      </c>
      <c r="E29" s="49"/>
      <c r="F29" s="49"/>
      <c r="G29" s="49">
        <v>22272484</v>
      </c>
      <c r="H29" s="49">
        <v>6737997</v>
      </c>
      <c r="I29" s="49">
        <v>7586495</v>
      </c>
      <c r="J29" s="49">
        <v>129</v>
      </c>
      <c r="K29" s="49">
        <v>125000</v>
      </c>
      <c r="L29" s="50"/>
      <c r="M29" s="8">
        <f t="shared" si="0"/>
        <v>36596976</v>
      </c>
      <c r="N29" s="8">
        <f t="shared" si="1"/>
        <v>100927932</v>
      </c>
      <c r="O29" s="8">
        <f t="shared" si="2"/>
        <v>415038.42580645159</v>
      </c>
      <c r="P29" s="8">
        <f t="shared" si="3"/>
        <v>283697.48837209301</v>
      </c>
      <c r="Q29" s="21" t="str">
        <f t="shared" si="4"/>
        <v/>
      </c>
    </row>
    <row r="30" spans="1:17" ht="21.75" customHeight="1" x14ac:dyDescent="0.2">
      <c r="A30" s="47">
        <v>46047</v>
      </c>
      <c r="B30" s="48" t="s">
        <v>406</v>
      </c>
      <c r="C30" s="49">
        <v>43376593</v>
      </c>
      <c r="D30" s="49">
        <v>118</v>
      </c>
      <c r="E30" s="49"/>
      <c r="F30" s="49"/>
      <c r="G30" s="49">
        <v>19380747</v>
      </c>
      <c r="H30" s="49">
        <v>8615497</v>
      </c>
      <c r="I30" s="49">
        <v>10410488</v>
      </c>
      <c r="J30" s="49">
        <v>126</v>
      </c>
      <c r="K30" s="49"/>
      <c r="L30" s="50"/>
      <c r="M30" s="8">
        <f t="shared" si="0"/>
        <v>38406732</v>
      </c>
      <c r="N30" s="8">
        <f t="shared" si="1"/>
        <v>81783325</v>
      </c>
      <c r="O30" s="8">
        <f t="shared" si="2"/>
        <v>367598.24576271186</v>
      </c>
      <c r="P30" s="8">
        <f t="shared" si="3"/>
        <v>304815.33333333331</v>
      </c>
      <c r="Q30" s="21" t="str">
        <f t="shared" si="4"/>
        <v/>
      </c>
    </row>
    <row r="31" spans="1:17" ht="21.75" customHeight="1" x14ac:dyDescent="0.2">
      <c r="A31" s="47">
        <v>46048</v>
      </c>
      <c r="B31" s="48" t="s">
        <v>400</v>
      </c>
      <c r="C31" s="49">
        <v>49801543</v>
      </c>
      <c r="D31" s="49">
        <v>112</v>
      </c>
      <c r="E31" s="49"/>
      <c r="F31" s="49"/>
      <c r="G31" s="49">
        <v>11327008</v>
      </c>
      <c r="H31" s="49">
        <v>9147002</v>
      </c>
      <c r="I31" s="49">
        <v>4359995</v>
      </c>
      <c r="J31" s="49">
        <v>87</v>
      </c>
      <c r="K31" s="49">
        <v>4982400</v>
      </c>
      <c r="L31" s="50"/>
      <c r="M31" s="8">
        <f t="shared" si="0"/>
        <v>24834005</v>
      </c>
      <c r="N31" s="8">
        <f t="shared" si="1"/>
        <v>74635548</v>
      </c>
      <c r="O31" s="8">
        <f t="shared" si="2"/>
        <v>444656.63392857142</v>
      </c>
      <c r="P31" s="8">
        <f t="shared" si="3"/>
        <v>285448.33333333331</v>
      </c>
      <c r="Q31" s="21" t="str">
        <f t="shared" si="4"/>
        <v/>
      </c>
    </row>
    <row r="32" spans="1:17" ht="21.75" customHeight="1" x14ac:dyDescent="0.2">
      <c r="A32" s="51">
        <v>46049</v>
      </c>
      <c r="B32" s="52" t="s">
        <v>401</v>
      </c>
      <c r="C32" s="49">
        <v>63793471</v>
      </c>
      <c r="D32" s="49">
        <v>138</v>
      </c>
      <c r="E32" s="49"/>
      <c r="F32" s="49"/>
      <c r="G32" s="49">
        <v>13076770</v>
      </c>
      <c r="H32" s="49">
        <v>6579988</v>
      </c>
      <c r="I32" s="49">
        <v>6523994</v>
      </c>
      <c r="J32" s="49">
        <v>84</v>
      </c>
      <c r="K32" s="49">
        <v>6344459</v>
      </c>
      <c r="L32" s="50"/>
      <c r="M32" s="8">
        <f t="shared" si="0"/>
        <v>26180752</v>
      </c>
      <c r="N32" s="8">
        <f t="shared" si="1"/>
        <v>89974223</v>
      </c>
      <c r="O32" s="8">
        <f t="shared" si="2"/>
        <v>462271.52898550726</v>
      </c>
      <c r="P32" s="8">
        <f t="shared" si="3"/>
        <v>311675.61904761905</v>
      </c>
      <c r="Q32" s="21" t="str">
        <f t="shared" si="4"/>
        <v/>
      </c>
    </row>
    <row r="33" spans="1:17" ht="21.75" customHeight="1" x14ac:dyDescent="0.2">
      <c r="A33" s="51">
        <v>46050</v>
      </c>
      <c r="B33" s="52" t="s">
        <v>402</v>
      </c>
      <c r="C33" s="49">
        <v>69321865</v>
      </c>
      <c r="D33" s="49">
        <v>159</v>
      </c>
      <c r="E33" s="49"/>
      <c r="F33" s="49"/>
      <c r="G33" s="49">
        <v>13628994</v>
      </c>
      <c r="H33" s="49">
        <v>5741003</v>
      </c>
      <c r="I33" s="49">
        <v>10440987</v>
      </c>
      <c r="J33" s="49">
        <v>99</v>
      </c>
      <c r="K33" s="49"/>
      <c r="L33" s="50"/>
      <c r="M33" s="8">
        <f t="shared" si="0"/>
        <v>29810984</v>
      </c>
      <c r="N33" s="8">
        <f t="shared" si="1"/>
        <v>99132849</v>
      </c>
      <c r="O33" s="8">
        <f t="shared" si="2"/>
        <v>435986.57232704404</v>
      </c>
      <c r="P33" s="8">
        <f t="shared" si="3"/>
        <v>301121.05050505052</v>
      </c>
      <c r="Q33" s="21" t="str">
        <f t="shared" si="4"/>
        <v/>
      </c>
    </row>
    <row r="34" spans="1:17" ht="21.75" customHeight="1" x14ac:dyDescent="0.2">
      <c r="A34" s="47">
        <v>46051</v>
      </c>
      <c r="B34" s="48" t="s">
        <v>403</v>
      </c>
      <c r="C34" s="49">
        <v>63387099</v>
      </c>
      <c r="D34" s="49">
        <v>159</v>
      </c>
      <c r="E34" s="49"/>
      <c r="F34" s="49"/>
      <c r="G34" s="49">
        <v>12601993</v>
      </c>
      <c r="H34" s="49">
        <v>13656480</v>
      </c>
      <c r="I34" s="49">
        <v>11037495</v>
      </c>
      <c r="J34" s="49">
        <v>122</v>
      </c>
      <c r="K34" s="49">
        <v>753600</v>
      </c>
      <c r="L34" s="50"/>
      <c r="M34" s="8">
        <f t="shared" si="0"/>
        <v>37295968</v>
      </c>
      <c r="N34" s="8">
        <f t="shared" si="1"/>
        <v>100683067</v>
      </c>
      <c r="O34" s="8">
        <f t="shared" si="2"/>
        <v>398661</v>
      </c>
      <c r="P34" s="8">
        <f t="shared" si="3"/>
        <v>305704.65573770495</v>
      </c>
      <c r="Q34" s="21" t="str">
        <f t="shared" si="4"/>
        <v/>
      </c>
    </row>
    <row r="35" spans="1:17" ht="21.75" customHeight="1" x14ac:dyDescent="0.2">
      <c r="A35" s="47">
        <v>46052</v>
      </c>
      <c r="B35" s="48" t="s">
        <v>404</v>
      </c>
      <c r="C35" s="49">
        <v>56388078</v>
      </c>
      <c r="D35" s="49">
        <v>138</v>
      </c>
      <c r="E35" s="49"/>
      <c r="F35" s="49"/>
      <c r="G35" s="49">
        <v>21297237</v>
      </c>
      <c r="H35" s="49">
        <v>9977959</v>
      </c>
      <c r="I35" s="49">
        <v>11522492</v>
      </c>
      <c r="J35" s="49">
        <v>149</v>
      </c>
      <c r="K35" s="49">
        <v>1197183</v>
      </c>
      <c r="L35" s="50"/>
      <c r="M35" s="8">
        <f t="shared" si="0"/>
        <v>42797688</v>
      </c>
      <c r="N35" s="8">
        <f t="shared" si="1"/>
        <v>99185766</v>
      </c>
      <c r="O35" s="8">
        <f t="shared" si="2"/>
        <v>408609.26086956525</v>
      </c>
      <c r="P35" s="8">
        <f t="shared" si="3"/>
        <v>287232.80536912754</v>
      </c>
      <c r="Q35" s="21" t="str">
        <f t="shared" si="4"/>
        <v/>
      </c>
    </row>
    <row r="36" spans="1:17" ht="18.75" customHeight="1" x14ac:dyDescent="0.2">
      <c r="A36" s="115">
        <v>46053</v>
      </c>
      <c r="B36" t="s">
        <v>405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411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46054</v>
      </c>
      <c r="B6" s="48" t="s">
        <v>406</v>
      </c>
      <c r="C6" s="49">
        <v>50108336</v>
      </c>
      <c r="D6" s="49">
        <v>109</v>
      </c>
      <c r="E6" s="49"/>
      <c r="F6" s="49"/>
      <c r="G6" s="49">
        <v>20876975</v>
      </c>
      <c r="H6" s="49">
        <v>13079503</v>
      </c>
      <c r="I6" s="49">
        <v>8193994</v>
      </c>
      <c r="J6" s="49">
        <v>133</v>
      </c>
      <c r="K6" s="49">
        <v>753600</v>
      </c>
      <c r="L6" s="50"/>
      <c r="M6" s="8">
        <f t="shared" ref="M6:M33" si="0">IF(SUM(G6:I6)&gt;0,SUM(G6:I6),"")</f>
        <v>42150472</v>
      </c>
      <c r="N6" s="8">
        <f t="shared" ref="N6:N33" si="1">IF(N(C6)+N(M6)&gt;0,N(C6)+N(M6),"")</f>
        <v>92258808</v>
      </c>
      <c r="O6" s="8">
        <f t="shared" ref="O6:O33" si="2">IFERROR(IF(D6&gt;0,C6/D6,""),"")</f>
        <v>459709.50458715594</v>
      </c>
      <c r="P6" s="8">
        <f t="shared" ref="P6:P33" si="3">IFERROR(IF(J6&gt;0,M6/J6,""),"")</f>
        <v>316920.84210526315</v>
      </c>
      <c r="Q6" s="21" t="str">
        <f t="shared" ref="Q6:Q33" si="4">IFERROR(IF(E6&gt;0,D6/E6,""),"")</f>
        <v/>
      </c>
    </row>
    <row r="7" spans="1:17" ht="21.75" customHeight="1" x14ac:dyDescent="0.2">
      <c r="A7" s="47">
        <v>46055</v>
      </c>
      <c r="B7" s="48" t="s">
        <v>400</v>
      </c>
      <c r="C7" s="49">
        <v>64921114</v>
      </c>
      <c r="D7" s="49">
        <v>151</v>
      </c>
      <c r="E7" s="49"/>
      <c r="F7" s="49"/>
      <c r="G7" s="49">
        <v>24873975</v>
      </c>
      <c r="H7" s="49">
        <v>4371998</v>
      </c>
      <c r="I7" s="49">
        <v>6911248</v>
      </c>
      <c r="J7" s="49">
        <v>113</v>
      </c>
      <c r="K7" s="49">
        <v>6738366</v>
      </c>
      <c r="L7" s="50"/>
      <c r="M7" s="8">
        <f t="shared" si="0"/>
        <v>36157221</v>
      </c>
      <c r="N7" s="8">
        <f t="shared" si="1"/>
        <v>101078335</v>
      </c>
      <c r="O7" s="8">
        <f t="shared" si="2"/>
        <v>429941.15231788077</v>
      </c>
      <c r="P7" s="8">
        <f t="shared" si="3"/>
        <v>319975.40707964601</v>
      </c>
      <c r="Q7" s="21" t="str">
        <f t="shared" si="4"/>
        <v/>
      </c>
    </row>
    <row r="8" spans="1:17" ht="21.75" customHeight="1" x14ac:dyDescent="0.2">
      <c r="A8" s="47">
        <v>46056</v>
      </c>
      <c r="B8" s="48" t="s">
        <v>401</v>
      </c>
      <c r="C8" s="49">
        <v>88558814</v>
      </c>
      <c r="D8" s="49">
        <v>190</v>
      </c>
      <c r="E8" s="49"/>
      <c r="F8" s="49"/>
      <c r="G8" s="49">
        <v>15489719</v>
      </c>
      <c r="H8" s="49">
        <v>9887746</v>
      </c>
      <c r="I8" s="49">
        <v>9854394</v>
      </c>
      <c r="J8" s="49">
        <v>108</v>
      </c>
      <c r="K8" s="49">
        <v>2073831</v>
      </c>
      <c r="L8" s="50"/>
      <c r="M8" s="8">
        <f t="shared" si="0"/>
        <v>35231859</v>
      </c>
      <c r="N8" s="8">
        <f t="shared" si="1"/>
        <v>123790673</v>
      </c>
      <c r="O8" s="8">
        <f t="shared" si="2"/>
        <v>466099.02105263161</v>
      </c>
      <c r="P8" s="8">
        <f t="shared" si="3"/>
        <v>326220.91666666669</v>
      </c>
      <c r="Q8" s="21" t="str">
        <f t="shared" si="4"/>
        <v/>
      </c>
    </row>
    <row r="9" spans="1:17" ht="21.75" customHeight="1" x14ac:dyDescent="0.2">
      <c r="A9" s="47">
        <v>46057</v>
      </c>
      <c r="B9" s="48" t="s">
        <v>402</v>
      </c>
      <c r="C9" s="49">
        <v>60850038</v>
      </c>
      <c r="D9" s="49">
        <v>150</v>
      </c>
      <c r="E9" s="49"/>
      <c r="F9" s="49"/>
      <c r="G9" s="49">
        <v>18763977</v>
      </c>
      <c r="H9" s="49">
        <v>8654006</v>
      </c>
      <c r="I9" s="49">
        <v>9083990</v>
      </c>
      <c r="J9" s="49">
        <v>115</v>
      </c>
      <c r="K9" s="49">
        <v>200001</v>
      </c>
      <c r="L9" s="50"/>
      <c r="M9" s="8">
        <f t="shared" si="0"/>
        <v>36501973</v>
      </c>
      <c r="N9" s="8">
        <f t="shared" si="1"/>
        <v>97352011</v>
      </c>
      <c r="O9" s="8">
        <f t="shared" si="2"/>
        <v>405666.92</v>
      </c>
      <c r="P9" s="8">
        <f t="shared" si="3"/>
        <v>317408.4608695652</v>
      </c>
      <c r="Q9" s="21" t="str">
        <f t="shared" si="4"/>
        <v/>
      </c>
    </row>
    <row r="10" spans="1:17" ht="21.75" customHeight="1" x14ac:dyDescent="0.2">
      <c r="A10" s="47">
        <v>46058</v>
      </c>
      <c r="B10" s="48" t="s">
        <v>403</v>
      </c>
      <c r="C10" s="49">
        <v>93653363</v>
      </c>
      <c r="D10" s="49">
        <v>181</v>
      </c>
      <c r="E10" s="49"/>
      <c r="F10" s="49"/>
      <c r="G10" s="49">
        <v>31113480</v>
      </c>
      <c r="H10" s="49">
        <v>9863399</v>
      </c>
      <c r="I10" s="49">
        <v>15002986</v>
      </c>
      <c r="J10" s="49">
        <v>181</v>
      </c>
      <c r="K10" s="49">
        <v>1699918</v>
      </c>
      <c r="L10" s="50"/>
      <c r="M10" s="8">
        <f t="shared" si="0"/>
        <v>55979865</v>
      </c>
      <c r="N10" s="8">
        <f t="shared" si="1"/>
        <v>149633228</v>
      </c>
      <c r="O10" s="8">
        <f t="shared" si="2"/>
        <v>517421.89502762433</v>
      </c>
      <c r="P10" s="8">
        <f t="shared" si="3"/>
        <v>309281.02209944749</v>
      </c>
      <c r="Q10" s="21" t="str">
        <f t="shared" si="4"/>
        <v/>
      </c>
    </row>
    <row r="11" spans="1:17" ht="21.75" customHeight="1" x14ac:dyDescent="0.2">
      <c r="A11" s="51">
        <v>46059</v>
      </c>
      <c r="B11" s="52" t="s">
        <v>404</v>
      </c>
      <c r="C11" s="49">
        <v>88326525</v>
      </c>
      <c r="D11" s="49">
        <v>192</v>
      </c>
      <c r="E11" s="49"/>
      <c r="F11" s="49"/>
      <c r="G11" s="49">
        <v>26819984</v>
      </c>
      <c r="H11" s="49">
        <v>12426498</v>
      </c>
      <c r="I11" s="49">
        <v>13442486</v>
      </c>
      <c r="J11" s="49">
        <v>177</v>
      </c>
      <c r="K11" s="49">
        <v>1308800</v>
      </c>
      <c r="L11" s="50"/>
      <c r="M11" s="8">
        <f t="shared" si="0"/>
        <v>52688968</v>
      </c>
      <c r="N11" s="8">
        <f t="shared" si="1"/>
        <v>141015493</v>
      </c>
      <c r="O11" s="8">
        <f t="shared" si="2"/>
        <v>460033.984375</v>
      </c>
      <c r="P11" s="8">
        <f t="shared" si="3"/>
        <v>297677.78531073447</v>
      </c>
      <c r="Q11" s="21" t="str">
        <f t="shared" si="4"/>
        <v/>
      </c>
    </row>
    <row r="12" spans="1:17" ht="21.75" customHeight="1" x14ac:dyDescent="0.2">
      <c r="A12" s="51">
        <v>46060</v>
      </c>
      <c r="B12" s="52" t="s">
        <v>405</v>
      </c>
      <c r="C12" s="49">
        <v>46358251</v>
      </c>
      <c r="D12" s="49">
        <v>123</v>
      </c>
      <c r="E12" s="49"/>
      <c r="F12" s="49"/>
      <c r="G12" s="49">
        <v>25673478</v>
      </c>
      <c r="H12" s="49">
        <v>16480498</v>
      </c>
      <c r="I12" s="49">
        <v>13953488</v>
      </c>
      <c r="J12" s="49">
        <v>185</v>
      </c>
      <c r="K12" s="49"/>
      <c r="L12" s="50"/>
      <c r="M12" s="8">
        <f t="shared" si="0"/>
        <v>56107464</v>
      </c>
      <c r="N12" s="8">
        <f t="shared" si="1"/>
        <v>102465715</v>
      </c>
      <c r="O12" s="8">
        <f t="shared" si="2"/>
        <v>376896.34959349595</v>
      </c>
      <c r="P12" s="8">
        <f t="shared" si="3"/>
        <v>303283.5891891892</v>
      </c>
      <c r="Q12" s="21" t="str">
        <f t="shared" si="4"/>
        <v/>
      </c>
    </row>
    <row r="13" spans="1:17" ht="21.75" customHeight="1" x14ac:dyDescent="0.2">
      <c r="A13" s="47">
        <v>46061</v>
      </c>
      <c r="B13" s="48" t="s">
        <v>406</v>
      </c>
      <c r="C13" s="49">
        <v>91353590</v>
      </c>
      <c r="D13" s="49">
        <v>192</v>
      </c>
      <c r="E13" s="49"/>
      <c r="F13" s="49"/>
      <c r="G13" s="49">
        <v>26581941</v>
      </c>
      <c r="H13" s="49">
        <v>5852000</v>
      </c>
      <c r="I13" s="49">
        <v>13459976</v>
      </c>
      <c r="J13" s="49">
        <v>156</v>
      </c>
      <c r="K13" s="49">
        <v>2275412</v>
      </c>
      <c r="L13" s="50"/>
      <c r="M13" s="8">
        <f t="shared" si="0"/>
        <v>45893917</v>
      </c>
      <c r="N13" s="8">
        <f t="shared" si="1"/>
        <v>137247507</v>
      </c>
      <c r="O13" s="8">
        <f t="shared" si="2"/>
        <v>475799.94791666669</v>
      </c>
      <c r="P13" s="8">
        <f t="shared" si="3"/>
        <v>294191.77564102563</v>
      </c>
      <c r="Q13" s="21" t="str">
        <f t="shared" si="4"/>
        <v/>
      </c>
    </row>
    <row r="14" spans="1:17" ht="21.75" customHeight="1" x14ac:dyDescent="0.2">
      <c r="A14" s="47">
        <v>46062</v>
      </c>
      <c r="B14" s="48" t="s">
        <v>400</v>
      </c>
      <c r="C14" s="49">
        <v>57741542</v>
      </c>
      <c r="D14" s="49">
        <v>129</v>
      </c>
      <c r="E14" s="49"/>
      <c r="F14" s="49"/>
      <c r="G14" s="49">
        <v>20345468</v>
      </c>
      <c r="H14" s="49">
        <v>10940501</v>
      </c>
      <c r="I14" s="49">
        <v>11550989</v>
      </c>
      <c r="J14" s="49">
        <v>142</v>
      </c>
      <c r="K14" s="49">
        <v>5866323</v>
      </c>
      <c r="L14" s="50"/>
      <c r="M14" s="8">
        <f t="shared" si="0"/>
        <v>42836958</v>
      </c>
      <c r="N14" s="8">
        <f t="shared" si="1"/>
        <v>100578500</v>
      </c>
      <c r="O14" s="8">
        <f t="shared" si="2"/>
        <v>447608.85271317832</v>
      </c>
      <c r="P14" s="8">
        <f t="shared" si="3"/>
        <v>301668.71830985916</v>
      </c>
      <c r="Q14" s="21" t="str">
        <f t="shared" si="4"/>
        <v/>
      </c>
    </row>
    <row r="15" spans="1:17" ht="21.75" customHeight="1" x14ac:dyDescent="0.2">
      <c r="A15" s="47">
        <v>46063</v>
      </c>
      <c r="B15" s="48" t="s">
        <v>401</v>
      </c>
      <c r="C15" s="49">
        <v>72142067</v>
      </c>
      <c r="D15" s="49">
        <v>170</v>
      </c>
      <c r="E15" s="49"/>
      <c r="F15" s="49"/>
      <c r="G15" s="49">
        <v>26675969</v>
      </c>
      <c r="H15" s="49">
        <v>16187995</v>
      </c>
      <c r="I15" s="49">
        <v>13954492</v>
      </c>
      <c r="J15" s="49">
        <v>156</v>
      </c>
      <c r="K15" s="49">
        <v>750000</v>
      </c>
      <c r="L15" s="50"/>
      <c r="M15" s="8">
        <f t="shared" si="0"/>
        <v>56818456</v>
      </c>
      <c r="N15" s="8">
        <f t="shared" si="1"/>
        <v>128960523</v>
      </c>
      <c r="O15" s="8">
        <f t="shared" si="2"/>
        <v>424365.1</v>
      </c>
      <c r="P15" s="8">
        <f t="shared" si="3"/>
        <v>364220.87179487181</v>
      </c>
      <c r="Q15" s="21" t="str">
        <f t="shared" si="4"/>
        <v/>
      </c>
    </row>
    <row r="16" spans="1:17" ht="21.75" customHeight="1" x14ac:dyDescent="0.2">
      <c r="A16" s="47">
        <v>46064</v>
      </c>
      <c r="B16" s="48" t="s">
        <v>402</v>
      </c>
      <c r="C16" s="49">
        <v>101499483</v>
      </c>
      <c r="D16" s="49">
        <v>213</v>
      </c>
      <c r="E16" s="49"/>
      <c r="F16" s="49"/>
      <c r="G16" s="49">
        <v>27996471</v>
      </c>
      <c r="H16" s="49">
        <v>21896980</v>
      </c>
      <c r="I16" s="49">
        <v>15569001</v>
      </c>
      <c r="J16" s="49">
        <v>184</v>
      </c>
      <c r="K16" s="49">
        <v>3100399</v>
      </c>
      <c r="L16" s="50"/>
      <c r="M16" s="8">
        <f t="shared" si="0"/>
        <v>65462452</v>
      </c>
      <c r="N16" s="8">
        <f t="shared" si="1"/>
        <v>166961935</v>
      </c>
      <c r="O16" s="8">
        <f t="shared" si="2"/>
        <v>476523.39436619717</v>
      </c>
      <c r="P16" s="8">
        <f t="shared" si="3"/>
        <v>355774.19565217389</v>
      </c>
      <c r="Q16" s="21" t="str">
        <f t="shared" si="4"/>
        <v/>
      </c>
    </row>
    <row r="17" spans="1:17" ht="21.75" customHeight="1" x14ac:dyDescent="0.2">
      <c r="A17" s="47">
        <v>46065</v>
      </c>
      <c r="B17" s="48" t="s">
        <v>403</v>
      </c>
      <c r="C17" s="49">
        <v>96346100</v>
      </c>
      <c r="D17" s="49">
        <v>202</v>
      </c>
      <c r="E17" s="49"/>
      <c r="F17" s="49"/>
      <c r="G17" s="49">
        <v>26653982</v>
      </c>
      <c r="H17" s="49">
        <v>24483492</v>
      </c>
      <c r="I17" s="49">
        <v>14464990</v>
      </c>
      <c r="J17" s="49">
        <v>187</v>
      </c>
      <c r="K17" s="49">
        <v>7857965</v>
      </c>
      <c r="L17" s="50"/>
      <c r="M17" s="8">
        <f t="shared" si="0"/>
        <v>65602464</v>
      </c>
      <c r="N17" s="8">
        <f t="shared" si="1"/>
        <v>161948564</v>
      </c>
      <c r="O17" s="8">
        <f t="shared" si="2"/>
        <v>476960.89108910889</v>
      </c>
      <c r="P17" s="8">
        <f t="shared" si="3"/>
        <v>350815.31550802139</v>
      </c>
      <c r="Q17" s="21" t="str">
        <f t="shared" si="4"/>
        <v/>
      </c>
    </row>
    <row r="18" spans="1:17" ht="21.75" customHeight="1" x14ac:dyDescent="0.2">
      <c r="A18" s="51">
        <v>46066</v>
      </c>
      <c r="B18" s="52" t="s">
        <v>404</v>
      </c>
      <c r="C18" s="49">
        <v>82567606</v>
      </c>
      <c r="D18" s="49">
        <v>185</v>
      </c>
      <c r="E18" s="49"/>
      <c r="F18" s="49"/>
      <c r="G18" s="49">
        <v>33299454</v>
      </c>
      <c r="H18" s="49">
        <v>25645747</v>
      </c>
      <c r="I18" s="49">
        <v>18701988</v>
      </c>
      <c r="J18" s="49">
        <v>244</v>
      </c>
      <c r="K18" s="49">
        <v>2277496</v>
      </c>
      <c r="L18" s="50"/>
      <c r="M18" s="8">
        <f t="shared" si="0"/>
        <v>77647189</v>
      </c>
      <c r="N18" s="8">
        <f t="shared" si="1"/>
        <v>160214795</v>
      </c>
      <c r="O18" s="8">
        <f t="shared" si="2"/>
        <v>446311.38378378376</v>
      </c>
      <c r="P18" s="8">
        <f t="shared" si="3"/>
        <v>318226.18442622951</v>
      </c>
      <c r="Q18" s="21" t="str">
        <f t="shared" si="4"/>
        <v/>
      </c>
    </row>
    <row r="19" spans="1:17" ht="21.75" customHeight="1" x14ac:dyDescent="0.2">
      <c r="A19" s="51">
        <v>46067</v>
      </c>
      <c r="B19" s="52" t="s">
        <v>405</v>
      </c>
      <c r="C19" s="49">
        <v>55401129</v>
      </c>
      <c r="D19" s="49">
        <v>116</v>
      </c>
      <c r="E19" s="49"/>
      <c r="F19" s="49"/>
      <c r="G19" s="49">
        <v>43160216</v>
      </c>
      <c r="H19" s="49">
        <v>27952495</v>
      </c>
      <c r="I19" s="49">
        <v>10786487</v>
      </c>
      <c r="J19" s="49">
        <v>232</v>
      </c>
      <c r="K19" s="49">
        <v>3502458</v>
      </c>
      <c r="L19" s="50"/>
      <c r="M19" s="8">
        <f t="shared" si="0"/>
        <v>81899198</v>
      </c>
      <c r="N19" s="8">
        <f t="shared" si="1"/>
        <v>137300327</v>
      </c>
      <c r="O19" s="8">
        <f t="shared" si="2"/>
        <v>477595.93965517241</v>
      </c>
      <c r="P19" s="8">
        <f t="shared" si="3"/>
        <v>353013.78448275861</v>
      </c>
      <c r="Q19" s="21" t="str">
        <f t="shared" si="4"/>
        <v/>
      </c>
    </row>
    <row r="20" spans="1:17" ht="21.75" customHeight="1" x14ac:dyDescent="0.2">
      <c r="A20" s="47">
        <v>46068</v>
      </c>
      <c r="B20" s="48" t="s">
        <v>406</v>
      </c>
      <c r="C20" s="49">
        <v>35825726</v>
      </c>
      <c r="D20" s="49">
        <v>78</v>
      </c>
      <c r="E20" s="49"/>
      <c r="F20" s="49"/>
      <c r="G20" s="49">
        <v>23492736</v>
      </c>
      <c r="H20" s="49">
        <v>27382246</v>
      </c>
      <c r="I20" s="49">
        <v>5920496</v>
      </c>
      <c r="J20" s="49">
        <v>163</v>
      </c>
      <c r="K20" s="49">
        <v>448000</v>
      </c>
      <c r="L20" s="50"/>
      <c r="M20" s="8">
        <f t="shared" si="0"/>
        <v>56795478</v>
      </c>
      <c r="N20" s="8">
        <f t="shared" si="1"/>
        <v>92621204</v>
      </c>
      <c r="O20" s="8">
        <f t="shared" si="2"/>
        <v>459304.1794871795</v>
      </c>
      <c r="P20" s="8">
        <f t="shared" si="3"/>
        <v>348438.51533742331</v>
      </c>
      <c r="Q20" s="21" t="str">
        <f t="shared" si="4"/>
        <v/>
      </c>
    </row>
    <row r="21" spans="1:17" ht="21.75" customHeight="1" x14ac:dyDescent="0.2">
      <c r="A21" s="47">
        <v>46069</v>
      </c>
      <c r="B21" s="48" t="s">
        <v>400</v>
      </c>
      <c r="C21" s="49">
        <v>15408017</v>
      </c>
      <c r="D21" s="49">
        <v>40</v>
      </c>
      <c r="E21" s="49"/>
      <c r="F21" s="49"/>
      <c r="G21" s="49">
        <v>14058991</v>
      </c>
      <c r="H21" s="49">
        <v>16740997</v>
      </c>
      <c r="I21" s="49"/>
      <c r="J21" s="49">
        <v>89</v>
      </c>
      <c r="K21" s="49"/>
      <c r="L21" s="50"/>
      <c r="M21" s="8">
        <f t="shared" si="0"/>
        <v>30799988</v>
      </c>
      <c r="N21" s="8">
        <f t="shared" si="1"/>
        <v>46208005</v>
      </c>
      <c r="O21" s="8">
        <f t="shared" si="2"/>
        <v>385200.42499999999</v>
      </c>
      <c r="P21" s="8">
        <f t="shared" si="3"/>
        <v>346067.28089887643</v>
      </c>
      <c r="Q21" s="21" t="str">
        <f t="shared" si="4"/>
        <v/>
      </c>
    </row>
    <row r="22" spans="1:17" ht="21.75" customHeight="1" x14ac:dyDescent="0.2">
      <c r="A22" s="47">
        <v>46070</v>
      </c>
      <c r="B22" s="48" t="s">
        <v>401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46071</v>
      </c>
      <c r="B23" s="48" t="s">
        <v>402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47">
        <v>46072</v>
      </c>
      <c r="B24" s="48" t="s">
        <v>403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46073</v>
      </c>
      <c r="B25" s="52" t="s">
        <v>404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51">
        <v>46074</v>
      </c>
      <c r="B26" s="52" t="s">
        <v>405</v>
      </c>
      <c r="C26" s="49">
        <v>16207041</v>
      </c>
      <c r="D26" s="49">
        <v>40</v>
      </c>
      <c r="E26" s="49"/>
      <c r="F26" s="49"/>
      <c r="G26" s="49">
        <v>6306995</v>
      </c>
      <c r="H26" s="49">
        <v>4625002</v>
      </c>
      <c r="I26" s="49">
        <v>2409998</v>
      </c>
      <c r="J26" s="49">
        <v>45</v>
      </c>
      <c r="K26" s="49">
        <v>448000</v>
      </c>
      <c r="L26" s="50"/>
      <c r="M26" s="8">
        <f t="shared" si="0"/>
        <v>13341995</v>
      </c>
      <c r="N26" s="8">
        <f t="shared" si="1"/>
        <v>29549036</v>
      </c>
      <c r="O26" s="8">
        <f t="shared" si="2"/>
        <v>405176.02500000002</v>
      </c>
      <c r="P26" s="8">
        <f t="shared" si="3"/>
        <v>296488.77777777775</v>
      </c>
      <c r="Q26" s="21" t="str">
        <f t="shared" si="4"/>
        <v/>
      </c>
    </row>
    <row r="27" spans="1:17" ht="21.75" customHeight="1" x14ac:dyDescent="0.2">
      <c r="A27" s="47">
        <v>46075</v>
      </c>
      <c r="B27" s="48" t="s">
        <v>406</v>
      </c>
      <c r="C27" s="49">
        <v>25515214</v>
      </c>
      <c r="D27" s="49">
        <v>52</v>
      </c>
      <c r="E27" s="49"/>
      <c r="F27" s="49"/>
      <c r="G27" s="49">
        <v>6301494</v>
      </c>
      <c r="H27" s="49">
        <v>4814999</v>
      </c>
      <c r="I27" s="49">
        <v>2286999</v>
      </c>
      <c r="J27" s="49">
        <v>42</v>
      </c>
      <c r="K27" s="49"/>
      <c r="L27" s="50"/>
      <c r="M27" s="8">
        <f t="shared" si="0"/>
        <v>13403492</v>
      </c>
      <c r="N27" s="8">
        <f t="shared" si="1"/>
        <v>38918706</v>
      </c>
      <c r="O27" s="8">
        <f t="shared" si="2"/>
        <v>490677.19230769231</v>
      </c>
      <c r="P27" s="8">
        <f t="shared" si="3"/>
        <v>319130.76190476189</v>
      </c>
      <c r="Q27" s="21" t="str">
        <f t="shared" si="4"/>
        <v/>
      </c>
    </row>
    <row r="28" spans="1:17" ht="21.75" customHeight="1" x14ac:dyDescent="0.2">
      <c r="A28" s="47">
        <v>46076</v>
      </c>
      <c r="B28" s="48" t="s">
        <v>400</v>
      </c>
      <c r="C28" s="49">
        <v>26894541</v>
      </c>
      <c r="D28" s="49">
        <v>55</v>
      </c>
      <c r="E28" s="49"/>
      <c r="F28" s="49"/>
      <c r="G28" s="49">
        <v>10785497</v>
      </c>
      <c r="H28" s="49">
        <v>10187505</v>
      </c>
      <c r="I28" s="49">
        <v>1504499</v>
      </c>
      <c r="J28" s="49">
        <v>51</v>
      </c>
      <c r="K28" s="49">
        <v>320000</v>
      </c>
      <c r="L28" s="50"/>
      <c r="M28" s="8">
        <f t="shared" si="0"/>
        <v>22477501</v>
      </c>
      <c r="N28" s="8">
        <f t="shared" si="1"/>
        <v>49372042</v>
      </c>
      <c r="O28" s="8">
        <f t="shared" si="2"/>
        <v>488991.65454545454</v>
      </c>
      <c r="P28" s="8">
        <f t="shared" si="3"/>
        <v>440735.31372549018</v>
      </c>
      <c r="Q28" s="21" t="str">
        <f t="shared" si="4"/>
        <v/>
      </c>
    </row>
    <row r="29" spans="1:17" ht="21.75" customHeight="1" x14ac:dyDescent="0.2">
      <c r="A29" s="47">
        <v>46077</v>
      </c>
      <c r="B29" s="48" t="s">
        <v>401</v>
      </c>
      <c r="C29" s="49">
        <v>31085535</v>
      </c>
      <c r="D29" s="49">
        <v>74</v>
      </c>
      <c r="E29" s="49"/>
      <c r="F29" s="49"/>
      <c r="G29" s="49">
        <v>6756998</v>
      </c>
      <c r="H29" s="49">
        <v>3712002</v>
      </c>
      <c r="I29" s="49">
        <v>1320899</v>
      </c>
      <c r="J29" s="49">
        <v>36</v>
      </c>
      <c r="K29" s="49">
        <v>229400</v>
      </c>
      <c r="L29" s="50"/>
      <c r="M29" s="8">
        <f t="shared" si="0"/>
        <v>11789899</v>
      </c>
      <c r="N29" s="8">
        <f t="shared" si="1"/>
        <v>42875434</v>
      </c>
      <c r="O29" s="8">
        <f t="shared" si="2"/>
        <v>420074.79729729728</v>
      </c>
      <c r="P29" s="8">
        <f t="shared" si="3"/>
        <v>327497.19444444444</v>
      </c>
      <c r="Q29" s="21" t="str">
        <f t="shared" si="4"/>
        <v/>
      </c>
    </row>
    <row r="30" spans="1:17" ht="21.75" customHeight="1" x14ac:dyDescent="0.2">
      <c r="A30" s="47">
        <v>46078</v>
      </c>
      <c r="B30" s="48" t="s">
        <v>402</v>
      </c>
      <c r="C30" s="49">
        <v>54216209</v>
      </c>
      <c r="D30" s="49">
        <v>114</v>
      </c>
      <c r="E30" s="49"/>
      <c r="F30" s="49"/>
      <c r="G30" s="49">
        <v>4892248</v>
      </c>
      <c r="H30" s="49">
        <v>5403501</v>
      </c>
      <c r="I30" s="49">
        <v>2748979</v>
      </c>
      <c r="J30" s="49">
        <v>42</v>
      </c>
      <c r="K30" s="49">
        <v>5004000</v>
      </c>
      <c r="L30" s="50"/>
      <c r="M30" s="8">
        <f t="shared" si="0"/>
        <v>13044728</v>
      </c>
      <c r="N30" s="8">
        <f t="shared" si="1"/>
        <v>67260937</v>
      </c>
      <c r="O30" s="8">
        <f t="shared" si="2"/>
        <v>475580.78070175438</v>
      </c>
      <c r="P30" s="8">
        <f t="shared" si="3"/>
        <v>310588.76190476189</v>
      </c>
      <c r="Q30" s="21" t="str">
        <f t="shared" si="4"/>
        <v/>
      </c>
    </row>
    <row r="31" spans="1:17" ht="21.75" customHeight="1" x14ac:dyDescent="0.2">
      <c r="A31" s="47">
        <v>46079</v>
      </c>
      <c r="B31" s="48" t="s">
        <v>403</v>
      </c>
      <c r="C31" s="49">
        <v>47077945</v>
      </c>
      <c r="D31" s="49">
        <v>99</v>
      </c>
      <c r="E31" s="49"/>
      <c r="F31" s="49"/>
      <c r="G31" s="49">
        <v>9879977</v>
      </c>
      <c r="H31" s="49">
        <v>7374499</v>
      </c>
      <c r="I31" s="49">
        <v>2232998</v>
      </c>
      <c r="J31" s="49">
        <v>50</v>
      </c>
      <c r="K31" s="49">
        <v>3813999</v>
      </c>
      <c r="L31" s="50"/>
      <c r="M31" s="8">
        <f t="shared" si="0"/>
        <v>19487474</v>
      </c>
      <c r="N31" s="8">
        <f t="shared" si="1"/>
        <v>66565419</v>
      </c>
      <c r="O31" s="8">
        <f t="shared" si="2"/>
        <v>475534.79797979799</v>
      </c>
      <c r="P31" s="8">
        <f t="shared" si="3"/>
        <v>389749.48</v>
      </c>
      <c r="Q31" s="21" t="str">
        <f t="shared" si="4"/>
        <v/>
      </c>
    </row>
    <row r="32" spans="1:17" ht="21.75" customHeight="1" x14ac:dyDescent="0.2">
      <c r="A32" s="51">
        <v>46080</v>
      </c>
      <c r="B32" s="52" t="s">
        <v>404</v>
      </c>
      <c r="C32" s="49">
        <v>55770326</v>
      </c>
      <c r="D32" s="49">
        <v>102</v>
      </c>
      <c r="E32" s="49"/>
      <c r="F32" s="49"/>
      <c r="G32" s="49">
        <v>10152498</v>
      </c>
      <c r="H32" s="49">
        <v>5813995</v>
      </c>
      <c r="I32" s="49">
        <v>4116995</v>
      </c>
      <c r="J32" s="49">
        <v>63</v>
      </c>
      <c r="K32" s="49">
        <v>3889675</v>
      </c>
      <c r="L32" s="50"/>
      <c r="M32" s="8">
        <f t="shared" si="0"/>
        <v>20083488</v>
      </c>
      <c r="N32" s="8">
        <f t="shared" si="1"/>
        <v>75853814</v>
      </c>
      <c r="O32" s="8">
        <f t="shared" si="2"/>
        <v>546767.90196078434</v>
      </c>
      <c r="P32" s="8">
        <f t="shared" si="3"/>
        <v>318785.52380952379</v>
      </c>
      <c r="Q32" s="21" t="str">
        <f t="shared" si="4"/>
        <v/>
      </c>
    </row>
    <row r="33" spans="1:17" ht="21.75" customHeight="1" x14ac:dyDescent="0.2">
      <c r="A33" s="51">
        <v>46081</v>
      </c>
      <c r="B33" s="52" t="s">
        <v>405</v>
      </c>
      <c r="C33" s="49">
        <v>38036221</v>
      </c>
      <c r="D33" s="49">
        <v>79</v>
      </c>
      <c r="E33" s="49"/>
      <c r="F33" s="49"/>
      <c r="G33" s="49">
        <v>5463001</v>
      </c>
      <c r="H33" s="49">
        <v>6145002</v>
      </c>
      <c r="I33" s="49">
        <v>7299487</v>
      </c>
      <c r="J33" s="49">
        <v>56</v>
      </c>
      <c r="K33" s="49">
        <v>4364814</v>
      </c>
      <c r="L33" s="50"/>
      <c r="M33" s="8">
        <f t="shared" si="0"/>
        <v>18907490</v>
      </c>
      <c r="N33" s="8">
        <f t="shared" si="1"/>
        <v>56943711</v>
      </c>
      <c r="O33" s="8">
        <f t="shared" si="2"/>
        <v>481471.15189873416</v>
      </c>
      <c r="P33" s="8">
        <f t="shared" si="3"/>
        <v>337633.75</v>
      </c>
      <c r="Q33" s="21" t="str">
        <f t="shared" si="4"/>
        <v/>
      </c>
    </row>
    <row r="34" spans="1:17" ht="21.75" customHeight="1" x14ac:dyDescent="0.2">
      <c r="A34" s="47"/>
      <c r="B34" s="48"/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/>
      <c r="N34" s="8"/>
      <c r="O34" s="8"/>
      <c r="P34" s="8"/>
      <c r="Q34" s="21"/>
    </row>
    <row r="35" spans="1:17" ht="21.75" customHeight="1" x14ac:dyDescent="0.2">
      <c r="A35" s="47"/>
      <c r="B35" s="48"/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/>
      <c r="N35" s="8"/>
      <c r="O35" s="8"/>
      <c r="P35" s="8"/>
      <c r="Q35" s="21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412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46082</v>
      </c>
      <c r="B6" s="48" t="s">
        <v>406</v>
      </c>
      <c r="C6" s="49">
        <v>31471028</v>
      </c>
      <c r="D6" s="49">
        <v>72</v>
      </c>
      <c r="E6" s="49"/>
      <c r="F6" s="49"/>
      <c r="G6" s="49">
        <v>9123988</v>
      </c>
      <c r="H6" s="49">
        <v>4973999</v>
      </c>
      <c r="I6" s="49">
        <v>3471000</v>
      </c>
      <c r="J6" s="49">
        <v>46</v>
      </c>
      <c r="K6" s="49">
        <v>3746189</v>
      </c>
      <c r="L6" s="50"/>
      <c r="M6" s="8">
        <f t="shared" ref="M6:M36" si="0">IF(SUM(G6:I6)&gt;0,SUM(G6:I6),"")</f>
        <v>17568987</v>
      </c>
      <c r="N6" s="8">
        <f t="shared" ref="N6:N36" si="1">IF(N(C6)+N(M6)&gt;0,N(C6)+N(M6),"")</f>
        <v>49040015</v>
      </c>
      <c r="O6" s="8">
        <f t="shared" ref="O6:O36" si="2">IFERROR(IF(D6&gt;0,C6/D6,""),"")</f>
        <v>437097.61111111112</v>
      </c>
      <c r="P6" s="8">
        <f t="shared" ref="P6:P36" si="3">IFERROR(IF(J6&gt;0,M6/J6,""),"")</f>
        <v>381934.5</v>
      </c>
      <c r="Q6" s="21" t="str">
        <f t="shared" ref="Q6:Q36" si="4">IFERROR(IF(E6&gt;0,D6/E6,""),"")</f>
        <v/>
      </c>
    </row>
    <row r="7" spans="1:17" ht="21.75" customHeight="1" x14ac:dyDescent="0.2">
      <c r="A7" s="47">
        <v>46083</v>
      </c>
      <c r="B7" s="48" t="s">
        <v>400</v>
      </c>
      <c r="C7" s="49">
        <v>42386830</v>
      </c>
      <c r="D7" s="49">
        <v>84</v>
      </c>
      <c r="E7" s="49"/>
      <c r="F7" s="49"/>
      <c r="G7" s="49">
        <v>8079000</v>
      </c>
      <c r="H7" s="49">
        <v>2237000</v>
      </c>
      <c r="I7" s="49">
        <v>3462995</v>
      </c>
      <c r="J7" s="49">
        <v>43</v>
      </c>
      <c r="K7" s="49">
        <v>6142830</v>
      </c>
      <c r="L7" s="50"/>
      <c r="M7" s="8">
        <f t="shared" si="0"/>
        <v>13778995</v>
      </c>
      <c r="N7" s="8">
        <f t="shared" si="1"/>
        <v>56165825</v>
      </c>
      <c r="O7" s="8">
        <f t="shared" si="2"/>
        <v>504605.11904761905</v>
      </c>
      <c r="P7" s="8">
        <f t="shared" si="3"/>
        <v>320441.74418604653</v>
      </c>
      <c r="Q7" s="21" t="str">
        <f t="shared" si="4"/>
        <v/>
      </c>
    </row>
    <row r="8" spans="1:17" ht="21.75" customHeight="1" x14ac:dyDescent="0.2">
      <c r="A8" s="47">
        <v>46084</v>
      </c>
      <c r="B8" s="48" t="s">
        <v>401</v>
      </c>
      <c r="C8" s="49">
        <v>32799967</v>
      </c>
      <c r="D8" s="49">
        <v>82</v>
      </c>
      <c r="E8" s="49"/>
      <c r="F8" s="49"/>
      <c r="G8" s="49">
        <v>8892742</v>
      </c>
      <c r="H8" s="49">
        <v>6339498</v>
      </c>
      <c r="I8" s="49">
        <v>2400998</v>
      </c>
      <c r="J8" s="49">
        <v>51</v>
      </c>
      <c r="K8" s="49">
        <v>753600</v>
      </c>
      <c r="L8" s="50"/>
      <c r="M8" s="8">
        <f t="shared" si="0"/>
        <v>17633238</v>
      </c>
      <c r="N8" s="8">
        <f t="shared" si="1"/>
        <v>50433205</v>
      </c>
      <c r="O8" s="8">
        <f t="shared" si="2"/>
        <v>399999.59756097558</v>
      </c>
      <c r="P8" s="8">
        <f t="shared" si="3"/>
        <v>345749.76470588235</v>
      </c>
      <c r="Q8" s="21" t="str">
        <f t="shared" si="4"/>
        <v/>
      </c>
    </row>
    <row r="9" spans="1:17" ht="21.75" customHeight="1" x14ac:dyDescent="0.2">
      <c r="A9" s="47">
        <v>46085</v>
      </c>
      <c r="B9" s="48" t="s">
        <v>402</v>
      </c>
      <c r="C9" s="49">
        <v>59551861</v>
      </c>
      <c r="D9" s="49">
        <v>117</v>
      </c>
      <c r="E9" s="49"/>
      <c r="F9" s="49"/>
      <c r="G9" s="49">
        <v>8473495</v>
      </c>
      <c r="H9" s="49">
        <v>2933249</v>
      </c>
      <c r="I9" s="49">
        <v>4912494</v>
      </c>
      <c r="J9" s="49">
        <v>51</v>
      </c>
      <c r="K9" s="49">
        <v>3427658</v>
      </c>
      <c r="L9" s="50"/>
      <c r="M9" s="8">
        <f t="shared" si="0"/>
        <v>16319238</v>
      </c>
      <c r="N9" s="8">
        <f t="shared" si="1"/>
        <v>75871099</v>
      </c>
      <c r="O9" s="8">
        <f t="shared" si="2"/>
        <v>508990.26495726494</v>
      </c>
      <c r="P9" s="8">
        <f t="shared" si="3"/>
        <v>319985.0588235294</v>
      </c>
      <c r="Q9" s="21" t="str">
        <f t="shared" si="4"/>
        <v/>
      </c>
    </row>
    <row r="10" spans="1:17" ht="21.75" customHeight="1" x14ac:dyDescent="0.2">
      <c r="A10" s="47">
        <v>46086</v>
      </c>
      <c r="B10" s="48" t="s">
        <v>403</v>
      </c>
      <c r="C10" s="49">
        <v>47626769</v>
      </c>
      <c r="D10" s="49">
        <v>107</v>
      </c>
      <c r="E10" s="49"/>
      <c r="F10" s="49"/>
      <c r="G10" s="49">
        <v>4755995</v>
      </c>
      <c r="H10" s="49">
        <v>4111500</v>
      </c>
      <c r="I10" s="49">
        <v>3241999</v>
      </c>
      <c r="J10" s="49">
        <v>51</v>
      </c>
      <c r="K10" s="49">
        <v>502858</v>
      </c>
      <c r="L10" s="50"/>
      <c r="M10" s="8">
        <f t="shared" si="0"/>
        <v>12109494</v>
      </c>
      <c r="N10" s="8">
        <f t="shared" si="1"/>
        <v>59736263</v>
      </c>
      <c r="O10" s="8">
        <f t="shared" si="2"/>
        <v>445109.99065420561</v>
      </c>
      <c r="P10" s="8">
        <f t="shared" si="3"/>
        <v>237441.0588235294</v>
      </c>
      <c r="Q10" s="21" t="str">
        <f t="shared" si="4"/>
        <v/>
      </c>
    </row>
    <row r="11" spans="1:17" ht="21.75" customHeight="1" x14ac:dyDescent="0.2">
      <c r="A11" s="51">
        <v>46087</v>
      </c>
      <c r="B11" s="52" t="s">
        <v>404</v>
      </c>
      <c r="C11" s="49">
        <v>40839833</v>
      </c>
      <c r="D11" s="49">
        <v>94</v>
      </c>
      <c r="E11" s="49"/>
      <c r="F11" s="49"/>
      <c r="G11" s="49">
        <v>9344992</v>
      </c>
      <c r="H11" s="49">
        <v>6069008</v>
      </c>
      <c r="I11" s="49">
        <v>2407999</v>
      </c>
      <c r="J11" s="49">
        <v>60</v>
      </c>
      <c r="K11" s="49">
        <v>2216000</v>
      </c>
      <c r="L11" s="50"/>
      <c r="M11" s="8">
        <f t="shared" si="0"/>
        <v>17821999</v>
      </c>
      <c r="N11" s="8">
        <f t="shared" si="1"/>
        <v>58661832</v>
      </c>
      <c r="O11" s="8">
        <f t="shared" si="2"/>
        <v>434466.30851063831</v>
      </c>
      <c r="P11" s="8">
        <f t="shared" si="3"/>
        <v>297033.31666666665</v>
      </c>
      <c r="Q11" s="21" t="str">
        <f t="shared" si="4"/>
        <v/>
      </c>
    </row>
    <row r="12" spans="1:17" ht="21.75" customHeight="1" x14ac:dyDescent="0.2">
      <c r="A12" s="51">
        <v>46088</v>
      </c>
      <c r="B12" s="52" t="s">
        <v>405</v>
      </c>
      <c r="C12" s="49">
        <v>42800056</v>
      </c>
      <c r="D12" s="49">
        <v>114</v>
      </c>
      <c r="E12" s="49"/>
      <c r="F12" s="49"/>
      <c r="G12" s="49">
        <v>8931997</v>
      </c>
      <c r="H12" s="49">
        <v>7260495</v>
      </c>
      <c r="I12" s="49">
        <v>4003999</v>
      </c>
      <c r="J12" s="49">
        <v>77</v>
      </c>
      <c r="K12" s="49"/>
      <c r="L12" s="50"/>
      <c r="M12" s="8">
        <f t="shared" si="0"/>
        <v>20196491</v>
      </c>
      <c r="N12" s="8">
        <f t="shared" si="1"/>
        <v>62996547</v>
      </c>
      <c r="O12" s="8">
        <f t="shared" si="2"/>
        <v>375439.08771929826</v>
      </c>
      <c r="P12" s="8">
        <f t="shared" si="3"/>
        <v>262292.09090909088</v>
      </c>
      <c r="Q12" s="21" t="str">
        <f t="shared" si="4"/>
        <v/>
      </c>
    </row>
    <row r="13" spans="1:17" ht="21.75" customHeight="1" x14ac:dyDescent="0.2">
      <c r="A13" s="47">
        <v>46089</v>
      </c>
      <c r="B13" s="48" t="s">
        <v>406</v>
      </c>
      <c r="C13" s="49">
        <v>38141552</v>
      </c>
      <c r="D13" s="49">
        <v>82</v>
      </c>
      <c r="E13" s="49"/>
      <c r="F13" s="49"/>
      <c r="G13" s="49">
        <v>11466488</v>
      </c>
      <c r="H13" s="49">
        <v>6596498</v>
      </c>
      <c r="I13" s="49">
        <v>3452998</v>
      </c>
      <c r="J13" s="49">
        <v>74</v>
      </c>
      <c r="K13" s="49">
        <v>2384800</v>
      </c>
      <c r="L13" s="50"/>
      <c r="M13" s="8">
        <f t="shared" si="0"/>
        <v>21515984</v>
      </c>
      <c r="N13" s="8">
        <f t="shared" si="1"/>
        <v>59657536</v>
      </c>
      <c r="O13" s="8">
        <f t="shared" si="2"/>
        <v>465140.87804878049</v>
      </c>
      <c r="P13" s="8">
        <f t="shared" si="3"/>
        <v>290756.54054054053</v>
      </c>
      <c r="Q13" s="21" t="str">
        <f t="shared" si="4"/>
        <v/>
      </c>
    </row>
    <row r="14" spans="1:17" ht="21.75" customHeight="1" x14ac:dyDescent="0.2">
      <c r="A14" s="47">
        <v>46090</v>
      </c>
      <c r="B14" s="48" t="s">
        <v>400</v>
      </c>
      <c r="C14" s="49">
        <v>31013521</v>
      </c>
      <c r="D14" s="49">
        <v>68</v>
      </c>
      <c r="E14" s="49"/>
      <c r="F14" s="49"/>
      <c r="G14" s="49">
        <v>10078500</v>
      </c>
      <c r="H14" s="49">
        <v>3123000</v>
      </c>
      <c r="I14" s="49">
        <v>3096997</v>
      </c>
      <c r="J14" s="49">
        <v>52</v>
      </c>
      <c r="K14" s="49">
        <v>2220800</v>
      </c>
      <c r="L14" s="50"/>
      <c r="M14" s="8">
        <f t="shared" si="0"/>
        <v>16298497</v>
      </c>
      <c r="N14" s="8">
        <f t="shared" si="1"/>
        <v>47312018</v>
      </c>
      <c r="O14" s="8">
        <f t="shared" si="2"/>
        <v>456081.1911764706</v>
      </c>
      <c r="P14" s="8">
        <f t="shared" si="3"/>
        <v>313432.63461538462</v>
      </c>
      <c r="Q14" s="21" t="str">
        <f t="shared" si="4"/>
        <v/>
      </c>
    </row>
    <row r="15" spans="1:17" ht="21.75" customHeight="1" x14ac:dyDescent="0.2">
      <c r="A15" s="47">
        <v>46091</v>
      </c>
      <c r="B15" s="48" t="s">
        <v>401</v>
      </c>
      <c r="C15" s="49">
        <v>44979283</v>
      </c>
      <c r="D15" s="49">
        <v>95</v>
      </c>
      <c r="E15" s="49"/>
      <c r="F15" s="49"/>
      <c r="G15" s="49">
        <v>5408995</v>
      </c>
      <c r="H15" s="49">
        <v>5076500</v>
      </c>
      <c r="I15" s="49">
        <v>2800999</v>
      </c>
      <c r="J15" s="49">
        <v>37</v>
      </c>
      <c r="K15" s="49">
        <v>350000</v>
      </c>
      <c r="L15" s="50"/>
      <c r="M15" s="8">
        <f t="shared" si="0"/>
        <v>13286494</v>
      </c>
      <c r="N15" s="8">
        <f t="shared" si="1"/>
        <v>58265777</v>
      </c>
      <c r="O15" s="8">
        <f t="shared" si="2"/>
        <v>473466.13684210525</v>
      </c>
      <c r="P15" s="8">
        <f t="shared" si="3"/>
        <v>359094.43243243243</v>
      </c>
      <c r="Q15" s="21" t="str">
        <f t="shared" si="4"/>
        <v/>
      </c>
    </row>
    <row r="16" spans="1:17" ht="21.75" customHeight="1" x14ac:dyDescent="0.2">
      <c r="A16" s="47">
        <v>46092</v>
      </c>
      <c r="B16" s="48" t="s">
        <v>402</v>
      </c>
      <c r="C16" s="49">
        <v>53629033</v>
      </c>
      <c r="D16" s="49">
        <v>95</v>
      </c>
      <c r="E16" s="49"/>
      <c r="F16" s="49"/>
      <c r="G16" s="49">
        <v>6608247</v>
      </c>
      <c r="H16" s="49">
        <v>4589999</v>
      </c>
      <c r="I16" s="49">
        <v>4680499</v>
      </c>
      <c r="J16" s="49">
        <v>55</v>
      </c>
      <c r="K16" s="49">
        <v>9147514</v>
      </c>
      <c r="L16" s="50"/>
      <c r="M16" s="8">
        <f t="shared" si="0"/>
        <v>15878745</v>
      </c>
      <c r="N16" s="8">
        <f t="shared" si="1"/>
        <v>69507778</v>
      </c>
      <c r="O16" s="8">
        <f t="shared" si="2"/>
        <v>564516.1368421053</v>
      </c>
      <c r="P16" s="8">
        <f t="shared" si="3"/>
        <v>288704.45454545453</v>
      </c>
      <c r="Q16" s="21" t="str">
        <f t="shared" si="4"/>
        <v/>
      </c>
    </row>
    <row r="17" spans="1:17" ht="21.75" customHeight="1" x14ac:dyDescent="0.2">
      <c r="A17" s="47">
        <v>46093</v>
      </c>
      <c r="B17" s="48" t="s">
        <v>403</v>
      </c>
      <c r="C17" s="49">
        <v>46018140</v>
      </c>
      <c r="D17" s="49">
        <v>94</v>
      </c>
      <c r="E17" s="49"/>
      <c r="F17" s="49"/>
      <c r="G17" s="49">
        <v>9706243</v>
      </c>
      <c r="H17" s="49">
        <v>5519003</v>
      </c>
      <c r="I17" s="49">
        <v>3539000</v>
      </c>
      <c r="J17" s="49">
        <v>56</v>
      </c>
      <c r="K17" s="49">
        <v>3479999</v>
      </c>
      <c r="L17" s="50"/>
      <c r="M17" s="8">
        <f t="shared" si="0"/>
        <v>18764246</v>
      </c>
      <c r="N17" s="8">
        <f t="shared" si="1"/>
        <v>64782386</v>
      </c>
      <c r="O17" s="8">
        <f t="shared" si="2"/>
        <v>489554.68085106381</v>
      </c>
      <c r="P17" s="8">
        <f t="shared" si="3"/>
        <v>335075.82142857142</v>
      </c>
      <c r="Q17" s="21" t="str">
        <f t="shared" si="4"/>
        <v/>
      </c>
    </row>
    <row r="18" spans="1:17" ht="21.75" customHeight="1" x14ac:dyDescent="0.2">
      <c r="A18" s="51">
        <v>46094</v>
      </c>
      <c r="B18" s="52" t="s">
        <v>404</v>
      </c>
      <c r="C18" s="49">
        <v>38548805</v>
      </c>
      <c r="D18" s="49">
        <v>89</v>
      </c>
      <c r="E18" s="49"/>
      <c r="F18" s="49"/>
      <c r="G18" s="49">
        <v>1657999</v>
      </c>
      <c r="H18" s="49">
        <v>718999</v>
      </c>
      <c r="I18" s="49">
        <v>1138998</v>
      </c>
      <c r="J18" s="49">
        <v>16</v>
      </c>
      <c r="K18" s="49"/>
      <c r="L18" s="50"/>
      <c r="M18" s="8">
        <f t="shared" si="0"/>
        <v>3515996</v>
      </c>
      <c r="N18" s="8">
        <f t="shared" si="1"/>
        <v>42064801</v>
      </c>
      <c r="O18" s="8">
        <f t="shared" si="2"/>
        <v>433132.64044943819</v>
      </c>
      <c r="P18" s="8">
        <f t="shared" si="3"/>
        <v>219749.75</v>
      </c>
      <c r="Q18" s="21" t="str">
        <f t="shared" si="4"/>
        <v/>
      </c>
    </row>
    <row r="19" spans="1:17" ht="21.75" customHeight="1" x14ac:dyDescent="0.2">
      <c r="A19" s="51">
        <v>46095</v>
      </c>
      <c r="B19" s="52" t="s">
        <v>405</v>
      </c>
      <c r="C19" s="49">
        <v>40389541</v>
      </c>
      <c r="D19" s="49">
        <v>93</v>
      </c>
      <c r="E19" s="49"/>
      <c r="F19" s="49"/>
      <c r="G19" s="49">
        <v>14086997</v>
      </c>
      <c r="H19" s="49">
        <v>9660998</v>
      </c>
      <c r="I19" s="49">
        <v>9783992</v>
      </c>
      <c r="J19" s="49">
        <v>104</v>
      </c>
      <c r="K19" s="49">
        <v>1515715</v>
      </c>
      <c r="L19" s="50"/>
      <c r="M19" s="8">
        <f t="shared" si="0"/>
        <v>33531987</v>
      </c>
      <c r="N19" s="8">
        <f t="shared" si="1"/>
        <v>73921528</v>
      </c>
      <c r="O19" s="8">
        <f t="shared" si="2"/>
        <v>434296.13978494622</v>
      </c>
      <c r="P19" s="8">
        <f t="shared" si="3"/>
        <v>322422.95192307694</v>
      </c>
      <c r="Q19" s="21" t="str">
        <f t="shared" si="4"/>
        <v/>
      </c>
    </row>
    <row r="20" spans="1:17" ht="21.75" customHeight="1" x14ac:dyDescent="0.2">
      <c r="A20" s="47">
        <v>46096</v>
      </c>
      <c r="B20" s="48" t="s">
        <v>406</v>
      </c>
      <c r="C20" s="49">
        <v>27618269</v>
      </c>
      <c r="D20" s="49">
        <v>71</v>
      </c>
      <c r="E20" s="49"/>
      <c r="F20" s="49"/>
      <c r="G20" s="49">
        <v>9106001</v>
      </c>
      <c r="H20" s="49">
        <v>5302249</v>
      </c>
      <c r="I20" s="49">
        <v>5098995</v>
      </c>
      <c r="J20" s="49">
        <v>69</v>
      </c>
      <c r="K20" s="49">
        <v>650000</v>
      </c>
      <c r="L20" s="50"/>
      <c r="M20" s="8">
        <f t="shared" si="0"/>
        <v>19507245</v>
      </c>
      <c r="N20" s="8">
        <f t="shared" si="1"/>
        <v>47125514</v>
      </c>
      <c r="O20" s="8">
        <f t="shared" si="2"/>
        <v>388989.70422535209</v>
      </c>
      <c r="P20" s="8">
        <f t="shared" si="3"/>
        <v>282713.69565217389</v>
      </c>
      <c r="Q20" s="21" t="str">
        <f t="shared" si="4"/>
        <v/>
      </c>
    </row>
    <row r="21" spans="1:17" ht="21.75" customHeight="1" x14ac:dyDescent="0.2">
      <c r="A21" s="47">
        <v>46097</v>
      </c>
      <c r="B21" s="48" t="s">
        <v>400</v>
      </c>
      <c r="C21" s="49">
        <v>42973319</v>
      </c>
      <c r="D21" s="49">
        <v>97</v>
      </c>
      <c r="E21" s="49"/>
      <c r="F21" s="49"/>
      <c r="G21" s="49">
        <v>10416490</v>
      </c>
      <c r="H21" s="49">
        <v>4095997</v>
      </c>
      <c r="I21" s="49">
        <v>3743998</v>
      </c>
      <c r="J21" s="49">
        <v>50</v>
      </c>
      <c r="K21" s="49">
        <v>1403600</v>
      </c>
      <c r="L21" s="50"/>
      <c r="M21" s="8">
        <f t="shared" si="0"/>
        <v>18256485</v>
      </c>
      <c r="N21" s="8">
        <f t="shared" si="1"/>
        <v>61229804</v>
      </c>
      <c r="O21" s="8">
        <f t="shared" si="2"/>
        <v>443023.90721649484</v>
      </c>
      <c r="P21" s="8">
        <f t="shared" si="3"/>
        <v>365129.7</v>
      </c>
      <c r="Q21" s="21" t="str">
        <f t="shared" si="4"/>
        <v/>
      </c>
    </row>
    <row r="22" spans="1:17" ht="21.75" customHeight="1" x14ac:dyDescent="0.2">
      <c r="A22" s="47">
        <v>46098</v>
      </c>
      <c r="B22" s="48" t="s">
        <v>401</v>
      </c>
      <c r="C22" s="49">
        <v>37340768</v>
      </c>
      <c r="D22" s="49">
        <v>86</v>
      </c>
      <c r="E22" s="49"/>
      <c r="F22" s="49"/>
      <c r="G22" s="49">
        <v>8597098</v>
      </c>
      <c r="H22" s="49">
        <v>5075498</v>
      </c>
      <c r="I22" s="49">
        <v>2844401</v>
      </c>
      <c r="J22" s="49">
        <v>54</v>
      </c>
      <c r="K22" s="49">
        <v>1028800</v>
      </c>
      <c r="L22" s="50"/>
      <c r="M22" s="8">
        <f t="shared" si="0"/>
        <v>16516997</v>
      </c>
      <c r="N22" s="8">
        <f t="shared" si="1"/>
        <v>53857765</v>
      </c>
      <c r="O22" s="8">
        <f t="shared" si="2"/>
        <v>434194.97674418607</v>
      </c>
      <c r="P22" s="8">
        <f t="shared" si="3"/>
        <v>305870.31481481483</v>
      </c>
      <c r="Q22" s="21" t="str">
        <f t="shared" si="4"/>
        <v/>
      </c>
    </row>
    <row r="23" spans="1:17" ht="21.75" customHeight="1" x14ac:dyDescent="0.2">
      <c r="A23" s="47">
        <v>46099</v>
      </c>
      <c r="B23" s="48" t="s">
        <v>402</v>
      </c>
      <c r="C23" s="49">
        <v>49750237</v>
      </c>
      <c r="D23" s="49">
        <v>91</v>
      </c>
      <c r="E23" s="49"/>
      <c r="F23" s="49"/>
      <c r="G23" s="49">
        <v>6939454</v>
      </c>
      <c r="H23" s="49">
        <v>5695006</v>
      </c>
      <c r="I23" s="49">
        <v>5374996</v>
      </c>
      <c r="J23" s="49">
        <v>67</v>
      </c>
      <c r="K23" s="49">
        <v>2577122</v>
      </c>
      <c r="L23" s="50"/>
      <c r="M23" s="8">
        <f t="shared" si="0"/>
        <v>18009456</v>
      </c>
      <c r="N23" s="8">
        <f t="shared" si="1"/>
        <v>67759693</v>
      </c>
      <c r="O23" s="8">
        <f t="shared" si="2"/>
        <v>546705.90109890106</v>
      </c>
      <c r="P23" s="8">
        <f t="shared" si="3"/>
        <v>268797.85074626864</v>
      </c>
      <c r="Q23" s="21" t="str">
        <f t="shared" si="4"/>
        <v/>
      </c>
    </row>
    <row r="24" spans="1:17" ht="21.75" customHeight="1" x14ac:dyDescent="0.2">
      <c r="A24" s="47">
        <v>46100</v>
      </c>
      <c r="B24" s="48" t="s">
        <v>403</v>
      </c>
      <c r="C24" s="49">
        <v>44649969</v>
      </c>
      <c r="D24" s="49">
        <v>103</v>
      </c>
      <c r="E24" s="49"/>
      <c r="F24" s="49"/>
      <c r="G24" s="49">
        <v>12270609</v>
      </c>
      <c r="H24" s="49">
        <v>3460601</v>
      </c>
      <c r="I24" s="49">
        <v>5612996</v>
      </c>
      <c r="J24" s="49">
        <v>80</v>
      </c>
      <c r="K24" s="49">
        <v>1323601</v>
      </c>
      <c r="L24" s="50"/>
      <c r="M24" s="8">
        <f t="shared" si="0"/>
        <v>21344206</v>
      </c>
      <c r="N24" s="8">
        <f t="shared" si="1"/>
        <v>65994175</v>
      </c>
      <c r="O24" s="8">
        <f t="shared" si="2"/>
        <v>433494.84466019418</v>
      </c>
      <c r="P24" s="8">
        <f t="shared" si="3"/>
        <v>266802.57500000001</v>
      </c>
      <c r="Q24" s="21" t="str">
        <f t="shared" si="4"/>
        <v/>
      </c>
    </row>
    <row r="25" spans="1:17" ht="21.75" customHeight="1" x14ac:dyDescent="0.2">
      <c r="A25" s="51">
        <v>46101</v>
      </c>
      <c r="B25" s="52" t="s">
        <v>404</v>
      </c>
      <c r="C25" s="49">
        <v>40171282</v>
      </c>
      <c r="D25" s="49">
        <v>107</v>
      </c>
      <c r="E25" s="49"/>
      <c r="F25" s="49"/>
      <c r="G25" s="49">
        <v>14094198</v>
      </c>
      <c r="H25" s="49">
        <v>4200001</v>
      </c>
      <c r="I25" s="49">
        <v>4273997</v>
      </c>
      <c r="J25" s="49">
        <v>87</v>
      </c>
      <c r="K25" s="49">
        <v>1308800</v>
      </c>
      <c r="L25" s="50"/>
      <c r="M25" s="8">
        <f t="shared" si="0"/>
        <v>22568196</v>
      </c>
      <c r="N25" s="8">
        <f t="shared" si="1"/>
        <v>62739478</v>
      </c>
      <c r="O25" s="8">
        <f t="shared" si="2"/>
        <v>375432.54205607477</v>
      </c>
      <c r="P25" s="8">
        <f t="shared" si="3"/>
        <v>259404.55172413794</v>
      </c>
      <c r="Q25" s="21" t="str">
        <f t="shared" si="4"/>
        <v/>
      </c>
    </row>
    <row r="26" spans="1:17" ht="21.75" customHeight="1" x14ac:dyDescent="0.2">
      <c r="A26" s="51">
        <v>46102</v>
      </c>
      <c r="B26" s="52" t="s">
        <v>405</v>
      </c>
      <c r="C26" s="49">
        <v>36058674</v>
      </c>
      <c r="D26" s="49">
        <v>90</v>
      </c>
      <c r="E26" s="49"/>
      <c r="F26" s="49"/>
      <c r="G26" s="49">
        <v>15665952</v>
      </c>
      <c r="H26" s="49">
        <v>8029245</v>
      </c>
      <c r="I26" s="49">
        <v>5706000</v>
      </c>
      <c r="J26" s="49">
        <v>92</v>
      </c>
      <c r="K26" s="49">
        <v>2578800</v>
      </c>
      <c r="L26" s="50"/>
      <c r="M26" s="8">
        <f t="shared" si="0"/>
        <v>29401197</v>
      </c>
      <c r="N26" s="8">
        <f t="shared" si="1"/>
        <v>65459871</v>
      </c>
      <c r="O26" s="8">
        <f t="shared" si="2"/>
        <v>400651.93333333335</v>
      </c>
      <c r="P26" s="8">
        <f t="shared" si="3"/>
        <v>319578.22826086957</v>
      </c>
      <c r="Q26" s="21" t="str">
        <f t="shared" si="4"/>
        <v/>
      </c>
    </row>
    <row r="27" spans="1:17" ht="21.75" customHeight="1" x14ac:dyDescent="0.2">
      <c r="A27" s="47">
        <v>46103</v>
      </c>
      <c r="B27" s="48" t="s">
        <v>406</v>
      </c>
      <c r="C27" s="49">
        <v>40342598</v>
      </c>
      <c r="D27" s="49">
        <v>91</v>
      </c>
      <c r="E27" s="49"/>
      <c r="F27" s="49"/>
      <c r="G27" s="49">
        <v>7018503</v>
      </c>
      <c r="H27" s="49">
        <v>5320001</v>
      </c>
      <c r="I27" s="49">
        <v>5124399</v>
      </c>
      <c r="J27" s="49">
        <v>59</v>
      </c>
      <c r="K27" s="49">
        <v>753600</v>
      </c>
      <c r="L27" s="50"/>
      <c r="M27" s="8">
        <f t="shared" si="0"/>
        <v>17462903</v>
      </c>
      <c r="N27" s="8">
        <f t="shared" si="1"/>
        <v>57805501</v>
      </c>
      <c r="O27" s="8">
        <f t="shared" si="2"/>
        <v>443325.25274725276</v>
      </c>
      <c r="P27" s="8">
        <f t="shared" si="3"/>
        <v>295981.40677966102</v>
      </c>
      <c r="Q27" s="21" t="str">
        <f t="shared" si="4"/>
        <v/>
      </c>
    </row>
    <row r="28" spans="1:17" ht="21.75" customHeight="1" x14ac:dyDescent="0.2">
      <c r="A28" s="47">
        <v>46104</v>
      </c>
      <c r="B28" s="48" t="s">
        <v>400</v>
      </c>
      <c r="C28" s="49">
        <v>32734522</v>
      </c>
      <c r="D28" s="49">
        <v>72</v>
      </c>
      <c r="E28" s="49"/>
      <c r="F28" s="49"/>
      <c r="G28" s="49">
        <v>7536000</v>
      </c>
      <c r="H28" s="49">
        <v>1725001</v>
      </c>
      <c r="I28" s="49">
        <v>2832001</v>
      </c>
      <c r="J28" s="49">
        <v>44</v>
      </c>
      <c r="K28" s="49">
        <v>2984990</v>
      </c>
      <c r="L28" s="50"/>
      <c r="M28" s="8">
        <f t="shared" si="0"/>
        <v>12093002</v>
      </c>
      <c r="N28" s="8">
        <f t="shared" si="1"/>
        <v>44827524</v>
      </c>
      <c r="O28" s="8">
        <f t="shared" si="2"/>
        <v>454646.13888888888</v>
      </c>
      <c r="P28" s="8">
        <f t="shared" si="3"/>
        <v>274840.95454545453</v>
      </c>
      <c r="Q28" s="21" t="str">
        <f t="shared" si="4"/>
        <v/>
      </c>
    </row>
    <row r="29" spans="1:17" ht="21.75" customHeight="1" x14ac:dyDescent="0.2">
      <c r="A29" s="47">
        <v>46105</v>
      </c>
      <c r="B29" s="48" t="s">
        <v>401</v>
      </c>
      <c r="C29" s="49">
        <v>45000217</v>
      </c>
      <c r="D29" s="49">
        <v>85</v>
      </c>
      <c r="E29" s="49"/>
      <c r="F29" s="49"/>
      <c r="G29" s="49">
        <v>6024098</v>
      </c>
      <c r="H29" s="49">
        <v>5339497</v>
      </c>
      <c r="I29" s="49">
        <v>1928248</v>
      </c>
      <c r="J29" s="49">
        <v>53</v>
      </c>
      <c r="K29" s="49">
        <v>2908859</v>
      </c>
      <c r="L29" s="50"/>
      <c r="M29" s="8">
        <f t="shared" si="0"/>
        <v>13291843</v>
      </c>
      <c r="N29" s="8">
        <f t="shared" si="1"/>
        <v>58292060</v>
      </c>
      <c r="O29" s="8">
        <f t="shared" si="2"/>
        <v>529414.31764705887</v>
      </c>
      <c r="P29" s="8">
        <f t="shared" si="3"/>
        <v>250789.49056603774</v>
      </c>
      <c r="Q29" s="21" t="str">
        <f t="shared" si="4"/>
        <v/>
      </c>
    </row>
    <row r="30" spans="1:17" ht="21.75" customHeight="1" x14ac:dyDescent="0.2">
      <c r="A30" s="47">
        <v>46106</v>
      </c>
      <c r="B30" s="48" t="s">
        <v>402</v>
      </c>
      <c r="C30" s="49">
        <v>39552441</v>
      </c>
      <c r="D30" s="49">
        <v>98</v>
      </c>
      <c r="E30" s="49"/>
      <c r="F30" s="49"/>
      <c r="G30" s="49">
        <v>6722504</v>
      </c>
      <c r="H30" s="49">
        <v>4296719</v>
      </c>
      <c r="I30" s="49">
        <v>4241003</v>
      </c>
      <c r="J30" s="49">
        <v>54</v>
      </c>
      <c r="K30" s="49">
        <v>3970972</v>
      </c>
      <c r="L30" s="50"/>
      <c r="M30" s="8">
        <f t="shared" si="0"/>
        <v>15260226</v>
      </c>
      <c r="N30" s="8">
        <f t="shared" si="1"/>
        <v>54812667</v>
      </c>
      <c r="O30" s="8">
        <f t="shared" si="2"/>
        <v>403596.3367346939</v>
      </c>
      <c r="P30" s="8">
        <f t="shared" si="3"/>
        <v>282596.77777777775</v>
      </c>
      <c r="Q30" s="21" t="str">
        <f t="shared" si="4"/>
        <v/>
      </c>
    </row>
    <row r="31" spans="1:17" ht="21.75" customHeight="1" x14ac:dyDescent="0.2">
      <c r="A31" s="47">
        <v>46107</v>
      </c>
      <c r="B31" s="48" t="s">
        <v>403</v>
      </c>
      <c r="C31" s="49">
        <v>40509109</v>
      </c>
      <c r="D31" s="49">
        <v>103</v>
      </c>
      <c r="E31" s="49"/>
      <c r="F31" s="49"/>
      <c r="G31" s="49">
        <v>8690154</v>
      </c>
      <c r="H31" s="49">
        <v>6081899</v>
      </c>
      <c r="I31" s="49">
        <v>3386997</v>
      </c>
      <c r="J31" s="49">
        <v>63</v>
      </c>
      <c r="K31" s="49">
        <v>1445466</v>
      </c>
      <c r="L31" s="50"/>
      <c r="M31" s="8">
        <f t="shared" si="0"/>
        <v>18159050</v>
      </c>
      <c r="N31" s="8">
        <f t="shared" si="1"/>
        <v>58668159</v>
      </c>
      <c r="O31" s="8">
        <f t="shared" si="2"/>
        <v>393292.32038834953</v>
      </c>
      <c r="P31" s="8">
        <f t="shared" si="3"/>
        <v>288238.88888888888</v>
      </c>
      <c r="Q31" s="21" t="str">
        <f t="shared" si="4"/>
        <v/>
      </c>
    </row>
    <row r="32" spans="1:17" ht="21.75" customHeight="1" x14ac:dyDescent="0.2">
      <c r="A32" s="51">
        <v>46108</v>
      </c>
      <c r="B32" s="52" t="s">
        <v>404</v>
      </c>
      <c r="C32" s="49">
        <v>32768011</v>
      </c>
      <c r="D32" s="49">
        <v>88</v>
      </c>
      <c r="E32" s="49"/>
      <c r="F32" s="49"/>
      <c r="G32" s="49">
        <v>6261846</v>
      </c>
      <c r="H32" s="49">
        <v>9076846</v>
      </c>
      <c r="I32" s="49">
        <v>3529798</v>
      </c>
      <c r="J32" s="49">
        <v>75</v>
      </c>
      <c r="K32" s="49"/>
      <c r="L32" s="50"/>
      <c r="M32" s="8">
        <f t="shared" si="0"/>
        <v>18868490</v>
      </c>
      <c r="N32" s="8">
        <f t="shared" si="1"/>
        <v>51636501</v>
      </c>
      <c r="O32" s="8">
        <f t="shared" si="2"/>
        <v>372363.76136363635</v>
      </c>
      <c r="P32" s="8">
        <f t="shared" si="3"/>
        <v>251579.86666666667</v>
      </c>
      <c r="Q32" s="21" t="str">
        <f t="shared" si="4"/>
        <v/>
      </c>
    </row>
    <row r="33" spans="1:17" ht="21.75" customHeight="1" x14ac:dyDescent="0.2">
      <c r="A33" s="51">
        <v>46109</v>
      </c>
      <c r="B33" s="52" t="s">
        <v>405</v>
      </c>
      <c r="C33" s="49">
        <v>36169902</v>
      </c>
      <c r="D33" s="49">
        <v>92</v>
      </c>
      <c r="E33" s="49"/>
      <c r="F33" s="49"/>
      <c r="G33" s="49">
        <v>11611618</v>
      </c>
      <c r="H33" s="49">
        <v>5503352</v>
      </c>
      <c r="I33" s="49">
        <v>6679400</v>
      </c>
      <c r="J33" s="49">
        <v>90</v>
      </c>
      <c r="K33" s="49">
        <v>1101879</v>
      </c>
      <c r="L33" s="50"/>
      <c r="M33" s="8">
        <f t="shared" si="0"/>
        <v>23794370</v>
      </c>
      <c r="N33" s="8">
        <f t="shared" si="1"/>
        <v>59964272</v>
      </c>
      <c r="O33" s="8">
        <f t="shared" si="2"/>
        <v>393151.10869565216</v>
      </c>
      <c r="P33" s="8">
        <f t="shared" si="3"/>
        <v>264381.88888888888</v>
      </c>
      <c r="Q33" s="21" t="str">
        <f t="shared" si="4"/>
        <v/>
      </c>
    </row>
    <row r="34" spans="1:17" ht="21.75" customHeight="1" x14ac:dyDescent="0.2">
      <c r="A34" s="47">
        <v>46110</v>
      </c>
      <c r="B34" s="48" t="s">
        <v>406</v>
      </c>
      <c r="C34" s="49">
        <v>32717538</v>
      </c>
      <c r="D34" s="49">
        <v>88</v>
      </c>
      <c r="E34" s="49"/>
      <c r="F34" s="49"/>
      <c r="G34" s="49">
        <v>9748599</v>
      </c>
      <c r="H34" s="49">
        <v>1635001</v>
      </c>
      <c r="I34" s="49">
        <v>4957501</v>
      </c>
      <c r="J34" s="49">
        <v>53</v>
      </c>
      <c r="K34" s="49">
        <v>324074</v>
      </c>
      <c r="L34" s="50"/>
      <c r="M34" s="8">
        <f t="shared" si="0"/>
        <v>16341101</v>
      </c>
      <c r="N34" s="8">
        <f t="shared" si="1"/>
        <v>49058639</v>
      </c>
      <c r="O34" s="8">
        <f t="shared" si="2"/>
        <v>371790.20454545453</v>
      </c>
      <c r="P34" s="8">
        <f t="shared" si="3"/>
        <v>308322.66037735849</v>
      </c>
      <c r="Q34" s="21" t="str">
        <f t="shared" si="4"/>
        <v/>
      </c>
    </row>
    <row r="35" spans="1:17" ht="21.75" customHeight="1" x14ac:dyDescent="0.2">
      <c r="A35" s="47">
        <v>46111</v>
      </c>
      <c r="B35" s="48" t="s">
        <v>400</v>
      </c>
      <c r="C35" s="49">
        <v>43893635</v>
      </c>
      <c r="D35" s="49">
        <v>77</v>
      </c>
      <c r="E35" s="49"/>
      <c r="F35" s="49"/>
      <c r="G35" s="49">
        <v>8328011</v>
      </c>
      <c r="H35" s="49">
        <v>2753502</v>
      </c>
      <c r="I35" s="49">
        <v>2520998</v>
      </c>
      <c r="J35" s="49">
        <v>41</v>
      </c>
      <c r="K35" s="49">
        <v>2331096</v>
      </c>
      <c r="L35" s="50"/>
      <c r="M35" s="8">
        <f t="shared" si="0"/>
        <v>13602511</v>
      </c>
      <c r="N35" s="8">
        <f t="shared" si="1"/>
        <v>57496146</v>
      </c>
      <c r="O35" s="8">
        <f t="shared" si="2"/>
        <v>570047.20779220783</v>
      </c>
      <c r="P35" s="8">
        <f t="shared" si="3"/>
        <v>331768.56097560975</v>
      </c>
      <c r="Q35" s="21" t="str">
        <f t="shared" si="4"/>
        <v/>
      </c>
    </row>
    <row r="36" spans="1:17" ht="18.75" customHeight="1" x14ac:dyDescent="0.2">
      <c r="A36" s="115">
        <v>46112</v>
      </c>
      <c r="B36" t="s">
        <v>401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1202999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413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46113</v>
      </c>
      <c r="B6" s="48" t="s">
        <v>402</v>
      </c>
      <c r="C6" s="49">
        <v>30806965</v>
      </c>
      <c r="D6" s="49">
        <v>72</v>
      </c>
      <c r="E6" s="49"/>
      <c r="F6" s="49"/>
      <c r="G6" s="49">
        <v>9022459</v>
      </c>
      <c r="H6" s="49">
        <v>2192253</v>
      </c>
      <c r="I6" s="49">
        <v>2027501</v>
      </c>
      <c r="J6" s="49">
        <v>43</v>
      </c>
      <c r="K6" s="49">
        <v>2265200</v>
      </c>
      <c r="L6" s="50"/>
      <c r="M6" s="8">
        <f t="shared" ref="M6:M35" si="0">IF(SUM(G6:I6)&gt;0,SUM(G6:I6),"")</f>
        <v>13242213</v>
      </c>
      <c r="N6" s="8">
        <f t="shared" ref="N6:N35" si="1">IF(N(C6)+N(M6)&gt;0,N(C6)+N(M6),"")</f>
        <v>44049178</v>
      </c>
      <c r="O6" s="8">
        <f t="shared" ref="O6:O35" si="2">IFERROR(IF(D6&gt;0,C6/D6,""),"")</f>
        <v>427874.51388888888</v>
      </c>
      <c r="P6" s="8">
        <f t="shared" ref="P6:P35" si="3">IFERROR(IF(J6&gt;0,M6/J6,""),"")</f>
        <v>307958.4418604651</v>
      </c>
      <c r="Q6" s="21" t="str">
        <f t="shared" ref="Q6:Q35" si="4">IFERROR(IF(E6&gt;0,D6/E6,""),"")</f>
        <v/>
      </c>
    </row>
    <row r="7" spans="1:17" ht="21.75" customHeight="1" x14ac:dyDescent="0.2">
      <c r="A7" s="47">
        <v>46114</v>
      </c>
      <c r="B7" s="48" t="s">
        <v>403</v>
      </c>
      <c r="C7" s="49">
        <v>38234295</v>
      </c>
      <c r="D7" s="49">
        <v>95</v>
      </c>
      <c r="E7" s="49"/>
      <c r="F7" s="49"/>
      <c r="G7" s="49">
        <v>12231952</v>
      </c>
      <c r="H7" s="49">
        <v>3749748</v>
      </c>
      <c r="I7" s="49">
        <v>4128022</v>
      </c>
      <c r="J7" s="49">
        <v>58</v>
      </c>
      <c r="K7" s="49">
        <v>462963</v>
      </c>
      <c r="L7" s="50"/>
      <c r="M7" s="8">
        <f t="shared" si="0"/>
        <v>20109722</v>
      </c>
      <c r="N7" s="8">
        <f t="shared" si="1"/>
        <v>58344017</v>
      </c>
      <c r="O7" s="8">
        <f t="shared" si="2"/>
        <v>402466.26315789472</v>
      </c>
      <c r="P7" s="8">
        <f t="shared" si="3"/>
        <v>346719.3448275862</v>
      </c>
      <c r="Q7" s="21" t="str">
        <f t="shared" si="4"/>
        <v/>
      </c>
    </row>
    <row r="8" spans="1:17" ht="21.75" customHeight="1" x14ac:dyDescent="0.2">
      <c r="A8" s="47">
        <v>46115</v>
      </c>
      <c r="B8" s="48" t="s">
        <v>404</v>
      </c>
      <c r="C8" s="49">
        <v>35884714</v>
      </c>
      <c r="D8" s="49">
        <v>82</v>
      </c>
      <c r="E8" s="49"/>
      <c r="F8" s="49"/>
      <c r="G8" s="49">
        <v>7930496</v>
      </c>
      <c r="H8" s="49">
        <v>3549999</v>
      </c>
      <c r="I8" s="49">
        <v>4440498</v>
      </c>
      <c r="J8" s="49">
        <v>58</v>
      </c>
      <c r="K8" s="49">
        <v>3225987</v>
      </c>
      <c r="L8" s="50"/>
      <c r="M8" s="8">
        <f t="shared" si="0"/>
        <v>15920993</v>
      </c>
      <c r="N8" s="8">
        <f t="shared" si="1"/>
        <v>51805707</v>
      </c>
      <c r="O8" s="8">
        <f t="shared" si="2"/>
        <v>437618.46341463417</v>
      </c>
      <c r="P8" s="8">
        <f t="shared" si="3"/>
        <v>274499.87931034481</v>
      </c>
      <c r="Q8" s="21" t="str">
        <f t="shared" si="4"/>
        <v/>
      </c>
    </row>
    <row r="9" spans="1:17" ht="21.75" customHeight="1" x14ac:dyDescent="0.2">
      <c r="A9" s="47">
        <v>46116</v>
      </c>
      <c r="B9" s="48" t="s">
        <v>405</v>
      </c>
      <c r="C9" s="49">
        <v>25367074</v>
      </c>
      <c r="D9" s="49">
        <v>76</v>
      </c>
      <c r="E9" s="49"/>
      <c r="F9" s="49"/>
      <c r="G9" s="49">
        <v>6754499</v>
      </c>
      <c r="H9" s="49">
        <v>6242500</v>
      </c>
      <c r="I9" s="49">
        <v>3398498</v>
      </c>
      <c r="J9" s="49">
        <v>56</v>
      </c>
      <c r="K9" s="49"/>
      <c r="L9" s="50"/>
      <c r="M9" s="8">
        <f t="shared" si="0"/>
        <v>16395497</v>
      </c>
      <c r="N9" s="8">
        <f t="shared" si="1"/>
        <v>41762571</v>
      </c>
      <c r="O9" s="8">
        <f t="shared" si="2"/>
        <v>333777.28947368421</v>
      </c>
      <c r="P9" s="8">
        <f t="shared" si="3"/>
        <v>292776.73214285716</v>
      </c>
      <c r="Q9" s="21" t="str">
        <f t="shared" si="4"/>
        <v/>
      </c>
    </row>
    <row r="10" spans="1:17" ht="21.75" customHeight="1" x14ac:dyDescent="0.2">
      <c r="A10" s="47">
        <v>46117</v>
      </c>
      <c r="B10" s="48" t="s">
        <v>406</v>
      </c>
      <c r="C10" s="49">
        <v>31838202</v>
      </c>
      <c r="D10" s="49">
        <v>81</v>
      </c>
      <c r="E10" s="49"/>
      <c r="F10" s="49"/>
      <c r="G10" s="49">
        <v>12181008</v>
      </c>
      <c r="H10" s="49">
        <v>2381002</v>
      </c>
      <c r="I10" s="49">
        <v>3736497</v>
      </c>
      <c r="J10" s="49">
        <v>54</v>
      </c>
      <c r="K10" s="49">
        <v>753600</v>
      </c>
      <c r="L10" s="50"/>
      <c r="M10" s="8">
        <f t="shared" si="0"/>
        <v>18298507</v>
      </c>
      <c r="N10" s="8">
        <f t="shared" si="1"/>
        <v>50136709</v>
      </c>
      <c r="O10" s="8">
        <f t="shared" si="2"/>
        <v>393064.22222222225</v>
      </c>
      <c r="P10" s="8">
        <f t="shared" si="3"/>
        <v>338861.24074074073</v>
      </c>
      <c r="Q10" s="21" t="str">
        <f t="shared" si="4"/>
        <v/>
      </c>
    </row>
    <row r="11" spans="1:17" ht="21.75" customHeight="1" x14ac:dyDescent="0.2">
      <c r="A11" s="51">
        <v>46118</v>
      </c>
      <c r="B11" s="52" t="s">
        <v>400</v>
      </c>
      <c r="C11" s="49">
        <v>40785526</v>
      </c>
      <c r="D11" s="49">
        <v>83</v>
      </c>
      <c r="E11" s="49"/>
      <c r="F11" s="49"/>
      <c r="G11" s="49">
        <v>6575255</v>
      </c>
      <c r="H11" s="49">
        <v>3261100</v>
      </c>
      <c r="I11" s="49">
        <v>2384500</v>
      </c>
      <c r="J11" s="49">
        <v>42</v>
      </c>
      <c r="K11" s="49">
        <v>1710281</v>
      </c>
      <c r="L11" s="50"/>
      <c r="M11" s="8">
        <f t="shared" si="0"/>
        <v>12220855</v>
      </c>
      <c r="N11" s="8">
        <f t="shared" si="1"/>
        <v>53006381</v>
      </c>
      <c r="O11" s="8">
        <f t="shared" si="2"/>
        <v>491391.8795180723</v>
      </c>
      <c r="P11" s="8">
        <f t="shared" si="3"/>
        <v>290972.73809523811</v>
      </c>
      <c r="Q11" s="21" t="str">
        <f t="shared" si="4"/>
        <v/>
      </c>
    </row>
    <row r="12" spans="1:17" ht="21.75" customHeight="1" x14ac:dyDescent="0.2">
      <c r="A12" s="51">
        <v>46119</v>
      </c>
      <c r="B12" s="52" t="s">
        <v>401</v>
      </c>
      <c r="C12" s="49">
        <v>41203610</v>
      </c>
      <c r="D12" s="49">
        <v>91</v>
      </c>
      <c r="E12" s="49"/>
      <c r="F12" s="49"/>
      <c r="G12" s="49">
        <v>10137804</v>
      </c>
      <c r="H12" s="49">
        <v>2938501</v>
      </c>
      <c r="I12" s="49">
        <v>2932003</v>
      </c>
      <c r="J12" s="49">
        <v>54</v>
      </c>
      <c r="K12" s="49"/>
      <c r="L12" s="50"/>
      <c r="M12" s="8">
        <f t="shared" si="0"/>
        <v>16008308</v>
      </c>
      <c r="N12" s="8">
        <f t="shared" si="1"/>
        <v>57211918</v>
      </c>
      <c r="O12" s="8">
        <f t="shared" si="2"/>
        <v>452786.92307692306</v>
      </c>
      <c r="P12" s="8">
        <f t="shared" si="3"/>
        <v>296450.14814814815</v>
      </c>
      <c r="Q12" s="21" t="str">
        <f t="shared" si="4"/>
        <v/>
      </c>
    </row>
    <row r="13" spans="1:17" ht="21.75" customHeight="1" x14ac:dyDescent="0.2">
      <c r="A13" s="47">
        <v>46120</v>
      </c>
      <c r="B13" s="48" t="s">
        <v>402</v>
      </c>
      <c r="C13" s="49">
        <v>40000108</v>
      </c>
      <c r="D13" s="49">
        <v>83</v>
      </c>
      <c r="E13" s="49"/>
      <c r="F13" s="49"/>
      <c r="G13" s="49">
        <v>8913601</v>
      </c>
      <c r="H13" s="49">
        <v>4783449</v>
      </c>
      <c r="I13" s="49">
        <v>4538501</v>
      </c>
      <c r="J13" s="49">
        <v>62</v>
      </c>
      <c r="K13" s="49"/>
      <c r="L13" s="50"/>
      <c r="M13" s="8">
        <f t="shared" si="0"/>
        <v>18235551</v>
      </c>
      <c r="N13" s="8">
        <f t="shared" si="1"/>
        <v>58235659</v>
      </c>
      <c r="O13" s="8">
        <f t="shared" si="2"/>
        <v>481929.01204819279</v>
      </c>
      <c r="P13" s="8">
        <f t="shared" si="3"/>
        <v>294121.79032258067</v>
      </c>
      <c r="Q13" s="21" t="str">
        <f t="shared" si="4"/>
        <v/>
      </c>
    </row>
    <row r="14" spans="1:17" ht="21.75" customHeight="1" x14ac:dyDescent="0.2">
      <c r="A14" s="47">
        <v>46121</v>
      </c>
      <c r="B14" s="48" t="s">
        <v>403</v>
      </c>
      <c r="C14" s="49">
        <v>35601100</v>
      </c>
      <c r="D14" s="49">
        <v>86</v>
      </c>
      <c r="E14" s="49"/>
      <c r="F14" s="49"/>
      <c r="G14" s="49">
        <v>7390662</v>
      </c>
      <c r="H14" s="49">
        <v>5753853</v>
      </c>
      <c r="I14" s="49">
        <v>5547001</v>
      </c>
      <c r="J14" s="49">
        <v>67</v>
      </c>
      <c r="K14" s="49">
        <v>1313999</v>
      </c>
      <c r="L14" s="50"/>
      <c r="M14" s="8">
        <f t="shared" si="0"/>
        <v>18691516</v>
      </c>
      <c r="N14" s="8">
        <f t="shared" si="1"/>
        <v>54292616</v>
      </c>
      <c r="O14" s="8">
        <f t="shared" si="2"/>
        <v>413966.27906976745</v>
      </c>
      <c r="P14" s="8">
        <f t="shared" si="3"/>
        <v>278977.85074626864</v>
      </c>
      <c r="Q14" s="21" t="str">
        <f t="shared" si="4"/>
        <v/>
      </c>
    </row>
    <row r="15" spans="1:17" ht="21.75" customHeight="1" x14ac:dyDescent="0.2">
      <c r="A15" s="47">
        <v>46122</v>
      </c>
      <c r="B15" s="48" t="s">
        <v>404</v>
      </c>
      <c r="C15" s="49">
        <v>48445905</v>
      </c>
      <c r="D15" s="49">
        <v>110</v>
      </c>
      <c r="E15" s="49"/>
      <c r="F15" s="49"/>
      <c r="G15" s="49">
        <v>7539002</v>
      </c>
      <c r="H15" s="49">
        <v>5951849</v>
      </c>
      <c r="I15" s="49">
        <v>6840998</v>
      </c>
      <c r="J15" s="49">
        <v>69</v>
      </c>
      <c r="K15" s="49">
        <v>409001</v>
      </c>
      <c r="L15" s="50"/>
      <c r="M15" s="8">
        <f t="shared" si="0"/>
        <v>20331849</v>
      </c>
      <c r="N15" s="8">
        <f t="shared" si="1"/>
        <v>68777754</v>
      </c>
      <c r="O15" s="8">
        <f t="shared" si="2"/>
        <v>440417.31818181818</v>
      </c>
      <c r="P15" s="8">
        <f t="shared" si="3"/>
        <v>294664.47826086957</v>
      </c>
      <c r="Q15" s="21" t="str">
        <f t="shared" si="4"/>
        <v/>
      </c>
    </row>
    <row r="16" spans="1:17" ht="21.75" customHeight="1" x14ac:dyDescent="0.2">
      <c r="A16" s="47">
        <v>46123</v>
      </c>
      <c r="B16" s="48" t="s">
        <v>405</v>
      </c>
      <c r="C16" s="49">
        <v>32748555</v>
      </c>
      <c r="D16" s="49">
        <v>75</v>
      </c>
      <c r="E16" s="49"/>
      <c r="F16" s="49"/>
      <c r="G16" s="49">
        <v>14371001</v>
      </c>
      <c r="H16" s="49">
        <v>4038999</v>
      </c>
      <c r="I16" s="49">
        <v>5318002</v>
      </c>
      <c r="J16" s="49">
        <v>83</v>
      </c>
      <c r="K16" s="49">
        <v>2742400</v>
      </c>
      <c r="L16" s="50"/>
      <c r="M16" s="8">
        <f t="shared" si="0"/>
        <v>23728002</v>
      </c>
      <c r="N16" s="8">
        <f t="shared" si="1"/>
        <v>56476557</v>
      </c>
      <c r="O16" s="8">
        <f t="shared" si="2"/>
        <v>436647.4</v>
      </c>
      <c r="P16" s="8">
        <f t="shared" si="3"/>
        <v>285879.5421686747</v>
      </c>
      <c r="Q16" s="21" t="str">
        <f t="shared" si="4"/>
        <v/>
      </c>
    </row>
    <row r="17" spans="1:17" ht="21.75" customHeight="1" x14ac:dyDescent="0.2">
      <c r="A17" s="47">
        <v>46124</v>
      </c>
      <c r="B17" s="48" t="s">
        <v>406</v>
      </c>
      <c r="C17" s="49">
        <v>27581775</v>
      </c>
      <c r="D17" s="49">
        <v>68</v>
      </c>
      <c r="E17" s="49"/>
      <c r="F17" s="49"/>
      <c r="G17" s="49">
        <v>16226218</v>
      </c>
      <c r="H17" s="49">
        <v>4072001</v>
      </c>
      <c r="I17" s="49">
        <v>3814902</v>
      </c>
      <c r="J17" s="49">
        <v>69</v>
      </c>
      <c r="K17" s="49">
        <v>829999</v>
      </c>
      <c r="L17" s="50"/>
      <c r="M17" s="8">
        <f t="shared" si="0"/>
        <v>24113121</v>
      </c>
      <c r="N17" s="8">
        <f t="shared" si="1"/>
        <v>51694896</v>
      </c>
      <c r="O17" s="8">
        <f t="shared" si="2"/>
        <v>405614.3382352941</v>
      </c>
      <c r="P17" s="8">
        <f t="shared" si="3"/>
        <v>349465.52173913043</v>
      </c>
      <c r="Q17" s="21" t="str">
        <f t="shared" si="4"/>
        <v/>
      </c>
    </row>
    <row r="18" spans="1:17" ht="21.75" customHeight="1" x14ac:dyDescent="0.2">
      <c r="A18" s="51">
        <v>46125</v>
      </c>
      <c r="B18" s="52" t="s">
        <v>400</v>
      </c>
      <c r="C18" s="49">
        <v>43769728</v>
      </c>
      <c r="D18" s="49">
        <v>91</v>
      </c>
      <c r="E18" s="49"/>
      <c r="F18" s="49"/>
      <c r="G18" s="49">
        <v>10303247</v>
      </c>
      <c r="H18" s="49">
        <v>1680001</v>
      </c>
      <c r="I18" s="49">
        <v>2527099</v>
      </c>
      <c r="J18" s="49">
        <v>40</v>
      </c>
      <c r="K18" s="49">
        <v>3082500</v>
      </c>
      <c r="L18" s="50"/>
      <c r="M18" s="8">
        <f t="shared" si="0"/>
        <v>14510347</v>
      </c>
      <c r="N18" s="8">
        <f t="shared" si="1"/>
        <v>58280075</v>
      </c>
      <c r="O18" s="8">
        <f t="shared" si="2"/>
        <v>480986.02197802201</v>
      </c>
      <c r="P18" s="8">
        <f t="shared" si="3"/>
        <v>362758.67499999999</v>
      </c>
      <c r="Q18" s="21" t="str">
        <f t="shared" si="4"/>
        <v/>
      </c>
    </row>
    <row r="19" spans="1:17" ht="21.75" customHeight="1" x14ac:dyDescent="0.2">
      <c r="A19" s="51">
        <v>46126</v>
      </c>
      <c r="B19" s="52" t="s">
        <v>401</v>
      </c>
      <c r="C19" s="49">
        <v>37294564</v>
      </c>
      <c r="D19" s="49">
        <v>80</v>
      </c>
      <c r="E19" s="49"/>
      <c r="F19" s="49"/>
      <c r="G19" s="49">
        <v>13724657</v>
      </c>
      <c r="H19" s="49">
        <v>2573902</v>
      </c>
      <c r="I19" s="49">
        <v>3967905</v>
      </c>
      <c r="J19" s="49">
        <v>55</v>
      </c>
      <c r="K19" s="49">
        <v>2364612</v>
      </c>
      <c r="L19" s="50"/>
      <c r="M19" s="8">
        <f t="shared" si="0"/>
        <v>20266464</v>
      </c>
      <c r="N19" s="8">
        <f t="shared" si="1"/>
        <v>57561028</v>
      </c>
      <c r="O19" s="8">
        <f t="shared" si="2"/>
        <v>466182.05</v>
      </c>
      <c r="P19" s="8">
        <f t="shared" si="3"/>
        <v>368481.16363636364</v>
      </c>
      <c r="Q19" s="21" t="str">
        <f t="shared" si="4"/>
        <v/>
      </c>
    </row>
    <row r="20" spans="1:17" ht="21.75" customHeight="1" x14ac:dyDescent="0.2">
      <c r="A20" s="47">
        <v>46127</v>
      </c>
      <c r="B20" s="48" t="s">
        <v>402</v>
      </c>
      <c r="C20" s="49">
        <v>41811237</v>
      </c>
      <c r="D20" s="49">
        <v>92</v>
      </c>
      <c r="E20" s="49"/>
      <c r="F20" s="49"/>
      <c r="G20" s="49">
        <v>10083114</v>
      </c>
      <c r="H20" s="49">
        <v>1940502</v>
      </c>
      <c r="I20" s="49">
        <v>5556301</v>
      </c>
      <c r="J20" s="49">
        <v>57</v>
      </c>
      <c r="K20" s="49">
        <v>400000</v>
      </c>
      <c r="L20" s="50"/>
      <c r="M20" s="8">
        <f t="shared" si="0"/>
        <v>17579917</v>
      </c>
      <c r="N20" s="8">
        <f t="shared" si="1"/>
        <v>59391154</v>
      </c>
      <c r="O20" s="8">
        <f t="shared" si="2"/>
        <v>454469.96739130432</v>
      </c>
      <c r="P20" s="8">
        <f t="shared" si="3"/>
        <v>308419.59649122809</v>
      </c>
      <c r="Q20" s="21" t="str">
        <f t="shared" si="4"/>
        <v/>
      </c>
    </row>
    <row r="21" spans="1:17" ht="21.75" customHeight="1" x14ac:dyDescent="0.2">
      <c r="A21" s="47">
        <v>46128</v>
      </c>
      <c r="B21" s="48" t="s">
        <v>403</v>
      </c>
      <c r="C21" s="49">
        <v>34108042</v>
      </c>
      <c r="D21" s="49">
        <v>77</v>
      </c>
      <c r="E21" s="49"/>
      <c r="F21" s="49"/>
      <c r="G21" s="49">
        <v>12595359</v>
      </c>
      <c r="H21" s="49">
        <v>2005340</v>
      </c>
      <c r="I21" s="49">
        <v>5939996</v>
      </c>
      <c r="J21" s="49">
        <v>52</v>
      </c>
      <c r="K21" s="49">
        <v>519999</v>
      </c>
      <c r="L21" s="50"/>
      <c r="M21" s="8">
        <f t="shared" si="0"/>
        <v>20540695</v>
      </c>
      <c r="N21" s="8">
        <f t="shared" si="1"/>
        <v>54648737</v>
      </c>
      <c r="O21" s="8">
        <f t="shared" si="2"/>
        <v>442961.5844155844</v>
      </c>
      <c r="P21" s="8">
        <f t="shared" si="3"/>
        <v>395013.36538461538</v>
      </c>
      <c r="Q21" s="21" t="str">
        <f t="shared" si="4"/>
        <v/>
      </c>
    </row>
    <row r="22" spans="1:17" ht="21.75" customHeight="1" x14ac:dyDescent="0.2">
      <c r="A22" s="47">
        <v>46129</v>
      </c>
      <c r="B22" s="48" t="s">
        <v>404</v>
      </c>
      <c r="C22" s="49">
        <v>41750675</v>
      </c>
      <c r="D22" s="49">
        <v>95</v>
      </c>
      <c r="E22" s="49"/>
      <c r="F22" s="49"/>
      <c r="G22" s="49">
        <v>11302255</v>
      </c>
      <c r="H22" s="49">
        <v>3952903</v>
      </c>
      <c r="I22" s="49">
        <v>3747501</v>
      </c>
      <c r="J22" s="49">
        <v>75</v>
      </c>
      <c r="K22" s="49">
        <v>502400</v>
      </c>
      <c r="L22" s="50"/>
      <c r="M22" s="8">
        <f t="shared" si="0"/>
        <v>19002659</v>
      </c>
      <c r="N22" s="8">
        <f t="shared" si="1"/>
        <v>60753334</v>
      </c>
      <c r="O22" s="8">
        <f t="shared" si="2"/>
        <v>439480.78947368421</v>
      </c>
      <c r="P22" s="8">
        <f t="shared" si="3"/>
        <v>253368.78666666665</v>
      </c>
      <c r="Q22" s="21" t="str">
        <f t="shared" si="4"/>
        <v/>
      </c>
    </row>
    <row r="23" spans="1:17" ht="21.75" customHeight="1" x14ac:dyDescent="0.2">
      <c r="A23" s="47">
        <v>46130</v>
      </c>
      <c r="B23" s="48" t="s">
        <v>405</v>
      </c>
      <c r="C23" s="49">
        <v>40305861</v>
      </c>
      <c r="D23" s="49">
        <v>98</v>
      </c>
      <c r="E23" s="49"/>
      <c r="F23" s="49"/>
      <c r="G23" s="49">
        <v>10944354</v>
      </c>
      <c r="H23" s="49">
        <v>4883503</v>
      </c>
      <c r="I23" s="49">
        <v>5477898</v>
      </c>
      <c r="J23" s="49">
        <v>71</v>
      </c>
      <c r="K23" s="49"/>
      <c r="L23" s="50"/>
      <c r="M23" s="8">
        <f t="shared" si="0"/>
        <v>21305755</v>
      </c>
      <c r="N23" s="8">
        <f t="shared" si="1"/>
        <v>61611616</v>
      </c>
      <c r="O23" s="8">
        <f t="shared" si="2"/>
        <v>411284.29591836734</v>
      </c>
      <c r="P23" s="8">
        <f t="shared" si="3"/>
        <v>300081.05633802817</v>
      </c>
      <c r="Q23" s="21" t="str">
        <f t="shared" si="4"/>
        <v/>
      </c>
    </row>
    <row r="24" spans="1:17" ht="21.75" customHeight="1" x14ac:dyDescent="0.2">
      <c r="A24" s="47">
        <v>46131</v>
      </c>
      <c r="B24" s="48" t="s">
        <v>406</v>
      </c>
      <c r="C24" s="49">
        <v>40803576</v>
      </c>
      <c r="D24" s="49">
        <v>81</v>
      </c>
      <c r="E24" s="49"/>
      <c r="F24" s="49"/>
      <c r="G24" s="49">
        <v>13679597</v>
      </c>
      <c r="H24" s="49">
        <v>2844001</v>
      </c>
      <c r="I24" s="49">
        <v>5170525</v>
      </c>
      <c r="J24" s="49">
        <v>64</v>
      </c>
      <c r="K24" s="49">
        <v>686400</v>
      </c>
      <c r="L24" s="50"/>
      <c r="M24" s="8">
        <f t="shared" si="0"/>
        <v>21694123</v>
      </c>
      <c r="N24" s="8">
        <f t="shared" si="1"/>
        <v>62497699</v>
      </c>
      <c r="O24" s="8">
        <f t="shared" si="2"/>
        <v>503747.85185185185</v>
      </c>
      <c r="P24" s="8">
        <f t="shared" si="3"/>
        <v>338970.671875</v>
      </c>
      <c r="Q24" s="21" t="str">
        <f t="shared" si="4"/>
        <v/>
      </c>
    </row>
    <row r="25" spans="1:17" ht="21.75" customHeight="1" x14ac:dyDescent="0.2">
      <c r="A25" s="51">
        <v>46132</v>
      </c>
      <c r="B25" s="52" t="s">
        <v>400</v>
      </c>
      <c r="C25" s="49">
        <v>42438632</v>
      </c>
      <c r="D25" s="49">
        <v>78</v>
      </c>
      <c r="E25" s="49"/>
      <c r="F25" s="49"/>
      <c r="G25" s="49">
        <v>10407616</v>
      </c>
      <c r="H25" s="49">
        <v>3405004</v>
      </c>
      <c r="I25" s="49">
        <v>3120902</v>
      </c>
      <c r="J25" s="49">
        <v>56</v>
      </c>
      <c r="K25" s="49"/>
      <c r="L25" s="50"/>
      <c r="M25" s="8">
        <f t="shared" si="0"/>
        <v>16933522</v>
      </c>
      <c r="N25" s="8">
        <f t="shared" si="1"/>
        <v>59372154</v>
      </c>
      <c r="O25" s="8">
        <f t="shared" si="2"/>
        <v>544085.02564102563</v>
      </c>
      <c r="P25" s="8">
        <f t="shared" si="3"/>
        <v>302384.32142857142</v>
      </c>
      <c r="Q25" s="21" t="str">
        <f t="shared" si="4"/>
        <v/>
      </c>
    </row>
    <row r="26" spans="1:17" ht="21.75" customHeight="1" x14ac:dyDescent="0.2">
      <c r="A26" s="51">
        <v>46133</v>
      </c>
      <c r="B26" s="52" t="s">
        <v>401</v>
      </c>
      <c r="C26" s="49">
        <v>44615945</v>
      </c>
      <c r="D26" s="49">
        <v>94</v>
      </c>
      <c r="E26" s="49"/>
      <c r="F26" s="49"/>
      <c r="G26" s="49">
        <v>25164390</v>
      </c>
      <c r="H26" s="49">
        <v>4268497</v>
      </c>
      <c r="I26" s="49">
        <v>6557975</v>
      </c>
      <c r="J26" s="49">
        <v>73</v>
      </c>
      <c r="K26" s="49">
        <v>1496430</v>
      </c>
      <c r="L26" s="50"/>
      <c r="M26" s="8">
        <f t="shared" si="0"/>
        <v>35990862</v>
      </c>
      <c r="N26" s="8">
        <f t="shared" si="1"/>
        <v>80606807</v>
      </c>
      <c r="O26" s="8">
        <f t="shared" si="2"/>
        <v>474637.71276595746</v>
      </c>
      <c r="P26" s="8">
        <f t="shared" si="3"/>
        <v>493025.50684931508</v>
      </c>
      <c r="Q26" s="21" t="str">
        <f t="shared" si="4"/>
        <v/>
      </c>
    </row>
    <row r="27" spans="1:17" ht="21.75" customHeight="1" x14ac:dyDescent="0.2">
      <c r="A27" s="47">
        <v>46134</v>
      </c>
      <c r="B27" s="48" t="s">
        <v>402</v>
      </c>
      <c r="C27" s="49">
        <v>46968036</v>
      </c>
      <c r="D27" s="49">
        <v>91</v>
      </c>
      <c r="E27" s="49"/>
      <c r="F27" s="49"/>
      <c r="G27" s="49">
        <v>9925701</v>
      </c>
      <c r="H27" s="49">
        <v>4895001</v>
      </c>
      <c r="I27" s="49">
        <v>2419499</v>
      </c>
      <c r="J27" s="49">
        <v>54</v>
      </c>
      <c r="K27" s="49">
        <v>1228800</v>
      </c>
      <c r="L27" s="50"/>
      <c r="M27" s="8">
        <f t="shared" si="0"/>
        <v>17240201</v>
      </c>
      <c r="N27" s="8">
        <f t="shared" si="1"/>
        <v>64208237</v>
      </c>
      <c r="O27" s="8">
        <f t="shared" si="2"/>
        <v>516132.26373626373</v>
      </c>
      <c r="P27" s="8">
        <f t="shared" si="3"/>
        <v>319262.98148148146</v>
      </c>
      <c r="Q27" s="21" t="str">
        <f t="shared" si="4"/>
        <v/>
      </c>
    </row>
    <row r="28" spans="1:17" ht="21.75" customHeight="1" x14ac:dyDescent="0.2">
      <c r="A28" s="47">
        <v>46135</v>
      </c>
      <c r="B28" s="48" t="s">
        <v>403</v>
      </c>
      <c r="C28" s="49">
        <v>48506914</v>
      </c>
      <c r="D28" s="49">
        <v>99</v>
      </c>
      <c r="E28" s="49"/>
      <c r="F28" s="49"/>
      <c r="G28" s="49">
        <v>12962706</v>
      </c>
      <c r="H28" s="49">
        <v>5777007</v>
      </c>
      <c r="I28" s="49">
        <v>4969909</v>
      </c>
      <c r="J28" s="49">
        <v>82</v>
      </c>
      <c r="K28" s="49">
        <v>1828800</v>
      </c>
      <c r="L28" s="50"/>
      <c r="M28" s="8">
        <f t="shared" si="0"/>
        <v>23709622</v>
      </c>
      <c r="N28" s="8">
        <f t="shared" si="1"/>
        <v>72216536</v>
      </c>
      <c r="O28" s="8">
        <f t="shared" si="2"/>
        <v>489968.82828282827</v>
      </c>
      <c r="P28" s="8">
        <f t="shared" si="3"/>
        <v>289141.73170731706</v>
      </c>
      <c r="Q28" s="21" t="str">
        <f t="shared" si="4"/>
        <v/>
      </c>
    </row>
    <row r="29" spans="1:17" ht="21.75" customHeight="1" x14ac:dyDescent="0.2">
      <c r="A29" s="47">
        <v>46136</v>
      </c>
      <c r="B29" s="48" t="s">
        <v>404</v>
      </c>
      <c r="C29" s="49">
        <v>44193675</v>
      </c>
      <c r="D29" s="49">
        <v>102</v>
      </c>
      <c r="E29" s="49"/>
      <c r="F29" s="49"/>
      <c r="G29" s="49">
        <v>14004011</v>
      </c>
      <c r="H29" s="49">
        <v>5472501</v>
      </c>
      <c r="I29" s="49">
        <v>8106499</v>
      </c>
      <c r="J29" s="49">
        <v>90</v>
      </c>
      <c r="K29" s="49">
        <v>1142400</v>
      </c>
      <c r="L29" s="50"/>
      <c r="M29" s="8">
        <f t="shared" si="0"/>
        <v>27583011</v>
      </c>
      <c r="N29" s="8">
        <f t="shared" si="1"/>
        <v>71776686</v>
      </c>
      <c r="O29" s="8">
        <f t="shared" si="2"/>
        <v>433271.32352941175</v>
      </c>
      <c r="P29" s="8">
        <f t="shared" si="3"/>
        <v>306477.90000000002</v>
      </c>
      <c r="Q29" s="21" t="str">
        <f t="shared" si="4"/>
        <v/>
      </c>
    </row>
    <row r="30" spans="1:17" ht="21.75" customHeight="1" x14ac:dyDescent="0.2">
      <c r="A30" s="47">
        <v>46137</v>
      </c>
      <c r="B30" s="48" t="s">
        <v>405</v>
      </c>
      <c r="C30" s="49">
        <v>47978218</v>
      </c>
      <c r="D30" s="49">
        <v>108</v>
      </c>
      <c r="E30" s="49"/>
      <c r="F30" s="49"/>
      <c r="G30" s="49">
        <v>10855847</v>
      </c>
      <c r="H30" s="49">
        <v>6140000</v>
      </c>
      <c r="I30" s="49">
        <v>5182513</v>
      </c>
      <c r="J30" s="49">
        <v>86</v>
      </c>
      <c r="K30" s="49">
        <v>1151222</v>
      </c>
      <c r="L30" s="50"/>
      <c r="M30" s="8">
        <f t="shared" si="0"/>
        <v>22178360</v>
      </c>
      <c r="N30" s="8">
        <f t="shared" si="1"/>
        <v>70156578</v>
      </c>
      <c r="O30" s="8">
        <f t="shared" si="2"/>
        <v>444242.75925925927</v>
      </c>
      <c r="P30" s="8">
        <f t="shared" si="3"/>
        <v>257887.90697674418</v>
      </c>
      <c r="Q30" s="21" t="str">
        <f t="shared" si="4"/>
        <v/>
      </c>
    </row>
    <row r="31" spans="1:17" ht="21.75" customHeight="1" x14ac:dyDescent="0.2">
      <c r="A31" s="47">
        <v>46138</v>
      </c>
      <c r="B31" s="48" t="s">
        <v>406</v>
      </c>
      <c r="C31" s="49">
        <v>24146432</v>
      </c>
      <c r="D31" s="49">
        <v>56</v>
      </c>
      <c r="E31" s="49"/>
      <c r="F31" s="49"/>
      <c r="G31" s="49">
        <v>12397157</v>
      </c>
      <c r="H31" s="49">
        <v>3882898</v>
      </c>
      <c r="I31" s="49"/>
      <c r="J31" s="49">
        <v>49</v>
      </c>
      <c r="K31" s="49"/>
      <c r="L31" s="50"/>
      <c r="M31" s="8">
        <f t="shared" si="0"/>
        <v>16280055</v>
      </c>
      <c r="N31" s="8">
        <f t="shared" si="1"/>
        <v>40426487</v>
      </c>
      <c r="O31" s="8">
        <f t="shared" si="2"/>
        <v>431186.28571428574</v>
      </c>
      <c r="P31" s="8">
        <f t="shared" si="3"/>
        <v>332246.02040816325</v>
      </c>
      <c r="Q31" s="21" t="str">
        <f t="shared" si="4"/>
        <v/>
      </c>
    </row>
    <row r="32" spans="1:17" ht="21.75" customHeight="1" x14ac:dyDescent="0.2">
      <c r="A32" s="51">
        <v>46139</v>
      </c>
      <c r="B32" s="52" t="s">
        <v>400</v>
      </c>
      <c r="C32" s="49">
        <v>30229599</v>
      </c>
      <c r="D32" s="49">
        <v>69</v>
      </c>
      <c r="E32" s="49"/>
      <c r="F32" s="49"/>
      <c r="G32" s="49">
        <v>12240260</v>
      </c>
      <c r="H32" s="49">
        <v>1611001</v>
      </c>
      <c r="I32" s="49">
        <v>4888503</v>
      </c>
      <c r="J32" s="49">
        <v>58</v>
      </c>
      <c r="K32" s="49">
        <v>1309258</v>
      </c>
      <c r="L32" s="50"/>
      <c r="M32" s="8">
        <f t="shared" si="0"/>
        <v>18739764</v>
      </c>
      <c r="N32" s="8">
        <f t="shared" si="1"/>
        <v>48969363</v>
      </c>
      <c r="O32" s="8">
        <f t="shared" si="2"/>
        <v>438110.13043478259</v>
      </c>
      <c r="P32" s="8">
        <f t="shared" si="3"/>
        <v>323099.37931034481</v>
      </c>
      <c r="Q32" s="21" t="str">
        <f t="shared" si="4"/>
        <v/>
      </c>
    </row>
    <row r="33" spans="1:17" ht="21.75" customHeight="1" x14ac:dyDescent="0.2">
      <c r="A33" s="51">
        <v>46140</v>
      </c>
      <c r="B33" s="52" t="s">
        <v>401</v>
      </c>
      <c r="C33" s="49">
        <v>41597705</v>
      </c>
      <c r="D33" s="49">
        <v>95</v>
      </c>
      <c r="E33" s="49"/>
      <c r="F33" s="49"/>
      <c r="G33" s="49">
        <v>8980101</v>
      </c>
      <c r="H33" s="49">
        <v>6387498</v>
      </c>
      <c r="I33" s="49">
        <v>3913502</v>
      </c>
      <c r="J33" s="49">
        <v>69</v>
      </c>
      <c r="K33" s="49"/>
      <c r="L33" s="50"/>
      <c r="M33" s="8">
        <f t="shared" si="0"/>
        <v>19281101</v>
      </c>
      <c r="N33" s="8">
        <f t="shared" si="1"/>
        <v>60878806</v>
      </c>
      <c r="O33" s="8">
        <f t="shared" si="2"/>
        <v>437870.57894736843</v>
      </c>
      <c r="P33" s="8">
        <f t="shared" si="3"/>
        <v>279436.24637681158</v>
      </c>
      <c r="Q33" s="21" t="str">
        <f t="shared" si="4"/>
        <v/>
      </c>
    </row>
    <row r="34" spans="1:17" ht="21.75" customHeight="1" x14ac:dyDescent="0.2">
      <c r="A34" s="47">
        <v>46141</v>
      </c>
      <c r="B34" s="48" t="s">
        <v>402</v>
      </c>
      <c r="C34" s="49">
        <v>43139466</v>
      </c>
      <c r="D34" s="49">
        <v>92</v>
      </c>
      <c r="E34" s="49"/>
      <c r="F34" s="49"/>
      <c r="G34" s="49">
        <v>14280514</v>
      </c>
      <c r="H34" s="49">
        <v>5334499</v>
      </c>
      <c r="I34" s="49">
        <v>2967001</v>
      </c>
      <c r="J34" s="49">
        <v>62</v>
      </c>
      <c r="K34" s="49"/>
      <c r="L34" s="50"/>
      <c r="M34" s="8">
        <f t="shared" si="0"/>
        <v>22582014</v>
      </c>
      <c r="N34" s="8">
        <f t="shared" si="1"/>
        <v>65721480</v>
      </c>
      <c r="O34" s="8">
        <f t="shared" si="2"/>
        <v>468907.23913043475</v>
      </c>
      <c r="P34" s="8">
        <f t="shared" si="3"/>
        <v>364226.03225806454</v>
      </c>
      <c r="Q34" s="21" t="str">
        <f t="shared" si="4"/>
        <v/>
      </c>
    </row>
    <row r="35" spans="1:17" ht="21.75" customHeight="1" x14ac:dyDescent="0.2">
      <c r="A35" s="47">
        <v>46142</v>
      </c>
      <c r="B35" s="48" t="s">
        <v>403</v>
      </c>
      <c r="C35" s="49">
        <v>38811455</v>
      </c>
      <c r="D35" s="49">
        <v>89</v>
      </c>
      <c r="E35" s="49"/>
      <c r="F35" s="49"/>
      <c r="G35" s="49">
        <v>6364498</v>
      </c>
      <c r="H35" s="49">
        <v>3359003</v>
      </c>
      <c r="I35" s="49"/>
      <c r="J35" s="49">
        <v>35</v>
      </c>
      <c r="K35" s="49">
        <v>380000</v>
      </c>
      <c r="L35" s="50"/>
      <c r="M35" s="8">
        <f t="shared" si="0"/>
        <v>9723501</v>
      </c>
      <c r="N35" s="8">
        <f t="shared" si="1"/>
        <v>48534956</v>
      </c>
      <c r="O35" s="8">
        <f t="shared" si="2"/>
        <v>436083.76404494385</v>
      </c>
      <c r="P35" s="8">
        <f t="shared" si="3"/>
        <v>277814.3142857143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414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46143</v>
      </c>
      <c r="B6" s="48" t="s">
        <v>404</v>
      </c>
      <c r="C6" s="49">
        <v>26448193</v>
      </c>
      <c r="D6" s="49">
        <v>62</v>
      </c>
      <c r="E6" s="49"/>
      <c r="F6" s="49"/>
      <c r="G6" s="49">
        <v>11333596</v>
      </c>
      <c r="H6" s="49">
        <v>2048998</v>
      </c>
      <c r="I6" s="49"/>
      <c r="J6" s="49">
        <v>42</v>
      </c>
      <c r="K6" s="49"/>
      <c r="L6" s="50"/>
      <c r="M6" s="8">
        <f t="shared" ref="M6:M36" si="0">IF(SUM(G6:I6)&gt;0,SUM(G6:I6),"")</f>
        <v>13382594</v>
      </c>
      <c r="N6" s="8">
        <f t="shared" ref="N6:N36" si="1">IF(N(C6)+N(M6)&gt;0,N(C6)+N(M6),"")</f>
        <v>39830787</v>
      </c>
      <c r="O6" s="8">
        <f t="shared" ref="O6:O36" si="2">IFERROR(IF(D6&gt;0,C6/D6,""),"")</f>
        <v>426583.75806451612</v>
      </c>
      <c r="P6" s="8">
        <f t="shared" ref="P6:P36" si="3">IFERROR(IF(J6&gt;0,M6/J6,""),"")</f>
        <v>318633.19047619047</v>
      </c>
      <c r="Q6" s="21" t="str">
        <f t="shared" ref="Q6:Q36" si="4">IFERROR(IF(E6&gt;0,D6/E6,""),"")</f>
        <v/>
      </c>
    </row>
    <row r="7" spans="1:17" ht="21.75" customHeight="1" x14ac:dyDescent="0.2">
      <c r="A7" s="47">
        <v>46144</v>
      </c>
      <c r="B7" s="48" t="s">
        <v>405</v>
      </c>
      <c r="C7" s="49">
        <v>29385536</v>
      </c>
      <c r="D7" s="49">
        <v>48</v>
      </c>
      <c r="E7" s="49"/>
      <c r="F7" s="49"/>
      <c r="G7" s="49">
        <v>4326200</v>
      </c>
      <c r="H7" s="49">
        <v>4097999</v>
      </c>
      <c r="I7" s="49">
        <v>3458002</v>
      </c>
      <c r="J7" s="49">
        <v>40</v>
      </c>
      <c r="K7" s="49"/>
      <c r="L7" s="50"/>
      <c r="M7" s="8">
        <f t="shared" si="0"/>
        <v>11882201</v>
      </c>
      <c r="N7" s="8">
        <f t="shared" si="1"/>
        <v>41267737</v>
      </c>
      <c r="O7" s="8">
        <f t="shared" si="2"/>
        <v>612198.66666666663</v>
      </c>
      <c r="P7" s="8">
        <f t="shared" si="3"/>
        <v>297055.02500000002</v>
      </c>
      <c r="Q7" s="21" t="str">
        <f t="shared" si="4"/>
        <v/>
      </c>
    </row>
    <row r="8" spans="1:17" ht="21.75" customHeight="1" x14ac:dyDescent="0.2">
      <c r="A8" s="47">
        <v>46145</v>
      </c>
      <c r="B8" s="48" t="s">
        <v>406</v>
      </c>
      <c r="C8" s="49">
        <v>21512516</v>
      </c>
      <c r="D8" s="49">
        <v>49</v>
      </c>
      <c r="E8" s="49"/>
      <c r="F8" s="49"/>
      <c r="G8" s="49">
        <v>9745104</v>
      </c>
      <c r="H8" s="49">
        <v>4637006</v>
      </c>
      <c r="I8" s="49">
        <v>5008005</v>
      </c>
      <c r="J8" s="49">
        <v>56</v>
      </c>
      <c r="K8" s="49"/>
      <c r="L8" s="50"/>
      <c r="M8" s="8">
        <f t="shared" si="0"/>
        <v>19390115</v>
      </c>
      <c r="N8" s="8">
        <f t="shared" si="1"/>
        <v>40902631</v>
      </c>
      <c r="O8" s="8">
        <f t="shared" si="2"/>
        <v>439030.93877551018</v>
      </c>
      <c r="P8" s="8">
        <f t="shared" si="3"/>
        <v>346252.05357142858</v>
      </c>
      <c r="Q8" s="21" t="str">
        <f t="shared" si="4"/>
        <v/>
      </c>
    </row>
    <row r="9" spans="1:17" ht="21.75" customHeight="1" x14ac:dyDescent="0.2">
      <c r="A9" s="47">
        <v>46146</v>
      </c>
      <c r="B9" s="48" t="s">
        <v>400</v>
      </c>
      <c r="C9" s="49">
        <v>35395609</v>
      </c>
      <c r="D9" s="49">
        <v>71</v>
      </c>
      <c r="E9" s="49"/>
      <c r="F9" s="49"/>
      <c r="G9" s="49">
        <v>4553505</v>
      </c>
      <c r="H9" s="49">
        <v>6019488</v>
      </c>
      <c r="I9" s="49">
        <v>2275000</v>
      </c>
      <c r="J9" s="49">
        <v>39</v>
      </c>
      <c r="K9" s="49">
        <v>2857372</v>
      </c>
      <c r="L9" s="50"/>
      <c r="M9" s="8">
        <f t="shared" si="0"/>
        <v>12847993</v>
      </c>
      <c r="N9" s="8">
        <f t="shared" si="1"/>
        <v>48243602</v>
      </c>
      <c r="O9" s="8">
        <f t="shared" si="2"/>
        <v>498529.70422535209</v>
      </c>
      <c r="P9" s="8">
        <f t="shared" si="3"/>
        <v>329435.71794871794</v>
      </c>
      <c r="Q9" s="21" t="str">
        <f t="shared" si="4"/>
        <v/>
      </c>
    </row>
    <row r="10" spans="1:17" ht="21.75" customHeight="1" x14ac:dyDescent="0.2">
      <c r="A10" s="47">
        <v>46147</v>
      </c>
      <c r="B10" s="48" t="s">
        <v>401</v>
      </c>
      <c r="C10" s="49">
        <v>26552335</v>
      </c>
      <c r="D10" s="49">
        <v>64</v>
      </c>
      <c r="E10" s="49"/>
      <c r="F10" s="49"/>
      <c r="G10" s="49">
        <v>6107505</v>
      </c>
      <c r="H10" s="49">
        <v>3698496</v>
      </c>
      <c r="I10" s="49">
        <v>2642994</v>
      </c>
      <c r="J10" s="49">
        <v>41</v>
      </c>
      <c r="K10" s="49">
        <v>1028800</v>
      </c>
      <c r="L10" s="50"/>
      <c r="M10" s="8">
        <f t="shared" si="0"/>
        <v>12448995</v>
      </c>
      <c r="N10" s="8">
        <f t="shared" si="1"/>
        <v>39001330</v>
      </c>
      <c r="O10" s="8">
        <f t="shared" si="2"/>
        <v>414880.234375</v>
      </c>
      <c r="P10" s="8">
        <f t="shared" si="3"/>
        <v>303634.02439024393</v>
      </c>
      <c r="Q10" s="21" t="str">
        <f t="shared" si="4"/>
        <v/>
      </c>
    </row>
    <row r="11" spans="1:17" ht="21.75" customHeight="1" x14ac:dyDescent="0.2">
      <c r="A11" s="51">
        <v>46148</v>
      </c>
      <c r="B11" s="52" t="s">
        <v>402</v>
      </c>
      <c r="C11" s="49">
        <v>40661908</v>
      </c>
      <c r="D11" s="49">
        <v>88</v>
      </c>
      <c r="E11" s="49"/>
      <c r="F11" s="49"/>
      <c r="G11" s="49">
        <v>12843001</v>
      </c>
      <c r="H11" s="49">
        <v>3602000</v>
      </c>
      <c r="I11" s="49">
        <v>4095501</v>
      </c>
      <c r="J11" s="49">
        <v>62</v>
      </c>
      <c r="K11" s="49">
        <v>1695466</v>
      </c>
      <c r="L11" s="50"/>
      <c r="M11" s="8">
        <f t="shared" si="0"/>
        <v>20540502</v>
      </c>
      <c r="N11" s="8">
        <f t="shared" si="1"/>
        <v>61202410</v>
      </c>
      <c r="O11" s="8">
        <f t="shared" si="2"/>
        <v>462067.13636363635</v>
      </c>
      <c r="P11" s="8">
        <f t="shared" si="3"/>
        <v>331298.41935483873</v>
      </c>
      <c r="Q11" s="21" t="str">
        <f t="shared" si="4"/>
        <v/>
      </c>
    </row>
    <row r="12" spans="1:17" ht="21.75" customHeight="1" x14ac:dyDescent="0.2">
      <c r="A12" s="51">
        <v>46149</v>
      </c>
      <c r="B12" s="52" t="s">
        <v>403</v>
      </c>
      <c r="C12" s="49">
        <v>43871216</v>
      </c>
      <c r="D12" s="49">
        <v>105</v>
      </c>
      <c r="E12" s="49"/>
      <c r="F12" s="49"/>
      <c r="G12" s="49">
        <v>17461257</v>
      </c>
      <c r="H12" s="49">
        <v>3504499</v>
      </c>
      <c r="I12" s="49">
        <v>4951399</v>
      </c>
      <c r="J12" s="49">
        <v>81</v>
      </c>
      <c r="K12" s="49">
        <v>259259</v>
      </c>
      <c r="L12" s="50"/>
      <c r="M12" s="8">
        <f t="shared" si="0"/>
        <v>25917155</v>
      </c>
      <c r="N12" s="8">
        <f t="shared" si="1"/>
        <v>69788371</v>
      </c>
      <c r="O12" s="8">
        <f t="shared" si="2"/>
        <v>417821.10476190475</v>
      </c>
      <c r="P12" s="8">
        <f t="shared" si="3"/>
        <v>319964.87654320989</v>
      </c>
      <c r="Q12" s="21" t="str">
        <f t="shared" si="4"/>
        <v/>
      </c>
    </row>
    <row r="13" spans="1:17" ht="21.75" customHeight="1" x14ac:dyDescent="0.2">
      <c r="A13" s="47">
        <v>46150</v>
      </c>
      <c r="B13" s="48" t="s">
        <v>404</v>
      </c>
      <c r="C13" s="49">
        <v>40833963</v>
      </c>
      <c r="D13" s="49">
        <v>107</v>
      </c>
      <c r="E13" s="49"/>
      <c r="F13" s="49"/>
      <c r="G13" s="49">
        <v>11082505</v>
      </c>
      <c r="H13" s="49">
        <v>3137001</v>
      </c>
      <c r="I13" s="49">
        <v>4316401</v>
      </c>
      <c r="J13" s="49">
        <v>65</v>
      </c>
      <c r="K13" s="49"/>
      <c r="L13" s="50"/>
      <c r="M13" s="8">
        <f t="shared" si="0"/>
        <v>18535907</v>
      </c>
      <c r="N13" s="8">
        <f t="shared" si="1"/>
        <v>59369870</v>
      </c>
      <c r="O13" s="8">
        <f t="shared" si="2"/>
        <v>381625.82242990652</v>
      </c>
      <c r="P13" s="8">
        <f t="shared" si="3"/>
        <v>285167.8</v>
      </c>
      <c r="Q13" s="21" t="str">
        <f t="shared" si="4"/>
        <v/>
      </c>
    </row>
    <row r="14" spans="1:17" ht="21.75" customHeight="1" x14ac:dyDescent="0.2">
      <c r="A14" s="47">
        <v>46151</v>
      </c>
      <c r="B14" s="48" t="s">
        <v>405</v>
      </c>
      <c r="C14" s="49">
        <v>34559573</v>
      </c>
      <c r="D14" s="49">
        <v>80</v>
      </c>
      <c r="E14" s="49"/>
      <c r="F14" s="49"/>
      <c r="G14" s="49">
        <v>8960511</v>
      </c>
      <c r="H14" s="49">
        <v>4466502</v>
      </c>
      <c r="I14" s="49">
        <v>6676516</v>
      </c>
      <c r="J14" s="49">
        <v>75</v>
      </c>
      <c r="K14" s="49">
        <v>289000</v>
      </c>
      <c r="L14" s="50"/>
      <c r="M14" s="8">
        <f t="shared" si="0"/>
        <v>20103529</v>
      </c>
      <c r="N14" s="8">
        <f t="shared" si="1"/>
        <v>54663102</v>
      </c>
      <c r="O14" s="8">
        <f t="shared" si="2"/>
        <v>431994.66249999998</v>
      </c>
      <c r="P14" s="8">
        <f t="shared" si="3"/>
        <v>268047.05333333334</v>
      </c>
      <c r="Q14" s="21" t="str">
        <f t="shared" si="4"/>
        <v/>
      </c>
    </row>
    <row r="15" spans="1:17" ht="21.75" customHeight="1" x14ac:dyDescent="0.2">
      <c r="A15" s="47">
        <v>46152</v>
      </c>
      <c r="B15" s="48" t="s">
        <v>406</v>
      </c>
      <c r="C15" s="49">
        <v>33781541</v>
      </c>
      <c r="D15" s="49">
        <v>71</v>
      </c>
      <c r="E15" s="49"/>
      <c r="F15" s="49"/>
      <c r="G15" s="49">
        <v>10664487</v>
      </c>
      <c r="H15" s="49">
        <v>8145747</v>
      </c>
      <c r="I15" s="49">
        <v>5464624</v>
      </c>
      <c r="J15" s="49">
        <v>77</v>
      </c>
      <c r="K15" s="49"/>
      <c r="L15" s="50"/>
      <c r="M15" s="8">
        <f t="shared" si="0"/>
        <v>24274858</v>
      </c>
      <c r="N15" s="8">
        <f t="shared" si="1"/>
        <v>58056399</v>
      </c>
      <c r="O15" s="8">
        <f t="shared" si="2"/>
        <v>475796.35211267608</v>
      </c>
      <c r="P15" s="8">
        <f t="shared" si="3"/>
        <v>315257.89610389608</v>
      </c>
      <c r="Q15" s="21" t="str">
        <f t="shared" si="4"/>
        <v/>
      </c>
    </row>
    <row r="16" spans="1:17" ht="21.75" customHeight="1" x14ac:dyDescent="0.2">
      <c r="A16" s="47">
        <v>46153</v>
      </c>
      <c r="B16" s="48" t="s">
        <v>400</v>
      </c>
      <c r="C16" s="49">
        <v>41717735</v>
      </c>
      <c r="D16" s="49">
        <v>90</v>
      </c>
      <c r="E16" s="49"/>
      <c r="F16" s="49"/>
      <c r="G16" s="49">
        <v>10255009</v>
      </c>
      <c r="H16" s="49">
        <v>2115000</v>
      </c>
      <c r="I16" s="49">
        <v>4446002</v>
      </c>
      <c r="J16" s="49">
        <v>53</v>
      </c>
      <c r="K16" s="49">
        <v>1243001</v>
      </c>
      <c r="L16" s="50"/>
      <c r="M16" s="8">
        <f t="shared" si="0"/>
        <v>16816011</v>
      </c>
      <c r="N16" s="8">
        <f t="shared" si="1"/>
        <v>58533746</v>
      </c>
      <c r="O16" s="8">
        <f t="shared" si="2"/>
        <v>463530.38888888888</v>
      </c>
      <c r="P16" s="8">
        <f t="shared" si="3"/>
        <v>317283.22641509434</v>
      </c>
      <c r="Q16" s="21" t="str">
        <f t="shared" si="4"/>
        <v/>
      </c>
    </row>
    <row r="17" spans="1:17" ht="21.75" customHeight="1" x14ac:dyDescent="0.2">
      <c r="A17" s="47">
        <v>46154</v>
      </c>
      <c r="B17" s="48" t="s">
        <v>401</v>
      </c>
      <c r="C17" s="49">
        <v>33983603</v>
      </c>
      <c r="D17" s="49">
        <v>84</v>
      </c>
      <c r="E17" s="49"/>
      <c r="F17" s="49"/>
      <c r="G17" s="49">
        <v>9741504</v>
      </c>
      <c r="H17" s="49">
        <v>1479004</v>
      </c>
      <c r="I17" s="49">
        <v>3181402</v>
      </c>
      <c r="J17" s="49">
        <v>50</v>
      </c>
      <c r="K17" s="49">
        <v>259259</v>
      </c>
      <c r="L17" s="50"/>
      <c r="M17" s="8">
        <f t="shared" si="0"/>
        <v>14401910</v>
      </c>
      <c r="N17" s="8">
        <f t="shared" si="1"/>
        <v>48385513</v>
      </c>
      <c r="O17" s="8">
        <f t="shared" si="2"/>
        <v>404566.70238095237</v>
      </c>
      <c r="P17" s="8">
        <f t="shared" si="3"/>
        <v>288038.2</v>
      </c>
      <c r="Q17" s="21" t="str">
        <f t="shared" si="4"/>
        <v/>
      </c>
    </row>
    <row r="18" spans="1:17" ht="21.75" customHeight="1" x14ac:dyDescent="0.2">
      <c r="A18" s="51">
        <v>46155</v>
      </c>
      <c r="B18" s="52" t="s">
        <v>402</v>
      </c>
      <c r="C18" s="49">
        <v>31933951</v>
      </c>
      <c r="D18" s="49">
        <v>73</v>
      </c>
      <c r="E18" s="49"/>
      <c r="F18" s="49"/>
      <c r="G18" s="49">
        <v>6135006</v>
      </c>
      <c r="H18" s="49">
        <v>5499254</v>
      </c>
      <c r="I18" s="49">
        <v>2501003</v>
      </c>
      <c r="J18" s="49">
        <v>41</v>
      </c>
      <c r="K18" s="49"/>
      <c r="L18" s="50"/>
      <c r="M18" s="8">
        <f t="shared" si="0"/>
        <v>14135263</v>
      </c>
      <c r="N18" s="8">
        <f t="shared" si="1"/>
        <v>46069214</v>
      </c>
      <c r="O18" s="8">
        <f t="shared" si="2"/>
        <v>437451.38356164383</v>
      </c>
      <c r="P18" s="8">
        <f t="shared" si="3"/>
        <v>344762.51219512196</v>
      </c>
      <c r="Q18" s="21" t="str">
        <f t="shared" si="4"/>
        <v/>
      </c>
    </row>
    <row r="19" spans="1:17" ht="21.75" customHeight="1" x14ac:dyDescent="0.2">
      <c r="A19" s="51">
        <v>46156</v>
      </c>
      <c r="B19" s="52" t="s">
        <v>403</v>
      </c>
      <c r="C19" s="49">
        <v>33173717</v>
      </c>
      <c r="D19" s="49">
        <v>78</v>
      </c>
      <c r="E19" s="49"/>
      <c r="F19" s="49"/>
      <c r="G19" s="49">
        <v>7934004</v>
      </c>
      <c r="H19" s="49">
        <v>6887007</v>
      </c>
      <c r="I19" s="49">
        <v>2356001</v>
      </c>
      <c r="J19" s="49">
        <v>60</v>
      </c>
      <c r="K19" s="49">
        <v>1896000</v>
      </c>
      <c r="L19" s="50"/>
      <c r="M19" s="8">
        <f t="shared" si="0"/>
        <v>17177012</v>
      </c>
      <c r="N19" s="8">
        <f t="shared" si="1"/>
        <v>50350729</v>
      </c>
      <c r="O19" s="8">
        <f t="shared" si="2"/>
        <v>425304.06410256412</v>
      </c>
      <c r="P19" s="8">
        <f t="shared" si="3"/>
        <v>286283.53333333333</v>
      </c>
      <c r="Q19" s="21" t="str">
        <f t="shared" si="4"/>
        <v/>
      </c>
    </row>
    <row r="20" spans="1:17" ht="21.75" customHeight="1" x14ac:dyDescent="0.2">
      <c r="A20" s="47">
        <v>46157</v>
      </c>
      <c r="B20" s="48" t="s">
        <v>404</v>
      </c>
      <c r="C20" s="49">
        <v>38712449</v>
      </c>
      <c r="D20" s="49">
        <v>88</v>
      </c>
      <c r="E20" s="49"/>
      <c r="F20" s="49"/>
      <c r="G20" s="49">
        <v>8501256</v>
      </c>
      <c r="H20" s="49">
        <v>4542500</v>
      </c>
      <c r="I20" s="49">
        <v>4664003</v>
      </c>
      <c r="J20" s="49">
        <v>72</v>
      </c>
      <c r="K20" s="49">
        <v>200000</v>
      </c>
      <c r="L20" s="50"/>
      <c r="M20" s="8">
        <f t="shared" si="0"/>
        <v>17707759</v>
      </c>
      <c r="N20" s="8">
        <f t="shared" si="1"/>
        <v>56420208</v>
      </c>
      <c r="O20" s="8">
        <f t="shared" si="2"/>
        <v>439914.19318181818</v>
      </c>
      <c r="P20" s="8">
        <f t="shared" si="3"/>
        <v>245941.09722222222</v>
      </c>
      <c r="Q20" s="21" t="str">
        <f t="shared" si="4"/>
        <v/>
      </c>
    </row>
    <row r="21" spans="1:17" ht="21.75" customHeight="1" x14ac:dyDescent="0.2">
      <c r="A21" s="47">
        <v>46158</v>
      </c>
      <c r="B21" s="48" t="s">
        <v>405</v>
      </c>
      <c r="C21" s="49">
        <v>45056706</v>
      </c>
      <c r="D21" s="49">
        <v>102</v>
      </c>
      <c r="E21" s="49"/>
      <c r="F21" s="49"/>
      <c r="G21" s="49">
        <v>8882502</v>
      </c>
      <c r="H21" s="49">
        <v>5587106</v>
      </c>
      <c r="I21" s="49">
        <v>3272501</v>
      </c>
      <c r="J21" s="49">
        <v>59</v>
      </c>
      <c r="K21" s="49">
        <v>280000</v>
      </c>
      <c r="L21" s="50"/>
      <c r="M21" s="8">
        <f t="shared" si="0"/>
        <v>17742109</v>
      </c>
      <c r="N21" s="8">
        <f t="shared" si="1"/>
        <v>62798815</v>
      </c>
      <c r="O21" s="8">
        <f t="shared" si="2"/>
        <v>441732.4117647059</v>
      </c>
      <c r="P21" s="8">
        <f t="shared" si="3"/>
        <v>300713.71186440677</v>
      </c>
      <c r="Q21" s="21" t="str">
        <f t="shared" si="4"/>
        <v/>
      </c>
    </row>
    <row r="22" spans="1:17" ht="21.75" customHeight="1" x14ac:dyDescent="0.2">
      <c r="A22" s="47">
        <v>46159</v>
      </c>
      <c r="B22" s="48" t="s">
        <v>406</v>
      </c>
      <c r="C22" s="49">
        <v>32457528</v>
      </c>
      <c r="D22" s="49">
        <v>67</v>
      </c>
      <c r="E22" s="49"/>
      <c r="F22" s="49"/>
      <c r="G22" s="49">
        <v>7765007</v>
      </c>
      <c r="H22" s="49">
        <v>2848999</v>
      </c>
      <c r="I22" s="49">
        <v>3090499</v>
      </c>
      <c r="J22" s="49">
        <v>53</v>
      </c>
      <c r="K22" s="49">
        <v>249999</v>
      </c>
      <c r="L22" s="50"/>
      <c r="M22" s="8">
        <f t="shared" si="0"/>
        <v>13704505</v>
      </c>
      <c r="N22" s="8">
        <f t="shared" si="1"/>
        <v>46162033</v>
      </c>
      <c r="O22" s="8">
        <f t="shared" si="2"/>
        <v>484440.71641791047</v>
      </c>
      <c r="P22" s="8">
        <f t="shared" si="3"/>
        <v>258575.56603773584</v>
      </c>
      <c r="Q22" s="21" t="str">
        <f t="shared" si="4"/>
        <v/>
      </c>
    </row>
    <row r="23" spans="1:17" ht="21.75" customHeight="1" x14ac:dyDescent="0.2">
      <c r="A23" s="47">
        <v>46160</v>
      </c>
      <c r="B23" s="48" t="s">
        <v>400</v>
      </c>
      <c r="C23" s="49">
        <v>39407260</v>
      </c>
      <c r="D23" s="49">
        <v>88</v>
      </c>
      <c r="E23" s="49"/>
      <c r="F23" s="49"/>
      <c r="G23" s="49">
        <v>5223503</v>
      </c>
      <c r="H23" s="49">
        <v>1822002</v>
      </c>
      <c r="I23" s="49">
        <v>2777998</v>
      </c>
      <c r="J23" s="49">
        <v>33</v>
      </c>
      <c r="K23" s="49">
        <v>2610686</v>
      </c>
      <c r="L23" s="50"/>
      <c r="M23" s="8">
        <f t="shared" si="0"/>
        <v>9823503</v>
      </c>
      <c r="N23" s="8">
        <f t="shared" si="1"/>
        <v>49230763</v>
      </c>
      <c r="O23" s="8">
        <f t="shared" si="2"/>
        <v>447809.77272727271</v>
      </c>
      <c r="P23" s="8">
        <f t="shared" si="3"/>
        <v>297681.90909090912</v>
      </c>
      <c r="Q23" s="21" t="str">
        <f t="shared" si="4"/>
        <v/>
      </c>
    </row>
    <row r="24" spans="1:17" ht="21.75" customHeight="1" x14ac:dyDescent="0.2">
      <c r="A24" s="47">
        <v>46161</v>
      </c>
      <c r="B24" s="48" t="s">
        <v>401</v>
      </c>
      <c r="C24" s="49">
        <v>39406593</v>
      </c>
      <c r="D24" s="49">
        <v>75</v>
      </c>
      <c r="E24" s="49"/>
      <c r="F24" s="49"/>
      <c r="G24" s="49">
        <v>9799008</v>
      </c>
      <c r="H24" s="49">
        <v>1269504</v>
      </c>
      <c r="I24" s="49">
        <v>3404502</v>
      </c>
      <c r="J24" s="49">
        <v>45</v>
      </c>
      <c r="K24" s="49">
        <v>2615999</v>
      </c>
      <c r="L24" s="50"/>
      <c r="M24" s="8">
        <f t="shared" si="0"/>
        <v>14473014</v>
      </c>
      <c r="N24" s="8">
        <f t="shared" si="1"/>
        <v>53879607</v>
      </c>
      <c r="O24" s="8">
        <f t="shared" si="2"/>
        <v>525421.24</v>
      </c>
      <c r="P24" s="8">
        <f t="shared" si="3"/>
        <v>321622.53333333333</v>
      </c>
      <c r="Q24" s="21" t="str">
        <f t="shared" si="4"/>
        <v/>
      </c>
    </row>
    <row r="25" spans="1:17" ht="21.75" customHeight="1" x14ac:dyDescent="0.2">
      <c r="A25" s="51">
        <v>46162</v>
      </c>
      <c r="B25" s="52" t="s">
        <v>402</v>
      </c>
      <c r="C25" s="49">
        <v>43472649</v>
      </c>
      <c r="D25" s="49">
        <v>98</v>
      </c>
      <c r="E25" s="49"/>
      <c r="F25" s="49"/>
      <c r="G25" s="49">
        <v>4599500</v>
      </c>
      <c r="H25" s="49">
        <v>6359500</v>
      </c>
      <c r="I25" s="49">
        <v>3839000</v>
      </c>
      <c r="J25" s="49">
        <v>51</v>
      </c>
      <c r="K25" s="49">
        <v>2541258</v>
      </c>
      <c r="L25" s="50"/>
      <c r="M25" s="8">
        <f t="shared" si="0"/>
        <v>14798000</v>
      </c>
      <c r="N25" s="8">
        <f t="shared" si="1"/>
        <v>58270649</v>
      </c>
      <c r="O25" s="8">
        <f t="shared" si="2"/>
        <v>443598.45918367349</v>
      </c>
      <c r="P25" s="8">
        <f t="shared" si="3"/>
        <v>290156.86274509801</v>
      </c>
      <c r="Q25" s="21" t="str">
        <f t="shared" si="4"/>
        <v/>
      </c>
    </row>
    <row r="26" spans="1:17" ht="21.75" customHeight="1" x14ac:dyDescent="0.2">
      <c r="A26" s="51">
        <v>46163</v>
      </c>
      <c r="B26" s="52" t="s">
        <v>403</v>
      </c>
      <c r="C26" s="49">
        <v>39772317</v>
      </c>
      <c r="D26" s="49">
        <v>88</v>
      </c>
      <c r="E26" s="49"/>
      <c r="F26" s="49"/>
      <c r="G26" s="49">
        <v>8231500</v>
      </c>
      <c r="H26" s="49">
        <v>9556005</v>
      </c>
      <c r="I26" s="49">
        <v>4731502</v>
      </c>
      <c r="J26" s="49">
        <v>86</v>
      </c>
      <c r="K26" s="49">
        <v>350000</v>
      </c>
      <c r="L26" s="50"/>
      <c r="M26" s="8">
        <f t="shared" si="0"/>
        <v>22519007</v>
      </c>
      <c r="N26" s="8">
        <f t="shared" si="1"/>
        <v>62291324</v>
      </c>
      <c r="O26" s="8">
        <f t="shared" si="2"/>
        <v>451958.14772727271</v>
      </c>
      <c r="P26" s="8">
        <f t="shared" si="3"/>
        <v>261848.91860465117</v>
      </c>
      <c r="Q26" s="21" t="str">
        <f t="shared" si="4"/>
        <v/>
      </c>
    </row>
    <row r="27" spans="1:17" ht="21.75" customHeight="1" x14ac:dyDescent="0.2">
      <c r="A27" s="47">
        <v>46164</v>
      </c>
      <c r="B27" s="48" t="s">
        <v>404</v>
      </c>
      <c r="C27" s="49">
        <v>44106651</v>
      </c>
      <c r="D27" s="49">
        <v>106</v>
      </c>
      <c r="E27" s="49"/>
      <c r="F27" s="49"/>
      <c r="G27" s="49">
        <v>5913500</v>
      </c>
      <c r="H27" s="49">
        <v>3844499</v>
      </c>
      <c r="I27" s="49">
        <v>3693000</v>
      </c>
      <c r="J27" s="49">
        <v>64</v>
      </c>
      <c r="K27" s="49">
        <v>650371</v>
      </c>
      <c r="L27" s="50"/>
      <c r="M27" s="8">
        <f t="shared" si="0"/>
        <v>13450999</v>
      </c>
      <c r="N27" s="8">
        <f t="shared" si="1"/>
        <v>57557650</v>
      </c>
      <c r="O27" s="8">
        <f t="shared" si="2"/>
        <v>416100.48113207548</v>
      </c>
      <c r="P27" s="8">
        <f t="shared" si="3"/>
        <v>210171.859375</v>
      </c>
      <c r="Q27" s="21" t="str">
        <f t="shared" si="4"/>
        <v/>
      </c>
    </row>
    <row r="28" spans="1:17" ht="21.75" customHeight="1" x14ac:dyDescent="0.2">
      <c r="A28" s="47">
        <v>46165</v>
      </c>
      <c r="B28" s="48" t="s">
        <v>405</v>
      </c>
      <c r="C28" s="49">
        <v>35900031</v>
      </c>
      <c r="D28" s="49">
        <v>84</v>
      </c>
      <c r="E28" s="49"/>
      <c r="F28" s="49"/>
      <c r="G28" s="49">
        <v>10370253</v>
      </c>
      <c r="H28" s="49">
        <v>3410502</v>
      </c>
      <c r="I28" s="49">
        <v>3414502</v>
      </c>
      <c r="J28" s="49">
        <v>60</v>
      </c>
      <c r="K28" s="49">
        <v>1028572</v>
      </c>
      <c r="L28" s="50"/>
      <c r="M28" s="8">
        <f t="shared" si="0"/>
        <v>17195257</v>
      </c>
      <c r="N28" s="8">
        <f t="shared" si="1"/>
        <v>53095288</v>
      </c>
      <c r="O28" s="8">
        <f t="shared" si="2"/>
        <v>427381.32142857142</v>
      </c>
      <c r="P28" s="8">
        <f t="shared" si="3"/>
        <v>286587.61666666664</v>
      </c>
      <c r="Q28" s="21" t="str">
        <f t="shared" si="4"/>
        <v/>
      </c>
    </row>
    <row r="29" spans="1:17" ht="21.75" customHeight="1" x14ac:dyDescent="0.2">
      <c r="A29" s="47">
        <v>46166</v>
      </c>
      <c r="B29" s="48" t="s">
        <v>406</v>
      </c>
      <c r="C29" s="49">
        <v>26823672</v>
      </c>
      <c r="D29" s="49">
        <v>69</v>
      </c>
      <c r="E29" s="49"/>
      <c r="F29" s="49"/>
      <c r="G29" s="49">
        <v>11182065</v>
      </c>
      <c r="H29" s="49">
        <v>5467001</v>
      </c>
      <c r="I29" s="49">
        <v>4921994</v>
      </c>
      <c r="J29" s="49">
        <v>71</v>
      </c>
      <c r="K29" s="49"/>
      <c r="L29" s="50"/>
      <c r="M29" s="8">
        <f t="shared" si="0"/>
        <v>21571060</v>
      </c>
      <c r="N29" s="8">
        <f t="shared" si="1"/>
        <v>48394732</v>
      </c>
      <c r="O29" s="8">
        <f t="shared" si="2"/>
        <v>388748.86956521741</v>
      </c>
      <c r="P29" s="8">
        <f t="shared" si="3"/>
        <v>303817.74647887325</v>
      </c>
      <c r="Q29" s="21" t="str">
        <f t="shared" si="4"/>
        <v/>
      </c>
    </row>
    <row r="30" spans="1:17" ht="21.75" customHeight="1" x14ac:dyDescent="0.2">
      <c r="A30" s="47">
        <v>46167</v>
      </c>
      <c r="B30" s="48" t="s">
        <v>400</v>
      </c>
      <c r="C30" s="49">
        <v>33749048</v>
      </c>
      <c r="D30" s="49">
        <v>75</v>
      </c>
      <c r="E30" s="49"/>
      <c r="F30" s="49"/>
      <c r="G30" s="49">
        <v>6839505</v>
      </c>
      <c r="H30" s="49">
        <v>2009001</v>
      </c>
      <c r="I30" s="49">
        <v>1983001</v>
      </c>
      <c r="J30" s="49">
        <v>35</v>
      </c>
      <c r="K30" s="49">
        <v>1531200</v>
      </c>
      <c r="L30" s="50"/>
      <c r="M30" s="8">
        <f t="shared" si="0"/>
        <v>10831507</v>
      </c>
      <c r="N30" s="8">
        <f t="shared" si="1"/>
        <v>44580555</v>
      </c>
      <c r="O30" s="8">
        <f t="shared" si="2"/>
        <v>449987.30666666664</v>
      </c>
      <c r="P30" s="8">
        <f t="shared" si="3"/>
        <v>309471.62857142859</v>
      </c>
      <c r="Q30" s="21" t="str">
        <f t="shared" si="4"/>
        <v/>
      </c>
    </row>
    <row r="31" spans="1:17" ht="21.75" customHeight="1" x14ac:dyDescent="0.2">
      <c r="A31" s="47">
        <v>46168</v>
      </c>
      <c r="B31" s="48" t="s">
        <v>401</v>
      </c>
      <c r="C31" s="49">
        <v>31441281</v>
      </c>
      <c r="D31" s="49">
        <v>66</v>
      </c>
      <c r="E31" s="49"/>
      <c r="F31" s="49"/>
      <c r="G31" s="49">
        <v>10033510</v>
      </c>
      <c r="H31" s="49">
        <v>1421002</v>
      </c>
      <c r="I31" s="49">
        <v>2722000</v>
      </c>
      <c r="J31" s="49">
        <v>39</v>
      </c>
      <c r="K31" s="49"/>
      <c r="L31" s="50"/>
      <c r="M31" s="8">
        <f t="shared" si="0"/>
        <v>14176512</v>
      </c>
      <c r="N31" s="8">
        <f t="shared" si="1"/>
        <v>45617793</v>
      </c>
      <c r="O31" s="8">
        <f t="shared" si="2"/>
        <v>476383.04545454547</v>
      </c>
      <c r="P31" s="8">
        <f t="shared" si="3"/>
        <v>363500.30769230769</v>
      </c>
      <c r="Q31" s="21" t="str">
        <f t="shared" si="4"/>
        <v/>
      </c>
    </row>
    <row r="32" spans="1:17" ht="21.75" customHeight="1" x14ac:dyDescent="0.2">
      <c r="A32" s="51">
        <v>46169</v>
      </c>
      <c r="B32" s="52" t="s">
        <v>402</v>
      </c>
      <c r="C32" s="49">
        <v>30667303</v>
      </c>
      <c r="D32" s="49">
        <v>77</v>
      </c>
      <c r="E32" s="49"/>
      <c r="F32" s="49"/>
      <c r="G32" s="49">
        <v>6756507</v>
      </c>
      <c r="H32" s="49">
        <v>1873003</v>
      </c>
      <c r="I32" s="49">
        <v>3070501</v>
      </c>
      <c r="J32" s="49">
        <v>41</v>
      </c>
      <c r="K32" s="49"/>
      <c r="L32" s="50"/>
      <c r="M32" s="8">
        <f t="shared" si="0"/>
        <v>11700011</v>
      </c>
      <c r="N32" s="8">
        <f t="shared" si="1"/>
        <v>42367314</v>
      </c>
      <c r="O32" s="8">
        <f t="shared" si="2"/>
        <v>398276.66233766236</v>
      </c>
      <c r="P32" s="8">
        <f t="shared" si="3"/>
        <v>285366.12195121951</v>
      </c>
      <c r="Q32" s="21" t="str">
        <f t="shared" si="4"/>
        <v/>
      </c>
    </row>
    <row r="33" spans="1:17" ht="21.75" customHeight="1" x14ac:dyDescent="0.2">
      <c r="A33" s="51">
        <v>46170</v>
      </c>
      <c r="B33" s="52" t="s">
        <v>403</v>
      </c>
      <c r="C33" s="49">
        <v>39578601</v>
      </c>
      <c r="D33" s="49">
        <v>95</v>
      </c>
      <c r="E33" s="49"/>
      <c r="F33" s="49"/>
      <c r="G33" s="49">
        <v>5816000</v>
      </c>
      <c r="H33" s="49">
        <v>2652504</v>
      </c>
      <c r="I33" s="49">
        <v>3292498</v>
      </c>
      <c r="J33" s="49">
        <v>45</v>
      </c>
      <c r="K33" s="49">
        <v>1028800</v>
      </c>
      <c r="L33" s="50"/>
      <c r="M33" s="8">
        <f t="shared" si="0"/>
        <v>11761002</v>
      </c>
      <c r="N33" s="8">
        <f t="shared" si="1"/>
        <v>51339603</v>
      </c>
      <c r="O33" s="8">
        <f t="shared" si="2"/>
        <v>416616.85263157892</v>
      </c>
      <c r="P33" s="8">
        <f t="shared" si="3"/>
        <v>261355.6</v>
      </c>
      <c r="Q33" s="21" t="str">
        <f t="shared" si="4"/>
        <v/>
      </c>
    </row>
    <row r="34" spans="1:17" ht="21.75" customHeight="1" x14ac:dyDescent="0.2">
      <c r="A34" s="47">
        <v>46171</v>
      </c>
      <c r="B34" s="48" t="s">
        <v>404</v>
      </c>
      <c r="C34" s="49">
        <v>40559010</v>
      </c>
      <c r="D34" s="49">
        <v>94</v>
      </c>
      <c r="E34" s="49"/>
      <c r="F34" s="49"/>
      <c r="G34" s="49">
        <v>9073004</v>
      </c>
      <c r="H34" s="49">
        <v>3908503</v>
      </c>
      <c r="I34" s="49">
        <v>2813501</v>
      </c>
      <c r="J34" s="49">
        <v>54</v>
      </c>
      <c r="K34" s="49"/>
      <c r="L34" s="50"/>
      <c r="M34" s="8">
        <f t="shared" si="0"/>
        <v>15795008</v>
      </c>
      <c r="N34" s="8">
        <f t="shared" si="1"/>
        <v>56354018</v>
      </c>
      <c r="O34" s="8">
        <f t="shared" si="2"/>
        <v>431478.82978723402</v>
      </c>
      <c r="P34" s="8">
        <f t="shared" si="3"/>
        <v>292500.14814814815</v>
      </c>
      <c r="Q34" s="21" t="str">
        <f t="shared" si="4"/>
        <v/>
      </c>
    </row>
    <row r="35" spans="1:17" ht="21.75" customHeight="1" x14ac:dyDescent="0.2">
      <c r="A35" s="47">
        <v>46172</v>
      </c>
      <c r="B35" s="48" t="s">
        <v>405</v>
      </c>
      <c r="C35" s="49">
        <v>39113532</v>
      </c>
      <c r="D35" s="49">
        <v>92</v>
      </c>
      <c r="E35" s="49"/>
      <c r="F35" s="49"/>
      <c r="G35" s="49">
        <v>9234509</v>
      </c>
      <c r="H35" s="49">
        <v>4282501</v>
      </c>
      <c r="I35" s="49">
        <v>3932500</v>
      </c>
      <c r="J35" s="49">
        <v>68</v>
      </c>
      <c r="K35" s="49"/>
      <c r="L35" s="50"/>
      <c r="M35" s="8">
        <f t="shared" si="0"/>
        <v>17449510</v>
      </c>
      <c r="N35" s="8">
        <f t="shared" si="1"/>
        <v>56563042</v>
      </c>
      <c r="O35" s="8">
        <f t="shared" si="2"/>
        <v>425147.08695652173</v>
      </c>
      <c r="P35" s="8">
        <f t="shared" si="3"/>
        <v>256610.4411764706</v>
      </c>
      <c r="Q35" s="21" t="str">
        <f t="shared" si="4"/>
        <v/>
      </c>
    </row>
    <row r="36" spans="1:17" ht="18.75" customHeight="1" x14ac:dyDescent="0.2">
      <c r="A36" s="115">
        <v>46173</v>
      </c>
      <c r="B36" t="s">
        <v>406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415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46174</v>
      </c>
      <c r="B6" s="48" t="s">
        <v>400</v>
      </c>
      <c r="C6" s="49">
        <v>44886805</v>
      </c>
      <c r="D6" s="49">
        <v>97</v>
      </c>
      <c r="E6" s="49"/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701737</v>
      </c>
      <c r="L6" s="50"/>
      <c r="M6" s="8">
        <f t="shared" ref="M6:M35" si="0">IF(SUM(G6:I6)&gt;0,SUM(G6:I6),"")</f>
        <v>13250714</v>
      </c>
      <c r="N6" s="8">
        <f t="shared" ref="N6:N35" si="1">IF(N(C6)+N(M6)&gt;0,N(C6)+N(M6),"")</f>
        <v>58137519</v>
      </c>
      <c r="O6" s="8">
        <f t="shared" ref="O6:O35" si="2">IFERROR(IF(D6&gt;0,C6/D6,""),"")</f>
        <v>462750.56701030926</v>
      </c>
      <c r="P6" s="8">
        <f t="shared" ref="P6:P35" si="3">IFERROR(IF(J6&gt;0,M6/J6,""),"")</f>
        <v>301152.59090909088</v>
      </c>
      <c r="Q6" s="21" t="str">
        <f t="shared" ref="Q6:Q35" si="4">IFERROR(IF(E6&gt;0,D6/E6,""),"")</f>
        <v/>
      </c>
    </row>
    <row r="7" spans="1:17" ht="21.75" customHeight="1" x14ac:dyDescent="0.2">
      <c r="A7" s="47">
        <v>46175</v>
      </c>
      <c r="B7" s="48" t="s">
        <v>401</v>
      </c>
      <c r="C7" s="49">
        <v>32214802</v>
      </c>
      <c r="D7" s="49">
        <v>65</v>
      </c>
      <c r="E7" s="49"/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524074</v>
      </c>
      <c r="L7" s="50"/>
      <c r="M7" s="8">
        <f t="shared" si="0"/>
        <v>13481512</v>
      </c>
      <c r="N7" s="8">
        <f t="shared" si="1"/>
        <v>45696314</v>
      </c>
      <c r="O7" s="8">
        <f t="shared" si="2"/>
        <v>495612.33846153849</v>
      </c>
      <c r="P7" s="8">
        <f t="shared" si="3"/>
        <v>313523.53488372092</v>
      </c>
      <c r="Q7" s="21" t="str">
        <f t="shared" si="4"/>
        <v/>
      </c>
    </row>
    <row r="8" spans="1:17" ht="21.75" customHeight="1" x14ac:dyDescent="0.2">
      <c r="A8" s="47">
        <v>46176</v>
      </c>
      <c r="B8" s="48" t="s">
        <v>402</v>
      </c>
      <c r="C8" s="49">
        <v>36473477</v>
      </c>
      <c r="D8" s="49">
        <v>87</v>
      </c>
      <c r="E8" s="49"/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8">
        <f t="shared" si="0"/>
        <v>14400015</v>
      </c>
      <c r="N8" s="8">
        <f t="shared" si="1"/>
        <v>50873492</v>
      </c>
      <c r="O8" s="8">
        <f t="shared" si="2"/>
        <v>419235.36781609198</v>
      </c>
      <c r="P8" s="8">
        <f t="shared" si="3"/>
        <v>300000.3125</v>
      </c>
      <c r="Q8" s="21" t="str">
        <f t="shared" si="4"/>
        <v/>
      </c>
    </row>
    <row r="9" spans="1:17" ht="21.75" customHeight="1" x14ac:dyDescent="0.2">
      <c r="A9" s="47">
        <v>46177</v>
      </c>
      <c r="B9" s="48" t="s">
        <v>403</v>
      </c>
      <c r="C9" s="49">
        <v>35472516</v>
      </c>
      <c r="D9" s="49">
        <v>81</v>
      </c>
      <c r="E9" s="49"/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8">
        <f t="shared" si="0"/>
        <v>19861513</v>
      </c>
      <c r="N9" s="8">
        <f t="shared" si="1"/>
        <v>55334029</v>
      </c>
      <c r="O9" s="8">
        <f t="shared" si="2"/>
        <v>437932.29629629629</v>
      </c>
      <c r="P9" s="8">
        <f t="shared" si="3"/>
        <v>331025.21666666667</v>
      </c>
      <c r="Q9" s="21" t="str">
        <f t="shared" si="4"/>
        <v/>
      </c>
    </row>
    <row r="10" spans="1:17" ht="21.75" customHeight="1" x14ac:dyDescent="0.2">
      <c r="A10" s="47">
        <v>46178</v>
      </c>
      <c r="B10" s="48" t="s">
        <v>404</v>
      </c>
      <c r="C10" s="49">
        <v>31950186</v>
      </c>
      <c r="D10" s="49">
        <v>76</v>
      </c>
      <c r="E10" s="49"/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8">
        <f t="shared" si="0"/>
        <v>21434250</v>
      </c>
      <c r="N10" s="8">
        <f t="shared" si="1"/>
        <v>53384436</v>
      </c>
      <c r="O10" s="8">
        <f t="shared" si="2"/>
        <v>420397.18421052629</v>
      </c>
      <c r="P10" s="8">
        <f t="shared" si="3"/>
        <v>310641.30434782611</v>
      </c>
      <c r="Q10" s="21" t="str">
        <f t="shared" si="4"/>
        <v/>
      </c>
    </row>
    <row r="11" spans="1:17" ht="21.75" customHeight="1" x14ac:dyDescent="0.2">
      <c r="A11" s="51">
        <v>46179</v>
      </c>
      <c r="B11" s="52" t="s">
        <v>405</v>
      </c>
      <c r="C11" s="49">
        <v>35754690</v>
      </c>
      <c r="D11" s="49">
        <v>81</v>
      </c>
      <c r="E11" s="49"/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8">
        <f t="shared" si="0"/>
        <v>20375750</v>
      </c>
      <c r="N11" s="8">
        <f t="shared" si="1"/>
        <v>56130440</v>
      </c>
      <c r="O11" s="8">
        <f t="shared" si="2"/>
        <v>441415.9259259259</v>
      </c>
      <c r="P11" s="8">
        <f t="shared" si="3"/>
        <v>275347.97297297296</v>
      </c>
      <c r="Q11" s="21" t="str">
        <f t="shared" si="4"/>
        <v/>
      </c>
    </row>
    <row r="12" spans="1:17" ht="21.75" customHeight="1" x14ac:dyDescent="0.2">
      <c r="A12" s="51">
        <v>46180</v>
      </c>
      <c r="B12" s="52" t="s">
        <v>406</v>
      </c>
      <c r="C12" s="49">
        <v>26345035</v>
      </c>
      <c r="D12" s="49">
        <v>64</v>
      </c>
      <c r="E12" s="49"/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8">
        <f t="shared" si="0"/>
        <v>22450217</v>
      </c>
      <c r="N12" s="8">
        <f t="shared" si="1"/>
        <v>48795252</v>
      </c>
      <c r="O12" s="8">
        <f t="shared" si="2"/>
        <v>411641.171875</v>
      </c>
      <c r="P12" s="8">
        <f t="shared" si="3"/>
        <v>325365.46376811597</v>
      </c>
      <c r="Q12" s="21" t="str">
        <f t="shared" si="4"/>
        <v/>
      </c>
    </row>
    <row r="13" spans="1:17" ht="21.75" customHeight="1" x14ac:dyDescent="0.2">
      <c r="A13" s="47">
        <v>46181</v>
      </c>
      <c r="B13" s="48" t="s">
        <v>400</v>
      </c>
      <c r="C13" s="49">
        <v>36505043</v>
      </c>
      <c r="D13" s="49">
        <v>74</v>
      </c>
      <c r="E13" s="49"/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8">
        <f t="shared" si="0"/>
        <v>16303750</v>
      </c>
      <c r="N13" s="8">
        <f t="shared" si="1"/>
        <v>52808793</v>
      </c>
      <c r="O13" s="8">
        <f t="shared" si="2"/>
        <v>493311.39189189189</v>
      </c>
      <c r="P13" s="8">
        <f t="shared" si="3"/>
        <v>407593.75</v>
      </c>
      <c r="Q13" s="21" t="str">
        <f t="shared" si="4"/>
        <v/>
      </c>
    </row>
    <row r="14" spans="1:17" ht="21.75" customHeight="1" x14ac:dyDescent="0.2">
      <c r="A14" s="47">
        <v>46182</v>
      </c>
      <c r="B14" s="48" t="s">
        <v>401</v>
      </c>
      <c r="C14" s="49">
        <v>31831101</v>
      </c>
      <c r="D14" s="49">
        <v>76</v>
      </c>
      <c r="E14" s="49"/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8">
        <f t="shared" si="0"/>
        <v>11574404</v>
      </c>
      <c r="N14" s="8">
        <f t="shared" si="1"/>
        <v>43405505</v>
      </c>
      <c r="O14" s="8">
        <f t="shared" si="2"/>
        <v>418830.2763157895</v>
      </c>
      <c r="P14" s="8">
        <f t="shared" si="3"/>
        <v>282302.53658536583</v>
      </c>
      <c r="Q14" s="21" t="str">
        <f t="shared" si="4"/>
        <v/>
      </c>
    </row>
    <row r="15" spans="1:17" ht="21.75" customHeight="1" x14ac:dyDescent="0.2">
      <c r="A15" s="47">
        <v>46183</v>
      </c>
      <c r="B15" s="48" t="s">
        <v>402</v>
      </c>
      <c r="C15" s="49">
        <v>32966537</v>
      </c>
      <c r="D15" s="49">
        <v>76</v>
      </c>
      <c r="E15" s="49"/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8">
        <f t="shared" si="0"/>
        <v>15994501</v>
      </c>
      <c r="N15" s="8">
        <f t="shared" si="1"/>
        <v>48961038</v>
      </c>
      <c r="O15" s="8">
        <f t="shared" si="2"/>
        <v>433770.2236842105</v>
      </c>
      <c r="P15" s="8">
        <f t="shared" si="3"/>
        <v>296194.46296296298</v>
      </c>
      <c r="Q15" s="21" t="str">
        <f t="shared" si="4"/>
        <v/>
      </c>
    </row>
    <row r="16" spans="1:17" ht="21.75" customHeight="1" x14ac:dyDescent="0.2">
      <c r="A16" s="47">
        <v>46184</v>
      </c>
      <c r="B16" s="48" t="s">
        <v>403</v>
      </c>
      <c r="C16" s="49">
        <v>38207669</v>
      </c>
      <c r="D16" s="49">
        <v>90</v>
      </c>
      <c r="E16" s="49"/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8">
        <f t="shared" si="0"/>
        <v>15193002</v>
      </c>
      <c r="N16" s="8">
        <f t="shared" si="1"/>
        <v>53400671</v>
      </c>
      <c r="O16" s="8">
        <f t="shared" si="2"/>
        <v>424529.65555555554</v>
      </c>
      <c r="P16" s="8">
        <f t="shared" si="3"/>
        <v>370561.02439024393</v>
      </c>
      <c r="Q16" s="21" t="str">
        <f t="shared" si="4"/>
        <v/>
      </c>
    </row>
    <row r="17" spans="1:17" ht="21.75" customHeight="1" x14ac:dyDescent="0.2">
      <c r="A17" s="47">
        <v>46185</v>
      </c>
      <c r="B17" s="48" t="s">
        <v>404</v>
      </c>
      <c r="C17" s="49">
        <v>37803177</v>
      </c>
      <c r="D17" s="49">
        <v>88</v>
      </c>
      <c r="E17" s="49"/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8">
        <f t="shared" si="0"/>
        <v>19203515</v>
      </c>
      <c r="N17" s="8">
        <f t="shared" si="1"/>
        <v>57006692</v>
      </c>
      <c r="O17" s="8">
        <f t="shared" si="2"/>
        <v>429581.55681818182</v>
      </c>
      <c r="P17" s="8">
        <f t="shared" si="3"/>
        <v>286619.62686567166</v>
      </c>
      <c r="Q17" s="21" t="str">
        <f t="shared" si="4"/>
        <v/>
      </c>
    </row>
    <row r="18" spans="1:17" ht="21.75" customHeight="1" x14ac:dyDescent="0.2">
      <c r="A18" s="51">
        <v>46186</v>
      </c>
      <c r="B18" s="52" t="s">
        <v>405</v>
      </c>
      <c r="C18" s="49">
        <v>31450293</v>
      </c>
      <c r="D18" s="49">
        <v>82</v>
      </c>
      <c r="E18" s="49"/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447224</v>
      </c>
      <c r="L18" s="50"/>
      <c r="M18" s="8">
        <f t="shared" si="0"/>
        <v>24697769</v>
      </c>
      <c r="N18" s="8">
        <f t="shared" si="1"/>
        <v>56148062</v>
      </c>
      <c r="O18" s="8">
        <f t="shared" si="2"/>
        <v>383540.15853658534</v>
      </c>
      <c r="P18" s="8">
        <f t="shared" si="3"/>
        <v>268454.01086956525</v>
      </c>
      <c r="Q18" s="21" t="str">
        <f t="shared" si="4"/>
        <v/>
      </c>
    </row>
    <row r="19" spans="1:17" ht="21.75" customHeight="1" x14ac:dyDescent="0.2">
      <c r="A19" s="51">
        <v>46187</v>
      </c>
      <c r="B19" s="52" t="s">
        <v>406</v>
      </c>
      <c r="C19" s="49">
        <v>27933793</v>
      </c>
      <c r="D19" s="49">
        <v>63</v>
      </c>
      <c r="E19" s="49"/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1825095</v>
      </c>
      <c r="L19" s="50"/>
      <c r="M19" s="8">
        <f t="shared" si="0"/>
        <v>21950252</v>
      </c>
      <c r="N19" s="8">
        <f t="shared" si="1"/>
        <v>49884045</v>
      </c>
      <c r="O19" s="8">
        <f t="shared" si="2"/>
        <v>443393.5396825397</v>
      </c>
      <c r="P19" s="8">
        <f t="shared" si="3"/>
        <v>354036.32258064515</v>
      </c>
      <c r="Q19" s="21" t="str">
        <f t="shared" si="4"/>
        <v/>
      </c>
    </row>
    <row r="20" spans="1:17" ht="21.75" customHeight="1" x14ac:dyDescent="0.2">
      <c r="A20" s="47">
        <v>46188</v>
      </c>
      <c r="B20" s="48" t="s">
        <v>400</v>
      </c>
      <c r="C20" s="49">
        <v>42226288</v>
      </c>
      <c r="D20" s="49">
        <v>104</v>
      </c>
      <c r="E20" s="49"/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8">
        <f t="shared" si="0"/>
        <v>13227753</v>
      </c>
      <c r="N20" s="8">
        <f t="shared" si="1"/>
        <v>55454041</v>
      </c>
      <c r="O20" s="8">
        <f t="shared" si="2"/>
        <v>406022</v>
      </c>
      <c r="P20" s="8">
        <f t="shared" si="3"/>
        <v>367437.58333333331</v>
      </c>
      <c r="Q20" s="21" t="str">
        <f t="shared" si="4"/>
        <v/>
      </c>
    </row>
    <row r="21" spans="1:17" ht="21.75" customHeight="1" x14ac:dyDescent="0.2">
      <c r="A21" s="47">
        <v>46189</v>
      </c>
      <c r="B21" s="48" t="s">
        <v>401</v>
      </c>
      <c r="C21" s="49">
        <v>44253287</v>
      </c>
      <c r="D21" s="49">
        <v>108</v>
      </c>
      <c r="E21" s="49"/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8">
        <f t="shared" si="0"/>
        <v>17031503</v>
      </c>
      <c r="N21" s="8">
        <f t="shared" si="1"/>
        <v>61284790</v>
      </c>
      <c r="O21" s="8">
        <f t="shared" si="2"/>
        <v>409752.65740740742</v>
      </c>
      <c r="P21" s="8">
        <f t="shared" si="3"/>
        <v>309663.69090909092</v>
      </c>
      <c r="Q21" s="21" t="str">
        <f t="shared" si="4"/>
        <v/>
      </c>
    </row>
    <row r="22" spans="1:17" ht="21.75" customHeight="1" x14ac:dyDescent="0.2">
      <c r="A22" s="47">
        <v>46190</v>
      </c>
      <c r="B22" s="48" t="s">
        <v>402</v>
      </c>
      <c r="C22" s="49">
        <v>43337858</v>
      </c>
      <c r="D22" s="49">
        <v>99</v>
      </c>
      <c r="E22" s="49"/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981100</v>
      </c>
      <c r="L22" s="50"/>
      <c r="M22" s="8">
        <f t="shared" si="0"/>
        <v>13988702</v>
      </c>
      <c r="N22" s="8">
        <f t="shared" si="1"/>
        <v>57326560</v>
      </c>
      <c r="O22" s="8">
        <f t="shared" si="2"/>
        <v>437756.1414141414</v>
      </c>
      <c r="P22" s="8">
        <f t="shared" si="3"/>
        <v>274288.27450980392</v>
      </c>
      <c r="Q22" s="21" t="str">
        <f t="shared" si="4"/>
        <v/>
      </c>
    </row>
    <row r="23" spans="1:17" ht="21.75" customHeight="1" x14ac:dyDescent="0.2">
      <c r="A23" s="47">
        <v>46191</v>
      </c>
      <c r="B23" s="48" t="s">
        <v>403</v>
      </c>
      <c r="C23" s="49">
        <v>49976088</v>
      </c>
      <c r="D23" s="49">
        <v>114</v>
      </c>
      <c r="E23" s="49"/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8">
        <f t="shared" si="0"/>
        <v>18414758</v>
      </c>
      <c r="N23" s="8">
        <f t="shared" si="1"/>
        <v>68390846</v>
      </c>
      <c r="O23" s="8">
        <f t="shared" si="2"/>
        <v>438386.73684210528</v>
      </c>
      <c r="P23" s="8">
        <f t="shared" si="3"/>
        <v>361073.68627450982</v>
      </c>
      <c r="Q23" s="21" t="str">
        <f t="shared" si="4"/>
        <v/>
      </c>
    </row>
    <row r="24" spans="1:17" ht="21.75" customHeight="1" x14ac:dyDescent="0.2">
      <c r="A24" s="47">
        <v>46192</v>
      </c>
      <c r="B24" s="48" t="s">
        <v>404</v>
      </c>
      <c r="C24" s="49">
        <v>45923314</v>
      </c>
      <c r="D24" s="49">
        <v>102</v>
      </c>
      <c r="E24" s="49"/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3504865</v>
      </c>
      <c r="L24" s="50"/>
      <c r="M24" s="8">
        <f t="shared" si="0"/>
        <v>20930249</v>
      </c>
      <c r="N24" s="8">
        <f t="shared" si="1"/>
        <v>66853563</v>
      </c>
      <c r="O24" s="8">
        <f t="shared" si="2"/>
        <v>450228.56862745096</v>
      </c>
      <c r="P24" s="8">
        <f t="shared" si="3"/>
        <v>317124.98484848486</v>
      </c>
      <c r="Q24" s="21" t="str">
        <f t="shared" si="4"/>
        <v/>
      </c>
    </row>
    <row r="25" spans="1:17" ht="21.75" customHeight="1" x14ac:dyDescent="0.2">
      <c r="A25" s="51">
        <v>46193</v>
      </c>
      <c r="B25" s="52" t="s">
        <v>405</v>
      </c>
      <c r="C25" s="49">
        <v>34642065</v>
      </c>
      <c r="D25" s="49">
        <v>78</v>
      </c>
      <c r="E25" s="49"/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8">
        <f t="shared" si="0"/>
        <v>16086258</v>
      </c>
      <c r="N25" s="8">
        <f t="shared" si="1"/>
        <v>50728323</v>
      </c>
      <c r="O25" s="8">
        <f t="shared" si="2"/>
        <v>444129.03846153844</v>
      </c>
      <c r="P25" s="8">
        <f t="shared" si="3"/>
        <v>268104.3</v>
      </c>
      <c r="Q25" s="21" t="str">
        <f t="shared" si="4"/>
        <v/>
      </c>
    </row>
    <row r="26" spans="1:17" ht="21.75" customHeight="1" x14ac:dyDescent="0.2">
      <c r="A26" s="51">
        <v>46194</v>
      </c>
      <c r="B26" s="52" t="s">
        <v>406</v>
      </c>
      <c r="C26" s="49">
        <v>34371552</v>
      </c>
      <c r="D26" s="49">
        <v>63</v>
      </c>
      <c r="E26" s="49"/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3793370</v>
      </c>
      <c r="L26" s="50"/>
      <c r="M26" s="8">
        <f t="shared" si="0"/>
        <v>15508531</v>
      </c>
      <c r="N26" s="8">
        <f t="shared" si="1"/>
        <v>49880083</v>
      </c>
      <c r="O26" s="8">
        <f t="shared" si="2"/>
        <v>545580.19047619053</v>
      </c>
      <c r="P26" s="8">
        <f t="shared" si="3"/>
        <v>262856.45762711862</v>
      </c>
      <c r="Q26" s="21" t="str">
        <f t="shared" si="4"/>
        <v/>
      </c>
    </row>
    <row r="27" spans="1:17" ht="21.75" customHeight="1" x14ac:dyDescent="0.2">
      <c r="A27" s="47">
        <v>46195</v>
      </c>
      <c r="B27" s="48" t="s">
        <v>400</v>
      </c>
      <c r="C27" s="49">
        <v>45116287</v>
      </c>
      <c r="D27" s="49">
        <v>82</v>
      </c>
      <c r="E27" s="49"/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659259</v>
      </c>
      <c r="L27" s="50"/>
      <c r="M27" s="8">
        <f t="shared" si="0"/>
        <v>13034904</v>
      </c>
      <c r="N27" s="8">
        <f t="shared" si="1"/>
        <v>58151191</v>
      </c>
      <c r="O27" s="8">
        <f t="shared" si="2"/>
        <v>550198.62195121951</v>
      </c>
      <c r="P27" s="8">
        <f t="shared" si="3"/>
        <v>303137.30232558138</v>
      </c>
      <c r="Q27" s="21" t="str">
        <f t="shared" si="4"/>
        <v/>
      </c>
    </row>
    <row r="28" spans="1:17" ht="21.75" customHeight="1" x14ac:dyDescent="0.2">
      <c r="A28" s="47">
        <v>46196</v>
      </c>
      <c r="B28" s="48" t="s">
        <v>401</v>
      </c>
      <c r="C28" s="49">
        <v>32312408</v>
      </c>
      <c r="D28" s="49">
        <v>69</v>
      </c>
      <c r="E28" s="49"/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8">
        <f t="shared" si="0"/>
        <v>11771514</v>
      </c>
      <c r="N28" s="8">
        <f t="shared" si="1"/>
        <v>44083922</v>
      </c>
      <c r="O28" s="8">
        <f t="shared" si="2"/>
        <v>468295.76811594202</v>
      </c>
      <c r="P28" s="8">
        <f t="shared" si="3"/>
        <v>356712.54545454547</v>
      </c>
      <c r="Q28" s="21" t="str">
        <f t="shared" si="4"/>
        <v/>
      </c>
    </row>
    <row r="29" spans="1:17" ht="21.75" customHeight="1" x14ac:dyDescent="0.2">
      <c r="A29" s="47">
        <v>46197</v>
      </c>
      <c r="B29" s="48" t="s">
        <v>402</v>
      </c>
      <c r="C29" s="49">
        <v>32701796</v>
      </c>
      <c r="D29" s="49">
        <v>82</v>
      </c>
      <c r="E29" s="49"/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8">
        <f t="shared" si="0"/>
        <v>15231018</v>
      </c>
      <c r="N29" s="8">
        <f t="shared" si="1"/>
        <v>47932814</v>
      </c>
      <c r="O29" s="8">
        <f t="shared" si="2"/>
        <v>398802.39024390245</v>
      </c>
      <c r="P29" s="8">
        <f t="shared" si="3"/>
        <v>362643.28571428574</v>
      </c>
      <c r="Q29" s="21" t="str">
        <f t="shared" si="4"/>
        <v/>
      </c>
    </row>
    <row r="30" spans="1:17" ht="21.75" customHeight="1" x14ac:dyDescent="0.2">
      <c r="A30" s="47">
        <v>46198</v>
      </c>
      <c r="B30" s="48" t="s">
        <v>403</v>
      </c>
      <c r="C30" s="49">
        <v>39556390</v>
      </c>
      <c r="D30" s="49">
        <v>99</v>
      </c>
      <c r="E30" s="49"/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8">
        <f t="shared" si="0"/>
        <v>13689998</v>
      </c>
      <c r="N30" s="8">
        <f t="shared" si="1"/>
        <v>53246388</v>
      </c>
      <c r="O30" s="8">
        <f t="shared" si="2"/>
        <v>399559.49494949495</v>
      </c>
      <c r="P30" s="8">
        <f t="shared" si="3"/>
        <v>263269.19230769231</v>
      </c>
      <c r="Q30" s="21" t="str">
        <f t="shared" si="4"/>
        <v/>
      </c>
    </row>
    <row r="31" spans="1:17" ht="21.75" customHeight="1" x14ac:dyDescent="0.2">
      <c r="A31" s="47">
        <v>46199</v>
      </c>
      <c r="B31" s="48" t="s">
        <v>404</v>
      </c>
      <c r="C31" s="49">
        <v>34245263</v>
      </c>
      <c r="D31" s="49">
        <v>80</v>
      </c>
      <c r="E31" s="49"/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8">
        <f t="shared" si="0"/>
        <v>20551003</v>
      </c>
      <c r="N31" s="8">
        <f t="shared" si="1"/>
        <v>54796266</v>
      </c>
      <c r="O31" s="8">
        <f t="shared" si="2"/>
        <v>428065.78749999998</v>
      </c>
      <c r="P31" s="8">
        <f t="shared" si="3"/>
        <v>285430.59722222225</v>
      </c>
      <c r="Q31" s="21" t="str">
        <f t="shared" si="4"/>
        <v/>
      </c>
    </row>
    <row r="32" spans="1:17" ht="21.75" customHeight="1" x14ac:dyDescent="0.2">
      <c r="A32" s="51">
        <v>46200</v>
      </c>
      <c r="B32" s="52" t="s">
        <v>405</v>
      </c>
      <c r="C32" s="49">
        <v>31660032</v>
      </c>
      <c r="D32" s="49">
        <v>75</v>
      </c>
      <c r="E32" s="49"/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8">
        <f t="shared" si="0"/>
        <v>20102510</v>
      </c>
      <c r="N32" s="8">
        <f t="shared" si="1"/>
        <v>51762542</v>
      </c>
      <c r="O32" s="8">
        <f t="shared" si="2"/>
        <v>422133.76000000001</v>
      </c>
      <c r="P32" s="8">
        <f t="shared" si="3"/>
        <v>291340.72463768115</v>
      </c>
      <c r="Q32" s="21" t="str">
        <f t="shared" si="4"/>
        <v/>
      </c>
    </row>
    <row r="33" spans="1:17" ht="21.75" customHeight="1" x14ac:dyDescent="0.2">
      <c r="A33" s="51">
        <v>46201</v>
      </c>
      <c r="B33" s="52" t="s">
        <v>406</v>
      </c>
      <c r="C33" s="49">
        <v>28009525</v>
      </c>
      <c r="D33" s="49">
        <v>60</v>
      </c>
      <c r="E33" s="49"/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8">
        <f t="shared" si="0"/>
        <v>16678256</v>
      </c>
      <c r="N33" s="8">
        <f t="shared" si="1"/>
        <v>44687781</v>
      </c>
      <c r="O33" s="8">
        <f t="shared" si="2"/>
        <v>466825.41666666669</v>
      </c>
      <c r="P33" s="8">
        <f t="shared" si="3"/>
        <v>277970.93333333335</v>
      </c>
      <c r="Q33" s="21" t="str">
        <f t="shared" si="4"/>
        <v/>
      </c>
    </row>
    <row r="34" spans="1:17" ht="21.75" customHeight="1" x14ac:dyDescent="0.2">
      <c r="A34" s="47">
        <v>46202</v>
      </c>
      <c r="B34" s="48" t="s">
        <v>400</v>
      </c>
      <c r="C34" s="49">
        <v>35600022</v>
      </c>
      <c r="D34" s="49">
        <v>73</v>
      </c>
      <c r="E34" s="49"/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8">
        <f t="shared" si="0"/>
        <v>11992758</v>
      </c>
      <c r="N34" s="8">
        <f t="shared" si="1"/>
        <v>47592780</v>
      </c>
      <c r="O34" s="8">
        <f t="shared" si="2"/>
        <v>487671.53424657532</v>
      </c>
      <c r="P34" s="8">
        <f t="shared" si="3"/>
        <v>342650.22857142857</v>
      </c>
      <c r="Q34" s="21" t="str">
        <f t="shared" si="4"/>
        <v/>
      </c>
    </row>
    <row r="35" spans="1:17" ht="21.75" customHeight="1" x14ac:dyDescent="0.2">
      <c r="A35" s="47">
        <v>46203</v>
      </c>
      <c r="B35" s="48" t="s">
        <v>401</v>
      </c>
      <c r="C35" s="49">
        <v>35013903</v>
      </c>
      <c r="D35" s="49">
        <v>83</v>
      </c>
      <c r="E35" s="49"/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8">
        <f t="shared" si="0"/>
        <v>16367513</v>
      </c>
      <c r="N35" s="8">
        <f t="shared" si="1"/>
        <v>51381416</v>
      </c>
      <c r="O35" s="8">
        <f t="shared" si="2"/>
        <v>421854.2530120482</v>
      </c>
      <c r="P35" s="8">
        <f t="shared" si="3"/>
        <v>303102.09259259258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416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417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418</v>
      </c>
      <c r="B3" s="35" t="s">
        <v>382</v>
      </c>
      <c r="C3" s="35" t="s">
        <v>384</v>
      </c>
      <c r="D3" s="35" t="s">
        <v>385</v>
      </c>
      <c r="E3" s="35" t="s">
        <v>419</v>
      </c>
      <c r="F3" s="36" t="s">
        <v>387</v>
      </c>
      <c r="G3" s="36" t="s">
        <v>420</v>
      </c>
      <c r="H3" s="37" t="s">
        <v>421</v>
      </c>
      <c r="I3" s="40" t="s">
        <v>422</v>
      </c>
      <c r="J3" s="40" t="s">
        <v>423</v>
      </c>
      <c r="K3" s="40" t="s">
        <v>424</v>
      </c>
      <c r="L3" s="39" t="s">
        <v>393</v>
      </c>
    </row>
    <row r="4" spans="1:12" ht="24" customHeight="1" x14ac:dyDescent="0.2">
      <c r="A4" s="53" t="s">
        <v>425</v>
      </c>
      <c r="B4" s="54" t="s">
        <v>426</v>
      </c>
      <c r="C4" s="55">
        <v>243097511</v>
      </c>
      <c r="D4" s="55">
        <v>551</v>
      </c>
      <c r="E4" s="55">
        <v>441193</v>
      </c>
      <c r="F4" s="56"/>
      <c r="G4" s="57"/>
      <c r="H4" s="58">
        <v>125253971</v>
      </c>
      <c r="I4" s="59">
        <v>368351482</v>
      </c>
      <c r="J4" s="60">
        <v>0.1991</v>
      </c>
      <c r="K4" s="60">
        <v>0.19109999999999999</v>
      </c>
      <c r="L4" s="61"/>
    </row>
    <row r="5" spans="1:12" ht="24" customHeight="1" x14ac:dyDescent="0.2">
      <c r="A5" s="62" t="s">
        <v>427</v>
      </c>
      <c r="B5" s="63" t="s">
        <v>428</v>
      </c>
      <c r="C5" s="55">
        <v>236697613</v>
      </c>
      <c r="D5" s="55">
        <v>549</v>
      </c>
      <c r="E5" s="55">
        <v>431143</v>
      </c>
      <c r="F5" s="56"/>
      <c r="G5" s="57"/>
      <c r="H5" s="58">
        <v>124917193</v>
      </c>
      <c r="I5" s="59">
        <v>361614806</v>
      </c>
      <c r="J5" s="60">
        <v>0.39290000000000003</v>
      </c>
      <c r="K5" s="60">
        <v>0.38159999999999999</v>
      </c>
      <c r="L5" s="61"/>
    </row>
    <row r="6" spans="1:12" ht="24" customHeight="1" x14ac:dyDescent="0.2">
      <c r="A6" s="64" t="s">
        <v>429</v>
      </c>
      <c r="B6" s="65" t="s">
        <v>430</v>
      </c>
      <c r="C6" s="55">
        <v>294730452</v>
      </c>
      <c r="D6" s="55">
        <v>668</v>
      </c>
      <c r="E6" s="55">
        <v>441213</v>
      </c>
      <c r="F6" s="56"/>
      <c r="G6" s="57"/>
      <c r="H6" s="58">
        <v>115187754</v>
      </c>
      <c r="I6" s="59">
        <v>409918206</v>
      </c>
      <c r="J6" s="60">
        <v>0.63429999999999997</v>
      </c>
      <c r="K6" s="60">
        <v>0.55740000000000001</v>
      </c>
      <c r="L6" s="61"/>
    </row>
    <row r="7" spans="1:12" ht="24" customHeight="1" x14ac:dyDescent="0.2">
      <c r="A7" s="66" t="s">
        <v>431</v>
      </c>
      <c r="B7" s="67" t="s">
        <v>432</v>
      </c>
      <c r="C7" s="55">
        <v>243601701</v>
      </c>
      <c r="D7" s="55">
        <v>547</v>
      </c>
      <c r="E7" s="55">
        <v>445341</v>
      </c>
      <c r="F7" s="56"/>
      <c r="G7" s="57"/>
      <c r="H7" s="58">
        <v>111059203</v>
      </c>
      <c r="I7" s="59">
        <v>354660904</v>
      </c>
      <c r="J7" s="60">
        <v>0.83379999999999999</v>
      </c>
      <c r="K7" s="60">
        <v>0.7268</v>
      </c>
      <c r="L7" s="61"/>
    </row>
    <row r="8" spans="1:12" ht="24" customHeight="1" x14ac:dyDescent="0.2">
      <c r="A8" s="68" t="s">
        <v>433</v>
      </c>
      <c r="B8" s="69" t="s">
        <v>434</v>
      </c>
      <c r="C8" s="55">
        <v>70613925</v>
      </c>
      <c r="D8" s="55">
        <v>156</v>
      </c>
      <c r="E8" s="55">
        <v>452653</v>
      </c>
      <c r="F8" s="56"/>
      <c r="G8" s="57"/>
      <c r="H8" s="58">
        <v>28360271</v>
      </c>
      <c r="I8" s="59">
        <v>98974196</v>
      </c>
      <c r="J8" s="60">
        <v>0.89159999999999995</v>
      </c>
      <c r="K8" s="60">
        <v>0.77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20" ht="18.75" customHeight="1" x14ac:dyDescent="0.2">
      <c r="I17" s="70"/>
    </row>
    <row r="18" spans="1:20" ht="18.75" customHeight="1" x14ac:dyDescent="0.2">
      <c r="J18" s="70"/>
    </row>
    <row r="19" spans="1:20" ht="18.75" customHeight="1" x14ac:dyDescent="0.2">
      <c r="K19" s="70"/>
    </row>
    <row r="20" spans="1:20" ht="18.75" customHeight="1" x14ac:dyDescent="0.2">
      <c r="L20" s="70"/>
    </row>
    <row r="21" spans="1:20" ht="25.5" customHeight="1" x14ac:dyDescent="0.2">
      <c r="A21" s="71" t="s">
        <v>435</v>
      </c>
      <c r="B21" s="72" t="s">
        <v>436</v>
      </c>
      <c r="C21" s="73">
        <v>1088741202</v>
      </c>
      <c r="D21" s="73">
        <v>2471</v>
      </c>
      <c r="E21" s="73">
        <v>440608</v>
      </c>
      <c r="F21" s="73"/>
      <c r="G21" s="74"/>
      <c r="H21" s="73">
        <v>504778392</v>
      </c>
      <c r="I21" s="73">
        <v>1593519594</v>
      </c>
      <c r="J21" s="75">
        <v>0.89159999999999995</v>
      </c>
      <c r="K21" s="75">
        <v>0.77</v>
      </c>
      <c r="L21" s="70"/>
    </row>
    <row r="22" spans="1:20" ht="18.75" customHeight="1" x14ac:dyDescent="0.2"/>
    <row r="23" spans="1:20" ht="21.75" customHeight="1" x14ac:dyDescent="0.2">
      <c r="A23" s="175" t="s">
        <v>437</v>
      </c>
      <c r="B23" s="149"/>
      <c r="C23" s="76">
        <v>1221140305</v>
      </c>
      <c r="D23" s="42"/>
      <c r="E23" s="42"/>
      <c r="F23" s="42"/>
      <c r="G23" s="42"/>
      <c r="H23" s="77">
        <v>655527931</v>
      </c>
      <c r="I23" s="78">
        <v>1876668236</v>
      </c>
      <c r="J23" s="42"/>
      <c r="K23" s="42"/>
      <c r="L23" s="42"/>
    </row>
    <row r="24" spans="1:20" ht="18.75" customHeight="1" x14ac:dyDescent="0.2"/>
    <row r="25" spans="1:20" ht="18.75" customHeight="1" x14ac:dyDescent="0.2">
      <c r="A25" s="174" t="s">
        <v>438</v>
      </c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</row>
    <row r="26" spans="1:20" ht="18.75" customHeight="1" x14ac:dyDescent="0.2"/>
    <row r="27" spans="1:20" ht="42" customHeight="1" x14ac:dyDescent="0.2">
      <c r="A27" s="172" t="s">
        <v>439</v>
      </c>
      <c r="B27" s="149"/>
      <c r="C27" s="149"/>
      <c r="D27" s="149"/>
      <c r="E27" s="149"/>
      <c r="F27" s="149"/>
      <c r="G27" s="149"/>
      <c r="H27" s="149"/>
      <c r="I27" s="149"/>
      <c r="J27" s="149"/>
      <c r="K27" s="149"/>
      <c r="L27" s="173"/>
      <c r="M27" s="79"/>
      <c r="N27" s="79"/>
      <c r="O27" s="79"/>
      <c r="P27" s="79"/>
      <c r="Q27" s="79"/>
      <c r="R27" s="79"/>
      <c r="S27" s="79"/>
      <c r="T27" s="79"/>
    </row>
    <row r="28" spans="1:20" ht="13.5" customHeight="1" x14ac:dyDescent="0.2">
      <c r="A28" s="80" t="s">
        <v>440</v>
      </c>
      <c r="B28" s="80" t="s">
        <v>441</v>
      </c>
      <c r="C28" s="80" t="s">
        <v>442</v>
      </c>
      <c r="D28" s="80" t="s">
        <v>443</v>
      </c>
      <c r="E28" s="80" t="s">
        <v>444</v>
      </c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</row>
    <row r="29" spans="1:20" ht="300" customHeight="1" x14ac:dyDescent="0.2">
      <c r="A29" s="81">
        <v>1</v>
      </c>
      <c r="B29" s="82" t="s">
        <v>445</v>
      </c>
      <c r="C29" s="82" t="s">
        <v>446</v>
      </c>
      <c r="D29" s="82" t="s">
        <v>447</v>
      </c>
      <c r="E29" s="83" t="s">
        <v>448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</row>
    <row r="30" spans="1:20" ht="90" customHeight="1" x14ac:dyDescent="0.2">
      <c r="A30" s="81">
        <v>2</v>
      </c>
      <c r="B30" s="82" t="s">
        <v>449</v>
      </c>
      <c r="C30" s="82" t="s">
        <v>450</v>
      </c>
      <c r="D30" s="82" t="s">
        <v>447</v>
      </c>
      <c r="E30" s="83">
        <v>0.8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</row>
    <row r="31" spans="1:20" ht="135" customHeight="1" x14ac:dyDescent="0.2">
      <c r="A31" s="81">
        <v>3</v>
      </c>
      <c r="B31" s="82" t="s">
        <v>451</v>
      </c>
      <c r="C31" s="82" t="s">
        <v>452</v>
      </c>
      <c r="D31" s="82" t="s">
        <v>453</v>
      </c>
      <c r="E31" s="83">
        <v>1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</row>
    <row r="32" spans="1:20" ht="150" customHeight="1" x14ac:dyDescent="0.2">
      <c r="A32" s="81">
        <v>4</v>
      </c>
      <c r="B32" s="82" t="s">
        <v>454</v>
      </c>
      <c r="C32" s="82" t="s">
        <v>455</v>
      </c>
      <c r="D32" s="82" t="s">
        <v>447</v>
      </c>
      <c r="E32" s="83">
        <v>0.85</v>
      </c>
      <c r="F32" s="84" t="s">
        <v>456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</row>
    <row r="33" spans="1:20" ht="45" customHeight="1" x14ac:dyDescent="0.2">
      <c r="A33" s="81">
        <v>5</v>
      </c>
      <c r="B33" s="82" t="s">
        <v>457</v>
      </c>
      <c r="C33" s="82"/>
      <c r="D33" s="82" t="s">
        <v>458</v>
      </c>
      <c r="E33" s="82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</row>
    <row r="34" spans="1:20" ht="90" customHeight="1" x14ac:dyDescent="0.2">
      <c r="A34" s="81">
        <v>6</v>
      </c>
      <c r="B34" s="82" t="s">
        <v>459</v>
      </c>
      <c r="C34" s="82" t="s">
        <v>460</v>
      </c>
      <c r="D34" s="82" t="s">
        <v>461</v>
      </c>
      <c r="E34" s="82" t="s">
        <v>462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</row>
    <row r="35" spans="1:20" ht="16.5" customHeight="1" x14ac:dyDescent="0.2">
      <c r="A35" s="172" t="s">
        <v>463</v>
      </c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73"/>
      <c r="M35" s="84"/>
      <c r="N35" s="84"/>
      <c r="O35" s="84"/>
      <c r="P35" s="84"/>
      <c r="Q35" s="84"/>
      <c r="R35" s="84"/>
      <c r="S35" s="84"/>
      <c r="T35" s="84"/>
    </row>
    <row r="36" spans="1:20" ht="30" customHeight="1" x14ac:dyDescent="0.2">
      <c r="A36" s="81" t="s">
        <v>440</v>
      </c>
      <c r="B36" s="82" t="s">
        <v>464</v>
      </c>
      <c r="C36" s="82" t="s">
        <v>465</v>
      </c>
      <c r="D36" s="82" t="s">
        <v>466</v>
      </c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</row>
    <row r="37" spans="1:20" ht="195" customHeight="1" x14ac:dyDescent="0.2">
      <c r="A37" s="81">
        <v>1</v>
      </c>
      <c r="B37" s="82"/>
      <c r="C37" s="82"/>
      <c r="D37" s="82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</row>
    <row r="38" spans="1:20" ht="105" customHeight="1" x14ac:dyDescent="0.2">
      <c r="A38" s="81">
        <v>2</v>
      </c>
      <c r="B38" s="82"/>
      <c r="C38" s="82"/>
      <c r="D38" s="82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</row>
    <row r="39" spans="1:20" ht="18.75" customHeight="1" x14ac:dyDescent="0.2">
      <c r="A39" s="85">
        <v>3</v>
      </c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7:L27"/>
    <mergeCell ref="A2:L2"/>
    <mergeCell ref="A25:L25"/>
    <mergeCell ref="A1:L1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467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1214990084</v>
      </c>
      <c r="D5" s="42"/>
      <c r="E5" s="42"/>
      <c r="F5" s="42"/>
      <c r="G5" s="43">
        <v>343229305</v>
      </c>
      <c r="H5" s="43">
        <v>169214438</v>
      </c>
      <c r="I5" s="43">
        <v>139782649</v>
      </c>
      <c r="J5" s="42"/>
      <c r="K5" s="42"/>
      <c r="L5" s="42"/>
      <c r="M5" s="44">
        <v>652226392</v>
      </c>
      <c r="N5" s="44">
        <v>1867216476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46204</v>
      </c>
      <c r="B6" s="48" t="s">
        <v>402</v>
      </c>
      <c r="C6" s="49">
        <v>41816554</v>
      </c>
      <c r="D6" s="49">
        <v>98</v>
      </c>
      <c r="E6" s="49"/>
      <c r="F6" s="49"/>
      <c r="G6" s="49">
        <v>5255003</v>
      </c>
      <c r="H6" s="49">
        <v>4262751</v>
      </c>
      <c r="I6" s="49">
        <v>5003500</v>
      </c>
      <c r="J6" s="49">
        <v>42</v>
      </c>
      <c r="K6" s="49">
        <v>1382857</v>
      </c>
      <c r="L6" s="50"/>
      <c r="M6" s="8">
        <f t="shared" ref="M6:M36" si="0">IF(SUM(G6:I6)&gt;0,SUM(G6:I6),"")</f>
        <v>14521254</v>
      </c>
      <c r="N6" s="8">
        <f t="shared" ref="N6:N36" si="1">IF(N(C6)+N(M6)&gt;0,N(C6)+N(M6),"")</f>
        <v>56337808</v>
      </c>
      <c r="O6" s="8">
        <f t="shared" ref="O6:O36" si="2">IFERROR(IF(D6&gt;0,C6/D6,""),"")</f>
        <v>426699.53061224491</v>
      </c>
      <c r="P6" s="8">
        <f t="shared" ref="P6:P36" si="3">IFERROR(IF(J6&gt;0,M6/J6,""),"")</f>
        <v>345744.14285714284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46205</v>
      </c>
      <c r="B7" s="48" t="s">
        <v>403</v>
      </c>
      <c r="C7" s="49">
        <v>38248053</v>
      </c>
      <c r="D7" s="49">
        <v>88</v>
      </c>
      <c r="E7" s="49"/>
      <c r="F7" s="49"/>
      <c r="G7" s="49">
        <v>9476011</v>
      </c>
      <c r="H7" s="49">
        <v>5529501</v>
      </c>
      <c r="I7" s="49">
        <v>4494505</v>
      </c>
      <c r="J7" s="49">
        <v>57</v>
      </c>
      <c r="K7" s="49">
        <v>200000</v>
      </c>
      <c r="L7" s="50"/>
      <c r="M7" s="8">
        <f t="shared" si="0"/>
        <v>19500017</v>
      </c>
      <c r="N7" s="8">
        <f t="shared" si="1"/>
        <v>57748070</v>
      </c>
      <c r="O7" s="8">
        <f t="shared" si="2"/>
        <v>434636.96590909088</v>
      </c>
      <c r="P7" s="8">
        <f t="shared" si="3"/>
        <v>342105.56140350876</v>
      </c>
      <c r="Q7" s="21" t="str">
        <f t="shared" si="4"/>
        <v/>
      </c>
    </row>
    <row r="8" spans="1:17" ht="21.75" customHeight="1" x14ac:dyDescent="0.2">
      <c r="A8" s="47">
        <v>46206</v>
      </c>
      <c r="B8" s="48" t="s">
        <v>404</v>
      </c>
      <c r="C8" s="49">
        <v>49557375</v>
      </c>
      <c r="D8" s="49">
        <v>117</v>
      </c>
      <c r="E8" s="49"/>
      <c r="F8" s="49"/>
      <c r="G8" s="49">
        <v>9565500</v>
      </c>
      <c r="H8" s="49">
        <v>4396003</v>
      </c>
      <c r="I8" s="49">
        <v>4959521</v>
      </c>
      <c r="J8" s="49">
        <v>62</v>
      </c>
      <c r="K8" s="49">
        <v>1076000</v>
      </c>
      <c r="L8" s="50"/>
      <c r="M8" s="8">
        <f t="shared" si="0"/>
        <v>18921024</v>
      </c>
      <c r="N8" s="8">
        <f t="shared" si="1"/>
        <v>68478399</v>
      </c>
      <c r="O8" s="8">
        <f t="shared" si="2"/>
        <v>423567.30769230769</v>
      </c>
      <c r="P8" s="8">
        <f t="shared" si="3"/>
        <v>305177.80645161291</v>
      </c>
      <c r="Q8" s="21" t="str">
        <f t="shared" si="4"/>
        <v/>
      </c>
    </row>
    <row r="9" spans="1:17" ht="21.75" customHeight="1" x14ac:dyDescent="0.2">
      <c r="A9" s="51">
        <v>46207</v>
      </c>
      <c r="B9" s="52" t="s">
        <v>405</v>
      </c>
      <c r="C9" s="49">
        <v>39340033</v>
      </c>
      <c r="D9" s="49">
        <v>97</v>
      </c>
      <c r="E9" s="49"/>
      <c r="F9" s="49"/>
      <c r="G9" s="49">
        <v>6833004</v>
      </c>
      <c r="H9" s="49">
        <v>6019997</v>
      </c>
      <c r="I9" s="49">
        <v>3574999</v>
      </c>
      <c r="J9" s="49">
        <v>61</v>
      </c>
      <c r="K9" s="49">
        <v>1188800</v>
      </c>
      <c r="L9" s="50"/>
      <c r="M9" s="8">
        <f t="shared" si="0"/>
        <v>16428000</v>
      </c>
      <c r="N9" s="8">
        <f t="shared" si="1"/>
        <v>55768033</v>
      </c>
      <c r="O9" s="8">
        <f t="shared" si="2"/>
        <v>405567.35051546391</v>
      </c>
      <c r="P9" s="8">
        <f t="shared" si="3"/>
        <v>269311.47540983604</v>
      </c>
      <c r="Q9" s="21" t="str">
        <f t="shared" si="4"/>
        <v/>
      </c>
    </row>
    <row r="10" spans="1:17" ht="21.75" customHeight="1" x14ac:dyDescent="0.2">
      <c r="A10" s="51">
        <v>46208</v>
      </c>
      <c r="B10" s="52" t="s">
        <v>406</v>
      </c>
      <c r="C10" s="49">
        <v>27398083</v>
      </c>
      <c r="D10" s="49">
        <v>66</v>
      </c>
      <c r="E10" s="49"/>
      <c r="F10" s="49"/>
      <c r="G10" s="49">
        <v>6461003</v>
      </c>
      <c r="H10" s="49">
        <v>9026495</v>
      </c>
      <c r="I10" s="49">
        <v>4521251</v>
      </c>
      <c r="J10" s="49">
        <v>57</v>
      </c>
      <c r="K10" s="49">
        <v>1487482</v>
      </c>
      <c r="L10" s="50"/>
      <c r="M10" s="8">
        <f t="shared" si="0"/>
        <v>20008749</v>
      </c>
      <c r="N10" s="8">
        <f t="shared" si="1"/>
        <v>47406832</v>
      </c>
      <c r="O10" s="8">
        <f t="shared" si="2"/>
        <v>415122.46969696973</v>
      </c>
      <c r="P10" s="8">
        <f t="shared" si="3"/>
        <v>351030.68421052629</v>
      </c>
      <c r="Q10" s="21" t="str">
        <f t="shared" si="4"/>
        <v/>
      </c>
    </row>
    <row r="11" spans="1:17" ht="21.75" customHeight="1" x14ac:dyDescent="0.2">
      <c r="A11" s="47">
        <v>46209</v>
      </c>
      <c r="B11" s="48" t="s">
        <v>400</v>
      </c>
      <c r="C11" s="49">
        <v>41043885</v>
      </c>
      <c r="D11" s="49">
        <v>83</v>
      </c>
      <c r="E11" s="49"/>
      <c r="F11" s="49"/>
      <c r="G11" s="49">
        <v>7666010</v>
      </c>
      <c r="H11" s="49">
        <v>2705002</v>
      </c>
      <c r="I11" s="49">
        <v>2308504</v>
      </c>
      <c r="J11" s="49">
        <v>42</v>
      </c>
      <c r="K11" s="49">
        <v>5240999</v>
      </c>
      <c r="L11" s="50"/>
      <c r="M11" s="8">
        <f t="shared" si="0"/>
        <v>12679516</v>
      </c>
      <c r="N11" s="8">
        <f t="shared" si="1"/>
        <v>53723401</v>
      </c>
      <c r="O11" s="8">
        <f t="shared" si="2"/>
        <v>494504.63855421689</v>
      </c>
      <c r="P11" s="8">
        <f t="shared" si="3"/>
        <v>301893.23809523811</v>
      </c>
      <c r="Q11" s="21" t="str">
        <f t="shared" si="4"/>
        <v/>
      </c>
    </row>
    <row r="12" spans="1:17" ht="21.75" customHeight="1" x14ac:dyDescent="0.2">
      <c r="A12" s="47">
        <v>46210</v>
      </c>
      <c r="B12" s="48" t="s">
        <v>401</v>
      </c>
      <c r="C12" s="49">
        <v>25061535</v>
      </c>
      <c r="D12" s="49">
        <v>69</v>
      </c>
      <c r="E12" s="49"/>
      <c r="F12" s="49"/>
      <c r="G12" s="49">
        <v>7050508</v>
      </c>
      <c r="H12" s="49">
        <v>1835500</v>
      </c>
      <c r="I12" s="49">
        <v>4549001</v>
      </c>
      <c r="J12" s="49">
        <v>48</v>
      </c>
      <c r="K12" s="49"/>
      <c r="L12" s="50"/>
      <c r="M12" s="8">
        <f t="shared" si="0"/>
        <v>13435009</v>
      </c>
      <c r="N12" s="8">
        <f t="shared" si="1"/>
        <v>38496544</v>
      </c>
      <c r="O12" s="8">
        <f t="shared" si="2"/>
        <v>363210.65217391303</v>
      </c>
      <c r="P12" s="8">
        <f t="shared" si="3"/>
        <v>279896.02083333331</v>
      </c>
      <c r="Q12" s="21" t="str">
        <f t="shared" si="4"/>
        <v/>
      </c>
    </row>
    <row r="13" spans="1:17" ht="21.75" customHeight="1" x14ac:dyDescent="0.2">
      <c r="A13" s="47">
        <v>46211</v>
      </c>
      <c r="B13" s="48" t="s">
        <v>402</v>
      </c>
      <c r="C13" s="49">
        <v>43729563</v>
      </c>
      <c r="D13" s="49">
        <v>107</v>
      </c>
      <c r="E13" s="49"/>
      <c r="F13" s="49"/>
      <c r="G13" s="49">
        <v>9457256</v>
      </c>
      <c r="H13" s="49">
        <v>5298505</v>
      </c>
      <c r="I13" s="49">
        <v>3436998</v>
      </c>
      <c r="J13" s="49">
        <v>62</v>
      </c>
      <c r="K13" s="49">
        <v>1828572</v>
      </c>
      <c r="L13" s="50"/>
      <c r="M13" s="8">
        <f t="shared" si="0"/>
        <v>18192759</v>
      </c>
      <c r="N13" s="8">
        <f t="shared" si="1"/>
        <v>61922322</v>
      </c>
      <c r="O13" s="8">
        <f t="shared" si="2"/>
        <v>408687.50467289722</v>
      </c>
      <c r="P13" s="8">
        <f t="shared" si="3"/>
        <v>293431.59677419357</v>
      </c>
      <c r="Q13" s="21" t="str">
        <f t="shared" si="4"/>
        <v/>
      </c>
    </row>
    <row r="14" spans="1:17" ht="21.75" customHeight="1" x14ac:dyDescent="0.2">
      <c r="A14" s="47">
        <v>46212</v>
      </c>
      <c r="B14" s="48" t="s">
        <v>403</v>
      </c>
      <c r="C14" s="49">
        <v>35047269</v>
      </c>
      <c r="D14" s="49">
        <v>77</v>
      </c>
      <c r="E14" s="49"/>
      <c r="F14" s="49"/>
      <c r="G14" s="49">
        <v>9945007</v>
      </c>
      <c r="H14" s="49">
        <v>2135001</v>
      </c>
      <c r="I14" s="49">
        <v>2569001</v>
      </c>
      <c r="J14" s="49">
        <v>50</v>
      </c>
      <c r="K14" s="49">
        <v>868800</v>
      </c>
      <c r="L14" s="50"/>
      <c r="M14" s="8">
        <f t="shared" si="0"/>
        <v>14649009</v>
      </c>
      <c r="N14" s="8">
        <f t="shared" si="1"/>
        <v>49696278</v>
      </c>
      <c r="O14" s="8">
        <f t="shared" si="2"/>
        <v>455159.33766233764</v>
      </c>
      <c r="P14" s="8">
        <f t="shared" si="3"/>
        <v>292980.18</v>
      </c>
      <c r="Q14" s="21" t="str">
        <f t="shared" si="4"/>
        <v/>
      </c>
    </row>
    <row r="15" spans="1:17" ht="21.75" customHeight="1" x14ac:dyDescent="0.2">
      <c r="A15" s="47">
        <v>46213</v>
      </c>
      <c r="B15" s="48" t="s">
        <v>404</v>
      </c>
      <c r="C15" s="49">
        <v>44784589</v>
      </c>
      <c r="D15" s="49">
        <v>97</v>
      </c>
      <c r="E15" s="49"/>
      <c r="F15" s="49"/>
      <c r="G15" s="49">
        <v>8523678</v>
      </c>
      <c r="H15" s="49">
        <v>6983754</v>
      </c>
      <c r="I15" s="49">
        <v>7198000</v>
      </c>
      <c r="J15" s="49">
        <v>73</v>
      </c>
      <c r="K15" s="49">
        <v>4473081</v>
      </c>
      <c r="L15" s="50"/>
      <c r="M15" s="8">
        <f t="shared" si="0"/>
        <v>22705432</v>
      </c>
      <c r="N15" s="8">
        <f t="shared" si="1"/>
        <v>67490021</v>
      </c>
      <c r="O15" s="8">
        <f t="shared" si="2"/>
        <v>461696.79381443298</v>
      </c>
      <c r="P15" s="8">
        <f t="shared" si="3"/>
        <v>311033.31506849313</v>
      </c>
      <c r="Q15" s="21" t="str">
        <f t="shared" si="4"/>
        <v/>
      </c>
    </row>
    <row r="16" spans="1:17" ht="21.75" customHeight="1" x14ac:dyDescent="0.2">
      <c r="A16" s="51">
        <v>46214</v>
      </c>
      <c r="B16" s="52" t="s">
        <v>405</v>
      </c>
      <c r="C16" s="49">
        <v>37429785</v>
      </c>
      <c r="D16" s="49">
        <v>102</v>
      </c>
      <c r="E16" s="49"/>
      <c r="F16" s="49"/>
      <c r="G16" s="49">
        <v>10539998</v>
      </c>
      <c r="H16" s="49">
        <v>7112501</v>
      </c>
      <c r="I16" s="49">
        <v>6608504</v>
      </c>
      <c r="J16" s="49">
        <v>79</v>
      </c>
      <c r="K16" s="49">
        <v>1162000</v>
      </c>
      <c r="L16" s="50"/>
      <c r="M16" s="8">
        <f t="shared" si="0"/>
        <v>24261003</v>
      </c>
      <c r="N16" s="8">
        <f t="shared" si="1"/>
        <v>61690788</v>
      </c>
      <c r="O16" s="8">
        <f t="shared" si="2"/>
        <v>366958.67647058825</v>
      </c>
      <c r="P16" s="8">
        <f t="shared" si="3"/>
        <v>307101.30379746837</v>
      </c>
      <c r="Q16" s="21" t="str">
        <f t="shared" si="4"/>
        <v/>
      </c>
    </row>
    <row r="17" spans="1:17" ht="21.75" customHeight="1" x14ac:dyDescent="0.2">
      <c r="A17" s="51">
        <v>46215</v>
      </c>
      <c r="B17" s="52" t="s">
        <v>406</v>
      </c>
      <c r="C17" s="49">
        <v>24101032</v>
      </c>
      <c r="D17" s="49">
        <v>78</v>
      </c>
      <c r="E17" s="49"/>
      <c r="F17" s="49"/>
      <c r="G17" s="49">
        <v>8568008</v>
      </c>
      <c r="H17" s="49">
        <v>5877003</v>
      </c>
      <c r="I17" s="49">
        <v>3866003</v>
      </c>
      <c r="J17" s="49">
        <v>59</v>
      </c>
      <c r="K17" s="49"/>
      <c r="L17" s="50"/>
      <c r="M17" s="8">
        <f t="shared" si="0"/>
        <v>18311014</v>
      </c>
      <c r="N17" s="8">
        <f t="shared" si="1"/>
        <v>42412046</v>
      </c>
      <c r="O17" s="8">
        <f t="shared" si="2"/>
        <v>308987.58974358975</v>
      </c>
      <c r="P17" s="8">
        <f t="shared" si="3"/>
        <v>310356.16949152545</v>
      </c>
      <c r="Q17" s="21" t="str">
        <f t="shared" si="4"/>
        <v/>
      </c>
    </row>
    <row r="18" spans="1:17" ht="21.75" customHeight="1" x14ac:dyDescent="0.2">
      <c r="A18" s="47">
        <v>46216</v>
      </c>
      <c r="B18" s="48" t="s">
        <v>400</v>
      </c>
      <c r="C18" s="49">
        <v>43339246</v>
      </c>
      <c r="D18" s="49">
        <v>100</v>
      </c>
      <c r="E18" s="49"/>
      <c r="F18" s="49"/>
      <c r="G18" s="49">
        <v>6566006</v>
      </c>
      <c r="H18" s="49">
        <v>3976003</v>
      </c>
      <c r="I18" s="49">
        <v>1930002</v>
      </c>
      <c r="J18" s="49">
        <v>39</v>
      </c>
      <c r="K18" s="49">
        <v>1547800</v>
      </c>
      <c r="L18" s="50"/>
      <c r="M18" s="8">
        <f t="shared" si="0"/>
        <v>12472011</v>
      </c>
      <c r="N18" s="8">
        <f t="shared" si="1"/>
        <v>55811257</v>
      </c>
      <c r="O18" s="8">
        <f t="shared" si="2"/>
        <v>433392.46</v>
      </c>
      <c r="P18" s="8">
        <f t="shared" si="3"/>
        <v>319795.15384615387</v>
      </c>
      <c r="Q18" s="21" t="str">
        <f t="shared" si="4"/>
        <v/>
      </c>
    </row>
    <row r="19" spans="1:17" ht="21.75" customHeight="1" x14ac:dyDescent="0.2">
      <c r="A19" s="47">
        <v>46217</v>
      </c>
      <c r="B19" s="48" t="s">
        <v>401</v>
      </c>
      <c r="C19" s="49">
        <v>33734818</v>
      </c>
      <c r="D19" s="49">
        <v>89</v>
      </c>
      <c r="E19" s="49"/>
      <c r="F19" s="49"/>
      <c r="G19" s="49">
        <v>12829507</v>
      </c>
      <c r="H19" s="49">
        <v>3528750</v>
      </c>
      <c r="I19" s="49">
        <v>3605000</v>
      </c>
      <c r="J19" s="49">
        <v>59</v>
      </c>
      <c r="K19" s="49">
        <v>200000</v>
      </c>
      <c r="L19" s="50"/>
      <c r="M19" s="8">
        <f t="shared" si="0"/>
        <v>19963257</v>
      </c>
      <c r="N19" s="8">
        <f t="shared" si="1"/>
        <v>53698075</v>
      </c>
      <c r="O19" s="8">
        <f t="shared" si="2"/>
        <v>379042.89887640451</v>
      </c>
      <c r="P19" s="8">
        <f t="shared" si="3"/>
        <v>338360.28813559323</v>
      </c>
      <c r="Q19" s="21" t="str">
        <f t="shared" si="4"/>
        <v/>
      </c>
    </row>
    <row r="20" spans="1:17" ht="21.75" customHeight="1" x14ac:dyDescent="0.2">
      <c r="A20" s="47">
        <v>46218</v>
      </c>
      <c r="B20" s="48" t="s">
        <v>402</v>
      </c>
      <c r="C20" s="49">
        <v>38150799</v>
      </c>
      <c r="D20" s="49">
        <v>80</v>
      </c>
      <c r="E20" s="49"/>
      <c r="F20" s="49"/>
      <c r="G20" s="49">
        <v>5518496</v>
      </c>
      <c r="H20" s="49">
        <v>4747506</v>
      </c>
      <c r="I20" s="49">
        <v>3236498</v>
      </c>
      <c r="J20" s="49">
        <v>42</v>
      </c>
      <c r="K20" s="49"/>
      <c r="L20" s="50"/>
      <c r="M20" s="8">
        <f t="shared" si="0"/>
        <v>13502500</v>
      </c>
      <c r="N20" s="8">
        <f t="shared" si="1"/>
        <v>51653299</v>
      </c>
      <c r="O20" s="8">
        <f t="shared" si="2"/>
        <v>476884.98749999999</v>
      </c>
      <c r="P20" s="8">
        <f t="shared" si="3"/>
        <v>321488.09523809527</v>
      </c>
      <c r="Q20" s="21" t="str">
        <f t="shared" si="4"/>
        <v/>
      </c>
    </row>
    <row r="21" spans="1:17" ht="21.75" customHeight="1" x14ac:dyDescent="0.2">
      <c r="A21" s="47">
        <v>46219</v>
      </c>
      <c r="B21" s="48" t="s">
        <v>403</v>
      </c>
      <c r="C21" s="49">
        <v>39385519</v>
      </c>
      <c r="D21" s="49">
        <v>88</v>
      </c>
      <c r="E21" s="49"/>
      <c r="F21" s="49"/>
      <c r="G21" s="49">
        <v>10004741</v>
      </c>
      <c r="H21" s="49">
        <v>2615001</v>
      </c>
      <c r="I21" s="49">
        <v>4320000</v>
      </c>
      <c r="J21" s="49">
        <v>58</v>
      </c>
      <c r="K21" s="49">
        <v>1028800</v>
      </c>
      <c r="L21" s="50"/>
      <c r="M21" s="8">
        <f t="shared" si="0"/>
        <v>16939742</v>
      </c>
      <c r="N21" s="8">
        <f t="shared" si="1"/>
        <v>56325261</v>
      </c>
      <c r="O21" s="8">
        <f t="shared" si="2"/>
        <v>447562.71590909088</v>
      </c>
      <c r="P21" s="8">
        <f t="shared" si="3"/>
        <v>292064.5172413793</v>
      </c>
      <c r="Q21" s="21" t="str">
        <f t="shared" si="4"/>
        <v/>
      </c>
    </row>
    <row r="22" spans="1:17" ht="21.75" customHeight="1" x14ac:dyDescent="0.2">
      <c r="A22" s="47">
        <v>46220</v>
      </c>
      <c r="B22" s="48" t="s">
        <v>404</v>
      </c>
      <c r="C22" s="49">
        <v>46753158</v>
      </c>
      <c r="D22" s="49">
        <v>103</v>
      </c>
      <c r="E22" s="49"/>
      <c r="F22" s="49"/>
      <c r="G22" s="49">
        <v>8923000</v>
      </c>
      <c r="H22" s="49">
        <v>2255001</v>
      </c>
      <c r="I22" s="49">
        <v>5365199</v>
      </c>
      <c r="J22" s="49">
        <v>63</v>
      </c>
      <c r="K22" s="49">
        <v>1043500</v>
      </c>
      <c r="L22" s="50"/>
      <c r="M22" s="8">
        <f t="shared" si="0"/>
        <v>16543200</v>
      </c>
      <c r="N22" s="8">
        <f t="shared" si="1"/>
        <v>63296358</v>
      </c>
      <c r="O22" s="8">
        <f t="shared" si="2"/>
        <v>453914.15533980582</v>
      </c>
      <c r="P22" s="8">
        <f t="shared" si="3"/>
        <v>262590.47619047621</v>
      </c>
      <c r="Q22" s="21" t="str">
        <f t="shared" si="4"/>
        <v/>
      </c>
    </row>
    <row r="23" spans="1:17" ht="21.75" customHeight="1" x14ac:dyDescent="0.2">
      <c r="A23" s="51">
        <v>46221</v>
      </c>
      <c r="B23" s="52" t="s">
        <v>405</v>
      </c>
      <c r="C23" s="49">
        <v>40097175</v>
      </c>
      <c r="D23" s="49">
        <v>102</v>
      </c>
      <c r="E23" s="49"/>
      <c r="F23" s="49"/>
      <c r="G23" s="49">
        <v>5977296</v>
      </c>
      <c r="H23" s="49">
        <v>5832004</v>
      </c>
      <c r="I23" s="49">
        <v>7530007</v>
      </c>
      <c r="J23" s="49">
        <v>66</v>
      </c>
      <c r="K23" s="49">
        <v>1142400</v>
      </c>
      <c r="L23" s="50"/>
      <c r="M23" s="8">
        <f t="shared" si="0"/>
        <v>19339307</v>
      </c>
      <c r="N23" s="8">
        <f t="shared" si="1"/>
        <v>59436482</v>
      </c>
      <c r="O23" s="8">
        <f t="shared" si="2"/>
        <v>393109.5588235294</v>
      </c>
      <c r="P23" s="8">
        <f t="shared" si="3"/>
        <v>293019.80303030304</v>
      </c>
      <c r="Q23" s="21" t="str">
        <f t="shared" si="4"/>
        <v/>
      </c>
    </row>
    <row r="24" spans="1:17" ht="21.75" customHeight="1" x14ac:dyDescent="0.2">
      <c r="A24" s="51">
        <v>46222</v>
      </c>
      <c r="B24" s="52" t="s">
        <v>406</v>
      </c>
      <c r="C24" s="49">
        <v>24655035</v>
      </c>
      <c r="D24" s="49">
        <v>68</v>
      </c>
      <c r="E24" s="49"/>
      <c r="F24" s="49"/>
      <c r="G24" s="49">
        <v>11550771</v>
      </c>
      <c r="H24" s="49">
        <v>2669997</v>
      </c>
      <c r="I24" s="49">
        <v>2964998</v>
      </c>
      <c r="J24" s="49">
        <v>52</v>
      </c>
      <c r="K24" s="49"/>
      <c r="L24" s="50"/>
      <c r="M24" s="8">
        <f t="shared" si="0"/>
        <v>17185766</v>
      </c>
      <c r="N24" s="8">
        <f t="shared" si="1"/>
        <v>41840801</v>
      </c>
      <c r="O24" s="8">
        <f t="shared" si="2"/>
        <v>362574.04411764705</v>
      </c>
      <c r="P24" s="8">
        <f t="shared" si="3"/>
        <v>330495.5</v>
      </c>
      <c r="Q24" s="21" t="str">
        <f t="shared" si="4"/>
        <v/>
      </c>
    </row>
    <row r="25" spans="1:17" ht="21.75" customHeight="1" x14ac:dyDescent="0.2">
      <c r="A25" s="47">
        <v>46223</v>
      </c>
      <c r="B25" s="48" t="s">
        <v>400</v>
      </c>
      <c r="C25" s="49">
        <v>39654076</v>
      </c>
      <c r="D25" s="49">
        <v>82</v>
      </c>
      <c r="E25" s="49"/>
      <c r="F25" s="49"/>
      <c r="G25" s="49">
        <v>8513004</v>
      </c>
      <c r="H25" s="49">
        <v>3100502</v>
      </c>
      <c r="I25" s="49">
        <v>2328002</v>
      </c>
      <c r="J25" s="49">
        <v>41</v>
      </c>
      <c r="K25" s="49">
        <v>3192400</v>
      </c>
      <c r="L25" s="50"/>
      <c r="M25" s="8">
        <f t="shared" si="0"/>
        <v>13941508</v>
      </c>
      <c r="N25" s="8">
        <f t="shared" si="1"/>
        <v>53595584</v>
      </c>
      <c r="O25" s="8">
        <f t="shared" si="2"/>
        <v>483586.29268292681</v>
      </c>
      <c r="P25" s="8">
        <f t="shared" si="3"/>
        <v>340036.78048780491</v>
      </c>
      <c r="Q25" s="21" t="str">
        <f t="shared" si="4"/>
        <v/>
      </c>
    </row>
    <row r="26" spans="1:17" ht="21.75" customHeight="1" x14ac:dyDescent="0.2">
      <c r="A26" s="47">
        <v>46224</v>
      </c>
      <c r="B26" s="48" t="s">
        <v>401</v>
      </c>
      <c r="C26" s="49">
        <v>43848527</v>
      </c>
      <c r="D26" s="49">
        <v>93</v>
      </c>
      <c r="E26" s="49"/>
      <c r="F26" s="49"/>
      <c r="G26" s="49">
        <v>10045996</v>
      </c>
      <c r="H26" s="49">
        <v>2430000</v>
      </c>
      <c r="I26" s="49">
        <v>3247000</v>
      </c>
      <c r="J26" s="49">
        <v>58</v>
      </c>
      <c r="K26" s="49">
        <v>2042422</v>
      </c>
      <c r="L26" s="50"/>
      <c r="M26" s="8">
        <f t="shared" si="0"/>
        <v>15722996</v>
      </c>
      <c r="N26" s="8">
        <f t="shared" si="1"/>
        <v>59571523</v>
      </c>
      <c r="O26" s="8">
        <f t="shared" si="2"/>
        <v>471489.53763440863</v>
      </c>
      <c r="P26" s="8">
        <f t="shared" si="3"/>
        <v>271086.13793103449</v>
      </c>
      <c r="Q26" s="21" t="str">
        <f t="shared" si="4"/>
        <v/>
      </c>
    </row>
    <row r="27" spans="1:17" ht="21.75" customHeight="1" x14ac:dyDescent="0.2">
      <c r="A27" s="47">
        <v>46225</v>
      </c>
      <c r="B27" s="48" t="s">
        <v>402</v>
      </c>
      <c r="C27" s="49">
        <v>36900037</v>
      </c>
      <c r="D27" s="49">
        <v>84</v>
      </c>
      <c r="E27" s="49"/>
      <c r="F27" s="49"/>
      <c r="G27" s="49">
        <v>13002501</v>
      </c>
      <c r="H27" s="49">
        <v>7268306</v>
      </c>
      <c r="I27" s="49">
        <v>4719003</v>
      </c>
      <c r="J27" s="49">
        <v>58</v>
      </c>
      <c r="K27" s="49">
        <v>1131200</v>
      </c>
      <c r="L27" s="50"/>
      <c r="M27" s="8">
        <f t="shared" si="0"/>
        <v>24989810</v>
      </c>
      <c r="N27" s="8">
        <f t="shared" si="1"/>
        <v>61889847</v>
      </c>
      <c r="O27" s="8">
        <f t="shared" si="2"/>
        <v>439286.15476190473</v>
      </c>
      <c r="P27" s="8">
        <f t="shared" si="3"/>
        <v>430858.79310344829</v>
      </c>
      <c r="Q27" s="21" t="str">
        <f t="shared" si="4"/>
        <v/>
      </c>
    </row>
    <row r="28" spans="1:17" ht="21.75" customHeight="1" x14ac:dyDescent="0.2">
      <c r="A28" s="47">
        <v>46226</v>
      </c>
      <c r="B28" s="48" t="s">
        <v>403</v>
      </c>
      <c r="C28" s="49">
        <v>39534789</v>
      </c>
      <c r="D28" s="49">
        <v>110</v>
      </c>
      <c r="E28" s="49"/>
      <c r="F28" s="49"/>
      <c r="G28" s="49">
        <v>8705009</v>
      </c>
      <c r="H28" s="49">
        <v>2785001</v>
      </c>
      <c r="I28" s="49">
        <v>6959004</v>
      </c>
      <c r="J28" s="49">
        <v>65</v>
      </c>
      <c r="K28" s="49">
        <v>754286</v>
      </c>
      <c r="L28" s="50"/>
      <c r="M28" s="8">
        <f t="shared" si="0"/>
        <v>18449014</v>
      </c>
      <c r="N28" s="8">
        <f t="shared" si="1"/>
        <v>57983803</v>
      </c>
      <c r="O28" s="8">
        <f t="shared" si="2"/>
        <v>359407.17272727273</v>
      </c>
      <c r="P28" s="8">
        <f t="shared" si="3"/>
        <v>283830.9846153846</v>
      </c>
      <c r="Q28" s="21" t="str">
        <f t="shared" si="4"/>
        <v/>
      </c>
    </row>
    <row r="29" spans="1:17" ht="21.75" customHeight="1" x14ac:dyDescent="0.2">
      <c r="A29" s="47">
        <v>46227</v>
      </c>
      <c r="B29" s="48" t="s">
        <v>404</v>
      </c>
      <c r="C29" s="49">
        <v>41297566</v>
      </c>
      <c r="D29" s="49">
        <v>107</v>
      </c>
      <c r="E29" s="49"/>
      <c r="F29" s="49"/>
      <c r="G29" s="49">
        <v>5780004</v>
      </c>
      <c r="H29" s="49">
        <v>2550001</v>
      </c>
      <c r="I29" s="49">
        <v>2405000</v>
      </c>
      <c r="J29" s="49">
        <v>42</v>
      </c>
      <c r="K29" s="49"/>
      <c r="L29" s="50"/>
      <c r="M29" s="8">
        <f t="shared" si="0"/>
        <v>10735005</v>
      </c>
      <c r="N29" s="8">
        <f t="shared" si="1"/>
        <v>52032571</v>
      </c>
      <c r="O29" s="8">
        <f t="shared" si="2"/>
        <v>385958.56074766355</v>
      </c>
      <c r="P29" s="8">
        <f t="shared" si="3"/>
        <v>255595.35714285713</v>
      </c>
      <c r="Q29" s="21" t="str">
        <f t="shared" si="4"/>
        <v/>
      </c>
    </row>
    <row r="30" spans="1:17" ht="21.75" customHeight="1" x14ac:dyDescent="0.2">
      <c r="A30" s="51">
        <v>46228</v>
      </c>
      <c r="B30" s="52" t="s">
        <v>405</v>
      </c>
      <c r="C30" s="49">
        <v>39493009</v>
      </c>
      <c r="D30" s="49">
        <v>90</v>
      </c>
      <c r="E30" s="49"/>
      <c r="F30" s="49"/>
      <c r="G30" s="49">
        <v>10590247</v>
      </c>
      <c r="H30" s="49">
        <v>5624002</v>
      </c>
      <c r="I30" s="49">
        <v>3293999</v>
      </c>
      <c r="J30" s="49">
        <v>66</v>
      </c>
      <c r="K30" s="49">
        <v>3655400</v>
      </c>
      <c r="L30" s="50"/>
      <c r="M30" s="8">
        <f t="shared" si="0"/>
        <v>19508248</v>
      </c>
      <c r="N30" s="8">
        <f t="shared" si="1"/>
        <v>59001257</v>
      </c>
      <c r="O30" s="8">
        <f t="shared" si="2"/>
        <v>438811.2111111111</v>
      </c>
      <c r="P30" s="8">
        <f t="shared" si="3"/>
        <v>295579.51515151514</v>
      </c>
      <c r="Q30" s="21" t="str">
        <f t="shared" si="4"/>
        <v/>
      </c>
    </row>
    <row r="31" spans="1:17" ht="21.75" customHeight="1" x14ac:dyDescent="0.2">
      <c r="A31" s="51">
        <v>46229</v>
      </c>
      <c r="B31" s="52" t="s">
        <v>406</v>
      </c>
      <c r="C31" s="49">
        <v>26779522</v>
      </c>
      <c r="D31" s="49">
        <v>69</v>
      </c>
      <c r="E31" s="49"/>
      <c r="F31" s="49"/>
      <c r="G31" s="49">
        <v>11422009</v>
      </c>
      <c r="H31" s="49">
        <v>3517004</v>
      </c>
      <c r="I31" s="49">
        <v>3657499</v>
      </c>
      <c r="J31" s="49">
        <v>57</v>
      </c>
      <c r="K31" s="49"/>
      <c r="L31" s="50"/>
      <c r="M31" s="8">
        <f t="shared" si="0"/>
        <v>18596512</v>
      </c>
      <c r="N31" s="8">
        <f t="shared" si="1"/>
        <v>45376034</v>
      </c>
      <c r="O31" s="8">
        <f t="shared" si="2"/>
        <v>388109.0144927536</v>
      </c>
      <c r="P31" s="8">
        <f t="shared" si="3"/>
        <v>326254.59649122809</v>
      </c>
      <c r="Q31" s="21" t="str">
        <f t="shared" si="4"/>
        <v/>
      </c>
    </row>
    <row r="32" spans="1:17" ht="21.75" customHeight="1" x14ac:dyDescent="0.2">
      <c r="A32" s="47">
        <v>46230</v>
      </c>
      <c r="B32" s="48" t="s">
        <v>400</v>
      </c>
      <c r="C32" s="49">
        <v>47494789</v>
      </c>
      <c r="D32" s="49">
        <v>103</v>
      </c>
      <c r="E32" s="49"/>
      <c r="F32" s="49"/>
      <c r="G32" s="49">
        <v>6449508</v>
      </c>
      <c r="H32" s="49">
        <v>2398499</v>
      </c>
      <c r="I32" s="49">
        <v>1480003</v>
      </c>
      <c r="J32" s="49">
        <v>39</v>
      </c>
      <c r="K32" s="49"/>
      <c r="L32" s="50"/>
      <c r="M32" s="8">
        <f t="shared" si="0"/>
        <v>10328010</v>
      </c>
      <c r="N32" s="8">
        <f t="shared" si="1"/>
        <v>57822799</v>
      </c>
      <c r="O32" s="8">
        <f t="shared" si="2"/>
        <v>461114.45631067961</v>
      </c>
      <c r="P32" s="8">
        <f t="shared" si="3"/>
        <v>264820.76923076925</v>
      </c>
      <c r="Q32" s="21" t="str">
        <f t="shared" si="4"/>
        <v/>
      </c>
    </row>
    <row r="33" spans="1:17" ht="21.75" customHeight="1" x14ac:dyDescent="0.2">
      <c r="A33" s="47">
        <v>46231</v>
      </c>
      <c r="B33" s="48" t="s">
        <v>401</v>
      </c>
      <c r="C33" s="49">
        <v>32497544</v>
      </c>
      <c r="D33" s="49">
        <v>78</v>
      </c>
      <c r="E33" s="49"/>
      <c r="F33" s="49"/>
      <c r="G33" s="49">
        <v>6307506</v>
      </c>
      <c r="H33" s="49">
        <v>3873501</v>
      </c>
      <c r="I33" s="49">
        <v>6263999</v>
      </c>
      <c r="J33" s="49">
        <v>50</v>
      </c>
      <c r="K33" s="49">
        <v>774073</v>
      </c>
      <c r="L33" s="50"/>
      <c r="M33" s="8">
        <f t="shared" si="0"/>
        <v>16445006</v>
      </c>
      <c r="N33" s="8">
        <f t="shared" si="1"/>
        <v>48942550</v>
      </c>
      <c r="O33" s="8">
        <f t="shared" si="2"/>
        <v>416635.1794871795</v>
      </c>
      <c r="P33" s="8">
        <f t="shared" si="3"/>
        <v>328900.12</v>
      </c>
      <c r="Q33" s="21" t="str">
        <f t="shared" si="4"/>
        <v/>
      </c>
    </row>
    <row r="34" spans="1:17" ht="21.75" customHeight="1" x14ac:dyDescent="0.2">
      <c r="A34" s="47">
        <v>46232</v>
      </c>
      <c r="B34" s="48" t="s">
        <v>402</v>
      </c>
      <c r="C34" s="49">
        <v>28567538</v>
      </c>
      <c r="D34" s="49">
        <v>75</v>
      </c>
      <c r="E34" s="49"/>
      <c r="F34" s="49"/>
      <c r="G34" s="49">
        <v>12056503</v>
      </c>
      <c r="H34" s="49">
        <v>1149000</v>
      </c>
      <c r="I34" s="49">
        <v>2322503</v>
      </c>
      <c r="J34" s="49">
        <v>46</v>
      </c>
      <c r="K34" s="49"/>
      <c r="L34" s="50"/>
      <c r="M34" s="8">
        <f t="shared" si="0"/>
        <v>15528006</v>
      </c>
      <c r="N34" s="8">
        <f t="shared" si="1"/>
        <v>44095544</v>
      </c>
      <c r="O34" s="8">
        <f t="shared" si="2"/>
        <v>380900.50666666665</v>
      </c>
      <c r="P34" s="8">
        <f t="shared" si="3"/>
        <v>337565.34782608697</v>
      </c>
      <c r="Q34" s="21" t="str">
        <f t="shared" si="4"/>
        <v/>
      </c>
    </row>
    <row r="35" spans="1:17" ht="21.75" customHeight="1" x14ac:dyDescent="0.2">
      <c r="A35" s="47">
        <v>46233</v>
      </c>
      <c r="B35" s="48" t="s">
        <v>403</v>
      </c>
      <c r="C35" s="49">
        <v>48417154</v>
      </c>
      <c r="D35" s="49">
        <v>113</v>
      </c>
      <c r="E35" s="49"/>
      <c r="F35" s="49"/>
      <c r="G35" s="49">
        <v>7681005</v>
      </c>
      <c r="H35" s="49">
        <v>3645499</v>
      </c>
      <c r="I35" s="49">
        <v>4691997</v>
      </c>
      <c r="J35" s="49">
        <v>52</v>
      </c>
      <c r="K35" s="49">
        <v>1772000</v>
      </c>
      <c r="L35" s="50"/>
      <c r="M35" s="8">
        <f t="shared" si="0"/>
        <v>16018501</v>
      </c>
      <c r="N35" s="8">
        <f t="shared" si="1"/>
        <v>64435655</v>
      </c>
      <c r="O35" s="8">
        <f t="shared" si="2"/>
        <v>428470.38938053098</v>
      </c>
      <c r="P35" s="8">
        <f t="shared" si="3"/>
        <v>308048.09615384613</v>
      </c>
      <c r="Q35" s="21" t="str">
        <f t="shared" si="4"/>
        <v/>
      </c>
    </row>
    <row r="36" spans="1:17" ht="21.75" customHeight="1" x14ac:dyDescent="0.2">
      <c r="A36" s="47">
        <v>46234</v>
      </c>
      <c r="B36" s="48" t="s">
        <v>404</v>
      </c>
      <c r="C36" s="49">
        <v>54549066</v>
      </c>
      <c r="D36" s="49">
        <v>110</v>
      </c>
      <c r="E36" s="49"/>
      <c r="F36" s="49"/>
      <c r="G36" s="49">
        <v>11229996</v>
      </c>
      <c r="H36" s="49">
        <v>4040503</v>
      </c>
      <c r="I36" s="49">
        <v>4991752</v>
      </c>
      <c r="J36" s="49">
        <v>72</v>
      </c>
      <c r="K36" s="49">
        <v>2971200</v>
      </c>
      <c r="L36" s="50"/>
      <c r="M36" s="8">
        <f t="shared" si="0"/>
        <v>20262251</v>
      </c>
      <c r="N36" s="8">
        <f t="shared" si="1"/>
        <v>74811317</v>
      </c>
      <c r="O36" s="8">
        <f t="shared" si="2"/>
        <v>495900.6</v>
      </c>
      <c r="P36" s="8">
        <f t="shared" si="3"/>
        <v>281420.15277777775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468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417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418</v>
      </c>
      <c r="B3" s="35" t="s">
        <v>382</v>
      </c>
      <c r="C3" s="35" t="s">
        <v>384</v>
      </c>
      <c r="D3" s="35" t="s">
        <v>385</v>
      </c>
      <c r="E3" s="35" t="s">
        <v>419</v>
      </c>
      <c r="F3" s="36" t="s">
        <v>387</v>
      </c>
      <c r="G3" s="36" t="s">
        <v>420</v>
      </c>
      <c r="H3" s="37" t="s">
        <v>421</v>
      </c>
      <c r="I3" s="40" t="s">
        <v>422</v>
      </c>
      <c r="J3" s="40" t="s">
        <v>423</v>
      </c>
      <c r="K3" s="40" t="s">
        <v>424</v>
      </c>
      <c r="L3" s="39" t="s">
        <v>393</v>
      </c>
    </row>
    <row r="4" spans="1:12" ht="24" customHeight="1" x14ac:dyDescent="0.2">
      <c r="A4" s="53" t="s">
        <v>425</v>
      </c>
      <c r="B4" s="54" t="s">
        <v>469</v>
      </c>
      <c r="C4" s="55">
        <f>IFERROR(SUM('📅 DAILY T7'!C6:C10),0)</f>
        <v>196360098</v>
      </c>
      <c r="D4" s="55">
        <f>IFERROR(SUM('📅 DAILY T7'!D6:D10),0)</f>
        <v>466</v>
      </c>
      <c r="E4" s="55">
        <f>IFERROR(SUM('📅 DAILY T7'!C6:C10)/SUM('📅 DAILY T7'!D6:D10),"")</f>
        <v>421373.60085836909</v>
      </c>
      <c r="F4" s="56">
        <f>IFERROR(SUM('📅 DAILY T7'!F6:F10),0)</f>
        <v>0</v>
      </c>
      <c r="G4" s="57" t="str">
        <f>IFERROR(SUM('📅 DAILY T7'!C6:C10)/SUM('📅 DAILY T7'!F6:F10),"")</f>
        <v/>
      </c>
      <c r="H4" s="58">
        <f>IFERROR(SUM('📅 DAILY T7'!M6:M10),0)</f>
        <v>89379044</v>
      </c>
      <c r="I4" s="59">
        <f>IFERROR(SUM('📅 DAILY T7'!N6:N10),0)</f>
        <v>285739142</v>
      </c>
      <c r="J4" s="60">
        <f>IFERROR(SUM('📅 DAILY T7'!C6:C10)/1277560078,"")</f>
        <v>0.15369930649946312</v>
      </c>
      <c r="K4" s="60">
        <f>IFERROR(SUM('📅 DAILY T7'!M6:M10)/721910506,"")</f>
        <v>0.12380903624084395</v>
      </c>
      <c r="L4" s="61"/>
    </row>
    <row r="5" spans="1:12" ht="24" customHeight="1" x14ac:dyDescent="0.2">
      <c r="A5" s="62" t="s">
        <v>427</v>
      </c>
      <c r="B5" s="63" t="s">
        <v>470</v>
      </c>
      <c r="C5" s="55">
        <f>IFERROR(SUM('📅 DAILY T7'!C11:C17),0)</f>
        <v>251197658</v>
      </c>
      <c r="D5" s="55">
        <f>IFERROR(SUM('📅 DAILY T7'!D11:D17),0)</f>
        <v>613</v>
      </c>
      <c r="E5" s="55">
        <f>IFERROR(SUM('📅 DAILY T7'!C11:C17)/SUM('📅 DAILY T7'!D11:D17),"")</f>
        <v>409784.10766721045</v>
      </c>
      <c r="F5" s="56">
        <f>IFERROR(SUM('📅 DAILY T7'!F11:F17),0)</f>
        <v>0</v>
      </c>
      <c r="G5" s="57" t="str">
        <f>IFERROR(SUM('📅 DAILY T7'!C11:C17)/SUM('📅 DAILY T7'!F11:F17),"")</f>
        <v/>
      </c>
      <c r="H5" s="58">
        <f>IFERROR(SUM('📅 DAILY T7'!M11:M17),0)</f>
        <v>124233742</v>
      </c>
      <c r="I5" s="59">
        <f>IFERROR(SUM('📅 DAILY T7'!N11:N17),0)</f>
        <v>375431400</v>
      </c>
      <c r="J5" s="60">
        <f>IFERROR(SUM('📅 DAILY T7'!C6:C17)/1277560078,"")</f>
        <v>0.35032227736846988</v>
      </c>
      <c r="K5" s="60">
        <f>IFERROR(SUM('📅 DAILY T7'!M6:M17)/721910506,"")</f>
        <v>0.29589926206171602</v>
      </c>
      <c r="L5" s="61"/>
    </row>
    <row r="6" spans="1:12" ht="24" customHeight="1" x14ac:dyDescent="0.2">
      <c r="A6" s="64" t="s">
        <v>429</v>
      </c>
      <c r="B6" s="65" t="s">
        <v>471</v>
      </c>
      <c r="C6" s="55">
        <f>IFERROR(SUM('📅 DAILY T7'!C18:C24),0)</f>
        <v>266115750</v>
      </c>
      <c r="D6" s="55">
        <f>IFERROR(SUM('📅 DAILY T7'!D18:D24),0)</f>
        <v>630</v>
      </c>
      <c r="E6" s="55">
        <f>IFERROR(SUM('📅 DAILY T7'!C18:C24)/SUM('📅 DAILY T7'!D18:D24),"")</f>
        <v>422405.95238095237</v>
      </c>
      <c r="F6" s="56">
        <f>IFERROR(SUM('📅 DAILY T7'!F18:F24),0)</f>
        <v>0</v>
      </c>
      <c r="G6" s="57" t="str">
        <f>IFERROR(SUM('📅 DAILY T7'!C18:C24)/SUM('📅 DAILY T7'!F18:F24),"")</f>
        <v/>
      </c>
      <c r="H6" s="58">
        <f>IFERROR(SUM('📅 DAILY T7'!M18:M24),0)</f>
        <v>115945783</v>
      </c>
      <c r="I6" s="59">
        <f>IFERROR(SUM('📅 DAILY T7'!N18:N24),0)</f>
        <v>382061533</v>
      </c>
      <c r="J6" s="60">
        <f>IFERROR(SUM('📅 DAILY T7'!C6:C24)/1277560078,"")</f>
        <v>0.55862226621643074</v>
      </c>
      <c r="K6" s="60">
        <f>IFERROR(SUM('📅 DAILY T7'!M6:M24)/721910506,"")</f>
        <v>0.45650889723995791</v>
      </c>
      <c r="L6" s="61"/>
    </row>
    <row r="7" spans="1:12" ht="24" customHeight="1" x14ac:dyDescent="0.2">
      <c r="A7" s="66" t="s">
        <v>431</v>
      </c>
      <c r="B7" s="67" t="s">
        <v>472</v>
      </c>
      <c r="C7" s="55">
        <f>IFERROR(SUM('📅 DAILY T7'!C25:C31),0)</f>
        <v>267507526</v>
      </c>
      <c r="D7" s="55">
        <f>IFERROR(SUM('📅 DAILY T7'!D25:D31),0)</f>
        <v>635</v>
      </c>
      <c r="E7" s="55">
        <f>IFERROR(SUM('📅 DAILY T7'!C25:C31)/SUM('📅 DAILY T7'!D25:D31),"")</f>
        <v>421271.69448818895</v>
      </c>
      <c r="F7" s="56">
        <f>IFERROR(SUM('📅 DAILY T7'!F25:F31),0)</f>
        <v>0</v>
      </c>
      <c r="G7" s="57" t="str">
        <f>IFERROR(SUM('📅 DAILY T7'!C25:C31)/SUM('📅 DAILY T7'!F25:F31),"")</f>
        <v/>
      </c>
      <c r="H7" s="58">
        <f>IFERROR(SUM('📅 DAILY T7'!M25:M31),0)</f>
        <v>121943093</v>
      </c>
      <c r="I7" s="59">
        <f>IFERROR(SUM('📅 DAILY T7'!N25:N31),0)</f>
        <v>389450619</v>
      </c>
      <c r="J7" s="60">
        <f>IFERROR(SUM('📅 DAILY T7'!C6:C31)/1277560078,"")</f>
        <v>0.76801165666981652</v>
      </c>
      <c r="K7" s="60">
        <f>IFERROR(SUM('📅 DAILY T7'!M6:M31)/721910506,"")</f>
        <v>0.62542608570929981</v>
      </c>
      <c r="L7" s="61"/>
    </row>
    <row r="8" spans="1:12" ht="24" customHeight="1" x14ac:dyDescent="0.2">
      <c r="A8" s="68" t="s">
        <v>433</v>
      </c>
      <c r="B8" s="69" t="s">
        <v>473</v>
      </c>
      <c r="C8" s="55">
        <f>IFERROR(SUM('📅 DAILY T7'!C32:C36),0)</f>
        <v>211526091</v>
      </c>
      <c r="D8" s="55">
        <f>IFERROR(SUM('📅 DAILY T7'!D32:D36),0)</f>
        <v>479</v>
      </c>
      <c r="E8" s="55">
        <f>IFERROR(SUM('📅 DAILY T7'!C32:C36)/SUM('📅 DAILY T7'!D32:D36),"")</f>
        <v>441599.35490605427</v>
      </c>
      <c r="F8" s="56">
        <f>IFERROR(SUM('📅 DAILY T7'!F32:F36),0)</f>
        <v>0</v>
      </c>
      <c r="G8" s="57" t="str">
        <f>IFERROR(SUM('📅 DAILY T7'!C32:C36)/SUM('📅 DAILY T7'!F32:F36),"")</f>
        <v/>
      </c>
      <c r="H8" s="58">
        <f>IFERROR(SUM('📅 DAILY T7'!M32:M36),0)</f>
        <v>78581774</v>
      </c>
      <c r="I8" s="59">
        <f>IFERROR(SUM('📅 DAILY T7'!N32:N36),0)</f>
        <v>290107865</v>
      </c>
      <c r="J8" s="60">
        <f>IFERROR(SUM('📅 DAILY T7'!C6:C36)/1277560078,"")</f>
        <v>0.93358202368624732</v>
      </c>
      <c r="K8" s="60">
        <f>IFERROR(SUM('📅 DAILY T7'!M6:M36)/721910506,"")</f>
        <v>0.73427860045577453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12" ht="18.75" customHeight="1" x14ac:dyDescent="0.2">
      <c r="I17" s="70"/>
    </row>
    <row r="18" spans="1:12" ht="18.75" customHeight="1" x14ac:dyDescent="0.2">
      <c r="J18" s="70"/>
    </row>
    <row r="19" spans="1:12" ht="18.75" customHeight="1" x14ac:dyDescent="0.2">
      <c r="K19" s="70"/>
    </row>
    <row r="20" spans="1:12" ht="18.75" customHeight="1" x14ac:dyDescent="0.2">
      <c r="L20" s="70"/>
    </row>
    <row r="21" spans="1:12" ht="25.5" customHeight="1" x14ac:dyDescent="0.2">
      <c r="A21" s="71" t="s">
        <v>435</v>
      </c>
      <c r="B21" s="72" t="s">
        <v>474</v>
      </c>
      <c r="C21" s="73">
        <f>IFERROR(SUM('📅 DAILY T7'!C6:C36),0)</f>
        <v>1192707123</v>
      </c>
      <c r="D21" s="73">
        <f>IFERROR(SUM('📅 DAILY T7'!D6:D36),0)</f>
        <v>2823</v>
      </c>
      <c r="E21" s="73">
        <f>IFERROR(SUM('📅 DAILY T7'!C6:C36)/SUM('📅 DAILY T7'!D6:D36),"")</f>
        <v>422496.32412327314</v>
      </c>
      <c r="F21" s="73">
        <f>IFERROR(SUM('📅 DAILY T7'!F6:F36),0)</f>
        <v>0</v>
      </c>
      <c r="G21" s="74" t="str">
        <f>IFERROR(SUM('📅 DAILY T7'!C6:C36)/SUM('📅 DAILY T7'!F6:F36),"")</f>
        <v/>
      </c>
      <c r="H21" s="73">
        <f>IFERROR(SUM('📅 DAILY T7'!M6:M36),0)</f>
        <v>530083436</v>
      </c>
      <c r="I21" s="73">
        <f>IFERROR(SUM('📅 DAILY T7'!N6:N36),0)</f>
        <v>1722790559</v>
      </c>
      <c r="J21" s="75">
        <f>IFERROR(SUM('📅 DAILY T7'!C6:C36)/1277560078,"")</f>
        <v>0.93358202368624732</v>
      </c>
      <c r="K21" s="75">
        <f>IFERROR(SUM('📅 DAILY T7'!M6:M36)/721910506,"")</f>
        <v>0.73427860045577453</v>
      </c>
      <c r="L21" s="70"/>
    </row>
    <row r="22" spans="1:12" ht="18.75" customHeight="1" x14ac:dyDescent="0.2"/>
    <row r="23" spans="1:12" ht="21.75" customHeight="1" x14ac:dyDescent="0.2">
      <c r="A23" s="175" t="s">
        <v>437</v>
      </c>
      <c r="B23" s="149"/>
      <c r="C23" s="76">
        <v>1214990084</v>
      </c>
      <c r="D23" s="42"/>
      <c r="E23" s="42"/>
      <c r="F23" s="42"/>
      <c r="G23" s="42"/>
      <c r="H23" s="77">
        <v>652226392</v>
      </c>
      <c r="I23" s="78">
        <v>1867216476</v>
      </c>
      <c r="J23" s="42"/>
      <c r="K23" s="42"/>
      <c r="L23" s="42"/>
    </row>
    <row r="24" spans="1:12" ht="18.75" customHeight="1" x14ac:dyDescent="0.2"/>
    <row r="25" spans="1:12" ht="18.75" customHeight="1" x14ac:dyDescent="0.2">
      <c r="A25" s="174" t="s">
        <v>438</v>
      </c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475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1221751028</v>
      </c>
      <c r="D5" s="42"/>
      <c r="E5" s="42"/>
      <c r="F5" s="42"/>
      <c r="G5" s="43">
        <v>345139241</v>
      </c>
      <c r="H5" s="43">
        <v>170156050</v>
      </c>
      <c r="I5" s="43">
        <v>140560485</v>
      </c>
      <c r="J5" s="42"/>
      <c r="K5" s="42"/>
      <c r="L5" s="42"/>
      <c r="M5" s="44">
        <v>655855776</v>
      </c>
      <c r="N5" s="44">
        <v>1877606804</v>
      </c>
      <c r="O5" s="45">
        <v>450000</v>
      </c>
      <c r="P5" s="45">
        <v>330000</v>
      </c>
      <c r="Q5" s="46"/>
    </row>
    <row r="6" spans="1:17" ht="21.75" customHeight="1" x14ac:dyDescent="0.2">
      <c r="A6" s="51">
        <v>46235</v>
      </c>
      <c r="B6" s="52" t="s">
        <v>405</v>
      </c>
      <c r="C6" s="49">
        <v>39252541</v>
      </c>
      <c r="D6" s="49">
        <v>101</v>
      </c>
      <c r="E6" s="49"/>
      <c r="F6" s="49"/>
      <c r="G6" s="49">
        <v>14771514</v>
      </c>
      <c r="H6" s="49">
        <v>2723503</v>
      </c>
      <c r="I6" s="49">
        <v>7385249</v>
      </c>
      <c r="J6" s="49">
        <v>92</v>
      </c>
      <c r="K6" s="49">
        <v>909999</v>
      </c>
      <c r="L6" s="50"/>
      <c r="M6" s="8">
        <f t="shared" ref="M6:M36" si="0">IF(SUM(G6:I6)&gt;0,SUM(G6:I6),"")</f>
        <v>24880266</v>
      </c>
      <c r="N6" s="8">
        <f t="shared" ref="N6:N36" si="1">IF(N(C6)+N(M6)&gt;0,N(C6)+N(M6),"")</f>
        <v>64132807</v>
      </c>
      <c r="O6" s="8">
        <f t="shared" ref="O6:O36" si="2">IFERROR(IF(D6&gt;0,C6/D6,""),"")</f>
        <v>388639.01980198018</v>
      </c>
      <c r="P6" s="8">
        <f t="shared" ref="P6:P36" si="3">IFERROR(IF(J6&gt;0,M6/J6,""),"")</f>
        <v>270437.67391304346</v>
      </c>
      <c r="Q6" s="21" t="str">
        <f t="shared" ref="Q6:Q36" si="4">IFERROR(IF(E6&gt;0,D6/E6,""),"")</f>
        <v/>
      </c>
    </row>
    <row r="7" spans="1:17" ht="21.75" customHeight="1" x14ac:dyDescent="0.2">
      <c r="A7" s="51">
        <v>46236</v>
      </c>
      <c r="B7" s="52" t="s">
        <v>406</v>
      </c>
      <c r="C7" s="49">
        <v>37198537</v>
      </c>
      <c r="D7" s="49">
        <v>86</v>
      </c>
      <c r="E7" s="49"/>
      <c r="F7" s="49"/>
      <c r="G7" s="49">
        <v>11755008</v>
      </c>
      <c r="H7" s="49">
        <v>4205501</v>
      </c>
      <c r="I7" s="49">
        <v>2891501</v>
      </c>
      <c r="J7" s="49">
        <v>62</v>
      </c>
      <c r="K7" s="49"/>
      <c r="L7" s="50"/>
      <c r="M7" s="8">
        <f t="shared" si="0"/>
        <v>18852010</v>
      </c>
      <c r="N7" s="8">
        <f t="shared" si="1"/>
        <v>56050547</v>
      </c>
      <c r="O7" s="8">
        <f t="shared" si="2"/>
        <v>432541.12790697673</v>
      </c>
      <c r="P7" s="8">
        <f t="shared" si="3"/>
        <v>304064.67741935485</v>
      </c>
      <c r="Q7" s="21" t="str">
        <f t="shared" si="4"/>
        <v/>
      </c>
    </row>
    <row r="8" spans="1:17" ht="21.75" customHeight="1" x14ac:dyDescent="0.2">
      <c r="A8" s="47">
        <v>46237</v>
      </c>
      <c r="B8" s="48" t="s">
        <v>400</v>
      </c>
      <c r="C8" s="49">
        <v>36517312</v>
      </c>
      <c r="D8" s="49">
        <v>85</v>
      </c>
      <c r="E8" s="49"/>
      <c r="F8" s="49"/>
      <c r="G8" s="49">
        <v>3938505</v>
      </c>
      <c r="H8" s="49">
        <v>5928749</v>
      </c>
      <c r="I8" s="49">
        <v>3587501</v>
      </c>
      <c r="J8" s="49">
        <v>44</v>
      </c>
      <c r="K8" s="49">
        <v>2150459</v>
      </c>
      <c r="L8" s="50"/>
      <c r="M8" s="8">
        <f t="shared" si="0"/>
        <v>13454755</v>
      </c>
      <c r="N8" s="8">
        <f t="shared" si="1"/>
        <v>49972067</v>
      </c>
      <c r="O8" s="8">
        <f t="shared" si="2"/>
        <v>429615.43529411766</v>
      </c>
      <c r="P8" s="8">
        <f t="shared" si="3"/>
        <v>305789.88636363635</v>
      </c>
      <c r="Q8" s="21" t="str">
        <f t="shared" si="4"/>
        <v/>
      </c>
    </row>
    <row r="9" spans="1:17" ht="21.75" customHeight="1" x14ac:dyDescent="0.2">
      <c r="A9" s="47">
        <v>46238</v>
      </c>
      <c r="B9" s="48" t="s">
        <v>401</v>
      </c>
      <c r="C9" s="49">
        <v>28358034</v>
      </c>
      <c r="D9" s="49">
        <v>69</v>
      </c>
      <c r="E9" s="49"/>
      <c r="F9" s="49"/>
      <c r="G9" s="49">
        <v>6086751</v>
      </c>
      <c r="H9" s="49">
        <v>4041845</v>
      </c>
      <c r="I9" s="49">
        <v>2450001</v>
      </c>
      <c r="J9" s="49">
        <v>39</v>
      </c>
      <c r="K9" s="49">
        <v>601852</v>
      </c>
      <c r="L9" s="50"/>
      <c r="M9" s="8">
        <f t="shared" si="0"/>
        <v>12578597</v>
      </c>
      <c r="N9" s="8">
        <f t="shared" si="1"/>
        <v>40936631</v>
      </c>
      <c r="O9" s="8">
        <f t="shared" si="2"/>
        <v>410986</v>
      </c>
      <c r="P9" s="8">
        <f t="shared" si="3"/>
        <v>322528.12820512819</v>
      </c>
      <c r="Q9" s="21" t="str">
        <f t="shared" si="4"/>
        <v/>
      </c>
    </row>
    <row r="10" spans="1:17" ht="21.75" customHeight="1" x14ac:dyDescent="0.2">
      <c r="A10" s="47">
        <v>46239</v>
      </c>
      <c r="B10" s="48" t="s">
        <v>402</v>
      </c>
      <c r="C10" s="49">
        <v>29939800</v>
      </c>
      <c r="D10" s="49">
        <v>73</v>
      </c>
      <c r="E10" s="49"/>
      <c r="F10" s="49"/>
      <c r="G10" s="49">
        <v>10474750</v>
      </c>
      <c r="H10" s="49">
        <v>3653499</v>
      </c>
      <c r="I10" s="49">
        <v>5536003</v>
      </c>
      <c r="J10" s="49">
        <v>66</v>
      </c>
      <c r="K10" s="49">
        <v>499999</v>
      </c>
      <c r="L10" s="50"/>
      <c r="M10" s="8">
        <f t="shared" si="0"/>
        <v>19664252</v>
      </c>
      <c r="N10" s="8">
        <f t="shared" si="1"/>
        <v>49604052</v>
      </c>
      <c r="O10" s="8">
        <f t="shared" si="2"/>
        <v>410134.24657534249</v>
      </c>
      <c r="P10" s="8">
        <f t="shared" si="3"/>
        <v>297943.2121212121</v>
      </c>
      <c r="Q10" s="21" t="str">
        <f t="shared" si="4"/>
        <v/>
      </c>
    </row>
    <row r="11" spans="1:17" ht="21.75" customHeight="1" x14ac:dyDescent="0.2">
      <c r="A11" s="47">
        <v>46240</v>
      </c>
      <c r="B11" s="48" t="s">
        <v>403</v>
      </c>
      <c r="C11" s="49">
        <v>36169269</v>
      </c>
      <c r="D11" s="49">
        <v>87</v>
      </c>
      <c r="E11" s="49"/>
      <c r="F11" s="49"/>
      <c r="G11" s="49">
        <v>9879007</v>
      </c>
      <c r="H11" s="49">
        <v>5260999</v>
      </c>
      <c r="I11" s="49">
        <v>2857996</v>
      </c>
      <c r="J11" s="49">
        <v>59</v>
      </c>
      <c r="K11" s="49">
        <v>686400</v>
      </c>
      <c r="L11" s="50"/>
      <c r="M11" s="8">
        <f t="shared" si="0"/>
        <v>17998002</v>
      </c>
      <c r="N11" s="8">
        <f t="shared" si="1"/>
        <v>54167271</v>
      </c>
      <c r="O11" s="8">
        <f t="shared" si="2"/>
        <v>415738.72413793101</v>
      </c>
      <c r="P11" s="8">
        <f t="shared" si="3"/>
        <v>305050.88135593222</v>
      </c>
      <c r="Q11" s="21" t="str">
        <f t="shared" si="4"/>
        <v/>
      </c>
    </row>
    <row r="12" spans="1:17" ht="21.75" customHeight="1" x14ac:dyDescent="0.2">
      <c r="A12" s="47">
        <v>46241</v>
      </c>
      <c r="B12" s="48" t="s">
        <v>404</v>
      </c>
      <c r="C12" s="49">
        <v>45261341</v>
      </c>
      <c r="D12" s="49">
        <v>111</v>
      </c>
      <c r="E12" s="49"/>
      <c r="F12" s="49"/>
      <c r="G12" s="49">
        <v>9386000</v>
      </c>
      <c r="H12" s="49">
        <v>4377504</v>
      </c>
      <c r="I12" s="49">
        <v>5635001</v>
      </c>
      <c r="J12" s="49">
        <v>57</v>
      </c>
      <c r="K12" s="49">
        <v>1004800</v>
      </c>
      <c r="L12" s="50"/>
      <c r="M12" s="8">
        <f t="shared" si="0"/>
        <v>19398505</v>
      </c>
      <c r="N12" s="8">
        <f t="shared" si="1"/>
        <v>64659846</v>
      </c>
      <c r="O12" s="8">
        <f t="shared" si="2"/>
        <v>407759.82882882882</v>
      </c>
      <c r="P12" s="8">
        <f t="shared" si="3"/>
        <v>340324.64912280702</v>
      </c>
      <c r="Q12" s="21" t="str">
        <f t="shared" si="4"/>
        <v/>
      </c>
    </row>
    <row r="13" spans="1:17" ht="21.75" customHeight="1" x14ac:dyDescent="0.2">
      <c r="A13" s="51">
        <v>46242</v>
      </c>
      <c r="B13" s="52" t="s">
        <v>405</v>
      </c>
      <c r="C13" s="49">
        <v>44871371</v>
      </c>
      <c r="D13" s="49">
        <v>107</v>
      </c>
      <c r="E13" s="49"/>
      <c r="F13" s="49"/>
      <c r="G13" s="49">
        <v>6736004</v>
      </c>
      <c r="H13" s="49">
        <v>5425498</v>
      </c>
      <c r="I13" s="49">
        <v>4499002</v>
      </c>
      <c r="J13" s="49">
        <v>62</v>
      </c>
      <c r="K13" s="49">
        <v>1888518</v>
      </c>
      <c r="L13" s="50"/>
      <c r="M13" s="8">
        <f t="shared" si="0"/>
        <v>16660504</v>
      </c>
      <c r="N13" s="8">
        <f t="shared" si="1"/>
        <v>61531875</v>
      </c>
      <c r="O13" s="8">
        <f t="shared" si="2"/>
        <v>419358.60747663549</v>
      </c>
      <c r="P13" s="8">
        <f t="shared" si="3"/>
        <v>268717.80645161291</v>
      </c>
      <c r="Q13" s="21" t="str">
        <f t="shared" si="4"/>
        <v/>
      </c>
    </row>
    <row r="14" spans="1:17" ht="21.75" customHeight="1" x14ac:dyDescent="0.2">
      <c r="A14" s="51">
        <v>46243</v>
      </c>
      <c r="B14" s="52" t="s">
        <v>406</v>
      </c>
      <c r="C14" s="49">
        <v>29575775</v>
      </c>
      <c r="D14" s="49">
        <v>78</v>
      </c>
      <c r="E14" s="49"/>
      <c r="F14" s="49"/>
      <c r="G14" s="49">
        <v>4285505</v>
      </c>
      <c r="H14" s="49">
        <v>2871998</v>
      </c>
      <c r="I14" s="49">
        <v>5133497</v>
      </c>
      <c r="J14" s="49">
        <v>37</v>
      </c>
      <c r="K14" s="49">
        <v>1188800</v>
      </c>
      <c r="L14" s="50"/>
      <c r="M14" s="8">
        <f t="shared" si="0"/>
        <v>12291000</v>
      </c>
      <c r="N14" s="8">
        <f t="shared" si="1"/>
        <v>41866775</v>
      </c>
      <c r="O14" s="8">
        <f t="shared" si="2"/>
        <v>379176.60256410256</v>
      </c>
      <c r="P14" s="8">
        <f t="shared" si="3"/>
        <v>332189.18918918917</v>
      </c>
      <c r="Q14" s="21" t="str">
        <f t="shared" si="4"/>
        <v/>
      </c>
    </row>
    <row r="15" spans="1:17" ht="21.75" customHeight="1" x14ac:dyDescent="0.2">
      <c r="A15" s="47">
        <v>46244</v>
      </c>
      <c r="B15" s="48" t="s">
        <v>400</v>
      </c>
      <c r="C15" s="49">
        <v>38639566</v>
      </c>
      <c r="D15" s="49">
        <v>93</v>
      </c>
      <c r="E15" s="49"/>
      <c r="F15" s="49"/>
      <c r="G15" s="49">
        <v>6749999</v>
      </c>
      <c r="H15" s="49">
        <v>3985503</v>
      </c>
      <c r="I15" s="49">
        <v>1597251</v>
      </c>
      <c r="J15" s="49">
        <v>41</v>
      </c>
      <c r="K15" s="49"/>
      <c r="L15" s="50"/>
      <c r="M15" s="8">
        <f t="shared" si="0"/>
        <v>12332753</v>
      </c>
      <c r="N15" s="8">
        <f t="shared" si="1"/>
        <v>50972319</v>
      </c>
      <c r="O15" s="8">
        <f t="shared" si="2"/>
        <v>415479.20430107525</v>
      </c>
      <c r="P15" s="8">
        <f t="shared" si="3"/>
        <v>300798.85365853657</v>
      </c>
      <c r="Q15" s="21" t="str">
        <f t="shared" si="4"/>
        <v/>
      </c>
    </row>
    <row r="16" spans="1:17" ht="21.75" customHeight="1" x14ac:dyDescent="0.2">
      <c r="A16" s="47">
        <v>46245</v>
      </c>
      <c r="B16" s="48" t="s">
        <v>401</v>
      </c>
      <c r="C16" s="49">
        <v>36425061</v>
      </c>
      <c r="D16" s="49">
        <v>78</v>
      </c>
      <c r="E16" s="49"/>
      <c r="F16" s="49"/>
      <c r="G16" s="49">
        <v>5029511</v>
      </c>
      <c r="H16" s="49">
        <v>4549001</v>
      </c>
      <c r="I16" s="49">
        <v>2350500</v>
      </c>
      <c r="J16" s="49">
        <v>38</v>
      </c>
      <c r="K16" s="49"/>
      <c r="L16" s="50"/>
      <c r="M16" s="8">
        <f t="shared" si="0"/>
        <v>11929012</v>
      </c>
      <c r="N16" s="8">
        <f t="shared" si="1"/>
        <v>48354073</v>
      </c>
      <c r="O16" s="8">
        <f t="shared" si="2"/>
        <v>466987.96153846156</v>
      </c>
      <c r="P16" s="8">
        <f t="shared" si="3"/>
        <v>313921.36842105264</v>
      </c>
      <c r="Q16" s="21" t="str">
        <f t="shared" si="4"/>
        <v/>
      </c>
    </row>
    <row r="17" spans="1:17" ht="21.75" customHeight="1" x14ac:dyDescent="0.2">
      <c r="A17" s="47">
        <v>46246</v>
      </c>
      <c r="B17" s="48" t="s">
        <v>402</v>
      </c>
      <c r="C17" s="49">
        <v>45172565</v>
      </c>
      <c r="D17" s="49">
        <v>98</v>
      </c>
      <c r="E17" s="49"/>
      <c r="F17" s="49"/>
      <c r="G17" s="49">
        <v>5042626</v>
      </c>
      <c r="H17" s="49">
        <v>5337003</v>
      </c>
      <c r="I17" s="49">
        <v>3086251</v>
      </c>
      <c r="J17" s="49">
        <v>44</v>
      </c>
      <c r="K17" s="49">
        <v>1028800</v>
      </c>
      <c r="L17" s="50"/>
      <c r="M17" s="8">
        <f t="shared" si="0"/>
        <v>13465880</v>
      </c>
      <c r="N17" s="8">
        <f t="shared" si="1"/>
        <v>58638445</v>
      </c>
      <c r="O17" s="8">
        <f t="shared" si="2"/>
        <v>460944.54081632651</v>
      </c>
      <c r="P17" s="8">
        <f t="shared" si="3"/>
        <v>306042.72727272729</v>
      </c>
      <c r="Q17" s="21" t="str">
        <f t="shared" si="4"/>
        <v/>
      </c>
    </row>
    <row r="18" spans="1:17" ht="21.75" customHeight="1" x14ac:dyDescent="0.2">
      <c r="A18" s="47">
        <v>46247</v>
      </c>
      <c r="B18" s="48" t="s">
        <v>403</v>
      </c>
      <c r="C18" s="49">
        <v>34831578</v>
      </c>
      <c r="D18" s="49">
        <v>86</v>
      </c>
      <c r="E18" s="49"/>
      <c r="F18" s="49"/>
      <c r="G18" s="49">
        <v>7251007</v>
      </c>
      <c r="H18" s="49">
        <v>3907751</v>
      </c>
      <c r="I18" s="49">
        <v>5972503</v>
      </c>
      <c r="J18" s="49">
        <v>52</v>
      </c>
      <c r="K18" s="49"/>
      <c r="L18" s="50"/>
      <c r="M18" s="8">
        <f t="shared" si="0"/>
        <v>17131261</v>
      </c>
      <c r="N18" s="8">
        <f t="shared" si="1"/>
        <v>51962839</v>
      </c>
      <c r="O18" s="8">
        <f t="shared" si="2"/>
        <v>405018.34883720928</v>
      </c>
      <c r="P18" s="8">
        <f t="shared" si="3"/>
        <v>329447.32692307694</v>
      </c>
      <c r="Q18" s="21" t="str">
        <f t="shared" si="4"/>
        <v/>
      </c>
    </row>
    <row r="19" spans="1:17" ht="21.75" customHeight="1" x14ac:dyDescent="0.2">
      <c r="A19" s="47">
        <v>46248</v>
      </c>
      <c r="B19" s="48" t="s">
        <v>404</v>
      </c>
      <c r="C19" s="49">
        <v>37336658</v>
      </c>
      <c r="D19" s="49">
        <v>89</v>
      </c>
      <c r="E19" s="49"/>
      <c r="F19" s="49"/>
      <c r="G19" s="49">
        <v>5734001</v>
      </c>
      <c r="H19" s="49">
        <v>4229001</v>
      </c>
      <c r="I19" s="49">
        <v>3262999</v>
      </c>
      <c r="J19" s="49">
        <v>50</v>
      </c>
      <c r="K19" s="49">
        <v>1520800</v>
      </c>
      <c r="L19" s="50"/>
      <c r="M19" s="8">
        <f t="shared" si="0"/>
        <v>13226001</v>
      </c>
      <c r="N19" s="8">
        <f t="shared" si="1"/>
        <v>50562659</v>
      </c>
      <c r="O19" s="8">
        <f t="shared" si="2"/>
        <v>419513.01123595505</v>
      </c>
      <c r="P19" s="8">
        <f t="shared" si="3"/>
        <v>264520.02</v>
      </c>
      <c r="Q19" s="21" t="str">
        <f t="shared" si="4"/>
        <v/>
      </c>
    </row>
    <row r="20" spans="1:17" ht="21.75" customHeight="1" x14ac:dyDescent="0.2">
      <c r="A20" s="51">
        <v>46249</v>
      </c>
      <c r="B20" s="52" t="s">
        <v>405</v>
      </c>
      <c r="C20" s="49">
        <v>38739110</v>
      </c>
      <c r="D20" s="49">
        <v>84</v>
      </c>
      <c r="E20" s="49"/>
      <c r="F20" s="49"/>
      <c r="G20" s="49">
        <v>9644005</v>
      </c>
      <c r="H20" s="49">
        <v>3936252</v>
      </c>
      <c r="I20" s="49">
        <v>6010506</v>
      </c>
      <c r="J20" s="49">
        <v>60</v>
      </c>
      <c r="K20" s="49">
        <v>1256000</v>
      </c>
      <c r="L20" s="50"/>
      <c r="M20" s="8">
        <f t="shared" si="0"/>
        <v>19590763</v>
      </c>
      <c r="N20" s="8">
        <f t="shared" si="1"/>
        <v>58329873</v>
      </c>
      <c r="O20" s="8">
        <f t="shared" si="2"/>
        <v>461179.88095238095</v>
      </c>
      <c r="P20" s="8">
        <f t="shared" si="3"/>
        <v>326512.71666666667</v>
      </c>
      <c r="Q20" s="21" t="str">
        <f t="shared" si="4"/>
        <v/>
      </c>
    </row>
    <row r="21" spans="1:17" ht="21.75" customHeight="1" x14ac:dyDescent="0.2">
      <c r="A21" s="51">
        <v>46250</v>
      </c>
      <c r="B21" s="52" t="s">
        <v>406</v>
      </c>
      <c r="C21" s="49">
        <v>28614523</v>
      </c>
      <c r="D21" s="49">
        <v>67</v>
      </c>
      <c r="E21" s="49"/>
      <c r="F21" s="49"/>
      <c r="G21" s="49">
        <v>7116500</v>
      </c>
      <c r="H21" s="49">
        <v>4767255</v>
      </c>
      <c r="I21" s="49">
        <v>1694004</v>
      </c>
      <c r="J21" s="49">
        <v>45</v>
      </c>
      <c r="K21" s="49"/>
      <c r="L21" s="50"/>
      <c r="M21" s="8">
        <f t="shared" si="0"/>
        <v>13577759</v>
      </c>
      <c r="N21" s="8">
        <f t="shared" si="1"/>
        <v>42192282</v>
      </c>
      <c r="O21" s="8">
        <f t="shared" si="2"/>
        <v>427082.43283582089</v>
      </c>
      <c r="P21" s="8">
        <f t="shared" si="3"/>
        <v>301727.97777777776</v>
      </c>
      <c r="Q21" s="21" t="str">
        <f t="shared" si="4"/>
        <v/>
      </c>
    </row>
    <row r="22" spans="1:17" ht="21.75" customHeight="1" x14ac:dyDescent="0.2">
      <c r="A22" s="47">
        <v>46251</v>
      </c>
      <c r="B22" s="48" t="s">
        <v>400</v>
      </c>
      <c r="C22" s="49">
        <v>37131550</v>
      </c>
      <c r="D22" s="49">
        <v>70</v>
      </c>
      <c r="E22" s="49"/>
      <c r="F22" s="49"/>
      <c r="G22" s="49">
        <v>5196495</v>
      </c>
      <c r="H22" s="49">
        <v>3660003</v>
      </c>
      <c r="I22" s="49">
        <v>3904999</v>
      </c>
      <c r="J22" s="49">
        <v>42</v>
      </c>
      <c r="K22" s="49">
        <v>480000</v>
      </c>
      <c r="L22" s="50"/>
      <c r="M22" s="8">
        <f t="shared" si="0"/>
        <v>12761497</v>
      </c>
      <c r="N22" s="8">
        <f t="shared" si="1"/>
        <v>49893047</v>
      </c>
      <c r="O22" s="8">
        <f t="shared" si="2"/>
        <v>530450.71428571432</v>
      </c>
      <c r="P22" s="8">
        <f t="shared" si="3"/>
        <v>303845.16666666669</v>
      </c>
      <c r="Q22" s="21" t="str">
        <f t="shared" si="4"/>
        <v/>
      </c>
    </row>
    <row r="23" spans="1:17" ht="21.75" customHeight="1" x14ac:dyDescent="0.2">
      <c r="A23" s="47">
        <v>46252</v>
      </c>
      <c r="B23" s="48" t="s">
        <v>401</v>
      </c>
      <c r="C23" s="49">
        <v>41967298</v>
      </c>
      <c r="D23" s="49">
        <v>86</v>
      </c>
      <c r="E23" s="49"/>
      <c r="F23" s="49"/>
      <c r="G23" s="49">
        <v>5696003</v>
      </c>
      <c r="H23" s="49">
        <v>1689002</v>
      </c>
      <c r="I23" s="49">
        <v>2518499</v>
      </c>
      <c r="J23" s="49">
        <v>26</v>
      </c>
      <c r="K23" s="49">
        <v>1828800</v>
      </c>
      <c r="L23" s="50"/>
      <c r="M23" s="8">
        <f t="shared" si="0"/>
        <v>9903504</v>
      </c>
      <c r="N23" s="8">
        <f t="shared" si="1"/>
        <v>51870802</v>
      </c>
      <c r="O23" s="8">
        <f t="shared" si="2"/>
        <v>487991.83720930235</v>
      </c>
      <c r="P23" s="8">
        <f t="shared" si="3"/>
        <v>380904</v>
      </c>
      <c r="Q23" s="21" t="str">
        <f t="shared" si="4"/>
        <v/>
      </c>
    </row>
    <row r="24" spans="1:17" ht="21.75" customHeight="1" x14ac:dyDescent="0.2">
      <c r="A24" s="47">
        <v>46253</v>
      </c>
      <c r="B24" s="48" t="s">
        <v>402</v>
      </c>
      <c r="C24" s="49">
        <v>39806062</v>
      </c>
      <c r="D24" s="49">
        <v>88</v>
      </c>
      <c r="E24" s="49"/>
      <c r="F24" s="49"/>
      <c r="G24" s="49">
        <v>11530503</v>
      </c>
      <c r="H24" s="49">
        <v>3214502</v>
      </c>
      <c r="I24" s="49">
        <v>1877001</v>
      </c>
      <c r="J24" s="49">
        <v>48</v>
      </c>
      <c r="K24" s="49">
        <v>480000</v>
      </c>
      <c r="L24" s="50"/>
      <c r="M24" s="8">
        <f t="shared" si="0"/>
        <v>16622006</v>
      </c>
      <c r="N24" s="8">
        <f t="shared" si="1"/>
        <v>56428068</v>
      </c>
      <c r="O24" s="8">
        <f t="shared" si="2"/>
        <v>452341.61363636365</v>
      </c>
      <c r="P24" s="8">
        <f t="shared" si="3"/>
        <v>346291.79166666669</v>
      </c>
      <c r="Q24" s="21" t="str">
        <f t="shared" si="4"/>
        <v/>
      </c>
    </row>
    <row r="25" spans="1:17" ht="21.75" customHeight="1" x14ac:dyDescent="0.2">
      <c r="A25" s="47">
        <v>46254</v>
      </c>
      <c r="B25" s="48" t="s">
        <v>403</v>
      </c>
      <c r="C25" s="49">
        <v>38745150</v>
      </c>
      <c r="D25" s="49">
        <v>97</v>
      </c>
      <c r="E25" s="49"/>
      <c r="F25" s="49"/>
      <c r="G25" s="49">
        <v>4610000</v>
      </c>
      <c r="H25" s="49">
        <v>1930004</v>
      </c>
      <c r="I25" s="49">
        <v>2952000</v>
      </c>
      <c r="J25" s="49">
        <v>30</v>
      </c>
      <c r="K25" s="49"/>
      <c r="L25" s="50"/>
      <c r="M25" s="8">
        <f t="shared" si="0"/>
        <v>9492004</v>
      </c>
      <c r="N25" s="8">
        <f t="shared" si="1"/>
        <v>48237154</v>
      </c>
      <c r="O25" s="8">
        <f t="shared" si="2"/>
        <v>399434.53608247422</v>
      </c>
      <c r="P25" s="8">
        <f t="shared" si="3"/>
        <v>316400.13333333336</v>
      </c>
      <c r="Q25" s="21" t="str">
        <f t="shared" si="4"/>
        <v/>
      </c>
    </row>
    <row r="26" spans="1:17" ht="21.75" customHeight="1" x14ac:dyDescent="0.2">
      <c r="A26" s="47">
        <v>46255</v>
      </c>
      <c r="B26" s="48" t="s">
        <v>404</v>
      </c>
      <c r="C26" s="49">
        <v>28912295</v>
      </c>
      <c r="D26" s="49">
        <v>68</v>
      </c>
      <c r="E26" s="49"/>
      <c r="F26" s="49"/>
      <c r="G26" s="49">
        <v>5468000</v>
      </c>
      <c r="H26" s="49">
        <v>6046251</v>
      </c>
      <c r="I26" s="49">
        <v>3174251</v>
      </c>
      <c r="J26" s="49">
        <v>42</v>
      </c>
      <c r="K26" s="49">
        <v>702400</v>
      </c>
      <c r="L26" s="50"/>
      <c r="M26" s="8">
        <f t="shared" si="0"/>
        <v>14688502</v>
      </c>
      <c r="N26" s="8">
        <f t="shared" si="1"/>
        <v>43600797</v>
      </c>
      <c r="O26" s="8">
        <f t="shared" si="2"/>
        <v>425180.8088235294</v>
      </c>
      <c r="P26" s="8">
        <f t="shared" si="3"/>
        <v>349726.23809523811</v>
      </c>
      <c r="Q26" s="21" t="str">
        <f t="shared" si="4"/>
        <v/>
      </c>
    </row>
    <row r="27" spans="1:17" ht="21.75" customHeight="1" x14ac:dyDescent="0.2">
      <c r="A27" s="51">
        <v>46256</v>
      </c>
      <c r="B27" s="52" t="s">
        <v>405</v>
      </c>
      <c r="C27" s="49">
        <v>33670286</v>
      </c>
      <c r="D27" s="49">
        <v>78</v>
      </c>
      <c r="E27" s="49"/>
      <c r="F27" s="49"/>
      <c r="G27" s="49">
        <v>6381999</v>
      </c>
      <c r="H27" s="49">
        <v>3534999</v>
      </c>
      <c r="I27" s="49">
        <v>5284252</v>
      </c>
      <c r="J27" s="49">
        <v>51</v>
      </c>
      <c r="K27" s="49"/>
      <c r="L27" s="50"/>
      <c r="M27" s="8">
        <f t="shared" si="0"/>
        <v>15201250</v>
      </c>
      <c r="N27" s="8">
        <f t="shared" si="1"/>
        <v>48871536</v>
      </c>
      <c r="O27" s="8">
        <f t="shared" si="2"/>
        <v>431670.33333333331</v>
      </c>
      <c r="P27" s="8">
        <f t="shared" si="3"/>
        <v>298063.72549019608</v>
      </c>
      <c r="Q27" s="21" t="str">
        <f t="shared" si="4"/>
        <v/>
      </c>
    </row>
    <row r="28" spans="1:17" ht="21.75" customHeight="1" x14ac:dyDescent="0.2">
      <c r="A28" s="51">
        <v>46257</v>
      </c>
      <c r="B28" s="52" t="s">
        <v>406</v>
      </c>
      <c r="C28" s="49">
        <v>37574298</v>
      </c>
      <c r="D28" s="49">
        <v>77</v>
      </c>
      <c r="E28" s="49"/>
      <c r="F28" s="49"/>
      <c r="G28" s="49">
        <v>13031998</v>
      </c>
      <c r="H28" s="49">
        <v>1918501</v>
      </c>
      <c r="I28" s="49">
        <v>2320498</v>
      </c>
      <c r="J28" s="49">
        <v>47</v>
      </c>
      <c r="K28" s="49"/>
      <c r="L28" s="50"/>
      <c r="M28" s="8">
        <f t="shared" si="0"/>
        <v>17270997</v>
      </c>
      <c r="N28" s="8">
        <f t="shared" si="1"/>
        <v>54845295</v>
      </c>
      <c r="O28" s="8">
        <f t="shared" si="2"/>
        <v>487977.89610389608</v>
      </c>
      <c r="P28" s="8">
        <f t="shared" si="3"/>
        <v>367468.02127659577</v>
      </c>
      <c r="Q28" s="21" t="str">
        <f t="shared" si="4"/>
        <v/>
      </c>
    </row>
    <row r="29" spans="1:17" ht="21.75" customHeight="1" x14ac:dyDescent="0.2">
      <c r="A29" s="47">
        <v>46258</v>
      </c>
      <c r="B29" s="48" t="s">
        <v>400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46259</v>
      </c>
      <c r="B30" s="48" t="s">
        <v>401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47">
        <v>46260</v>
      </c>
      <c r="B31" s="48" t="s">
        <v>402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47">
        <v>46261</v>
      </c>
      <c r="B32" s="48" t="s">
        <v>403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46262</v>
      </c>
      <c r="B33" s="48" t="s">
        <v>404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51">
        <v>46263</v>
      </c>
      <c r="B34" s="52" t="s">
        <v>405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51">
        <v>46264</v>
      </c>
      <c r="B35" s="52" t="s">
        <v>406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21.75" customHeight="1" x14ac:dyDescent="0.2">
      <c r="A36" s="47">
        <v>46265</v>
      </c>
      <c r="B36" s="48" t="s">
        <v>400</v>
      </c>
      <c r="C36" s="49"/>
      <c r="D36" s="49"/>
      <c r="E36" s="49"/>
      <c r="F36" s="49"/>
      <c r="G36" s="49"/>
      <c r="H36" s="49"/>
      <c r="I36" s="49"/>
      <c r="J36" s="49"/>
      <c r="K36" s="49"/>
      <c r="L36" s="50"/>
      <c r="M36" s="8" t="str">
        <f t="shared" si="0"/>
        <v/>
      </c>
      <c r="N36" s="8" t="str">
        <f t="shared" si="1"/>
        <v/>
      </c>
      <c r="O36" s="8" t="str">
        <f t="shared" si="2"/>
        <v/>
      </c>
      <c r="P36" s="8" t="str">
        <f t="shared" si="3"/>
        <v/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476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417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418</v>
      </c>
      <c r="B3" s="35" t="s">
        <v>382</v>
      </c>
      <c r="C3" s="35" t="s">
        <v>384</v>
      </c>
      <c r="D3" s="35" t="s">
        <v>385</v>
      </c>
      <c r="E3" s="35" t="s">
        <v>419</v>
      </c>
      <c r="F3" s="36" t="s">
        <v>387</v>
      </c>
      <c r="G3" s="36" t="s">
        <v>420</v>
      </c>
      <c r="H3" s="37" t="s">
        <v>421</v>
      </c>
      <c r="I3" s="40" t="s">
        <v>422</v>
      </c>
      <c r="J3" s="40" t="s">
        <v>423</v>
      </c>
      <c r="K3" s="40" t="s">
        <v>424</v>
      </c>
      <c r="L3" s="39" t="s">
        <v>393</v>
      </c>
    </row>
    <row r="4" spans="1:12" ht="24" customHeight="1" x14ac:dyDescent="0.2">
      <c r="A4" s="53" t="s">
        <v>425</v>
      </c>
      <c r="B4" s="54" t="s">
        <v>477</v>
      </c>
      <c r="C4" s="55">
        <f>IFERROR(SUM('📅 DAILY T8'!C6:C12),0)</f>
        <v>252696834</v>
      </c>
      <c r="D4" s="55">
        <f>IFERROR(SUM('📅 DAILY T8'!D6:D12),0)</f>
        <v>612</v>
      </c>
      <c r="E4" s="55">
        <f>IFERROR(SUM('📅 DAILY T8'!C6:C12)/SUM('📅 DAILY T8'!D6:D12),"")</f>
        <v>412903.32352941175</v>
      </c>
      <c r="F4" s="56">
        <f>IFERROR(SUM('📅 DAILY T8'!F6:F12),0)</f>
        <v>0</v>
      </c>
      <c r="G4" s="57" t="str">
        <f>IFERROR(SUM('📅 DAILY T8'!C6:C12)/SUM('📅 DAILY T8'!F6:F12),"")</f>
        <v/>
      </c>
      <c r="H4" s="58">
        <f>IFERROR(SUM('📅 DAILY T8'!M6:M12),0)</f>
        <v>126826387</v>
      </c>
      <c r="I4" s="59">
        <f>IFERROR(SUM('📅 DAILY T8'!N6:N12),0)</f>
        <v>379523221</v>
      </c>
      <c r="J4" s="60">
        <f>IFERROR(SUM('📅 DAILY T8'!C6:C12)/1292244677,"")</f>
        <v>0.19554875210370087</v>
      </c>
      <c r="K4" s="60">
        <f>IFERROR(SUM('📅 DAILY T8'!M6:M12)/730208327,"")</f>
        <v>0.17368521052211994</v>
      </c>
      <c r="L4" s="61"/>
    </row>
    <row r="5" spans="1:12" ht="24" customHeight="1" x14ac:dyDescent="0.2">
      <c r="A5" s="62" t="s">
        <v>427</v>
      </c>
      <c r="B5" s="63" t="s">
        <v>478</v>
      </c>
      <c r="C5" s="55">
        <f>IFERROR(SUM('📅 DAILY T8'!C13:C19),0)</f>
        <v>266852574</v>
      </c>
      <c r="D5" s="55">
        <f>IFERROR(SUM('📅 DAILY T8'!D13:D19),0)</f>
        <v>629</v>
      </c>
      <c r="E5" s="55">
        <f>IFERROR(SUM('📅 DAILY T8'!C13:C19)/SUM('📅 DAILY T8'!D13:D19),"")</f>
        <v>424248.92527821939</v>
      </c>
      <c r="F5" s="56">
        <f>IFERROR(SUM('📅 DAILY T8'!F13:F19),0)</f>
        <v>0</v>
      </c>
      <c r="G5" s="57" t="str">
        <f>IFERROR(SUM('📅 DAILY T8'!C13:C19)/SUM('📅 DAILY T8'!F13:F19),"")</f>
        <v/>
      </c>
      <c r="H5" s="58">
        <f>IFERROR(SUM('📅 DAILY T8'!M13:M19),0)</f>
        <v>97036411</v>
      </c>
      <c r="I5" s="59">
        <f>IFERROR(SUM('📅 DAILY T8'!N13:N19),0)</f>
        <v>363888985</v>
      </c>
      <c r="J5" s="60">
        <f>IFERROR(SUM('📅 DAILY T8'!C6:C19)/1292244677,"")</f>
        <v>0.40205188479178389</v>
      </c>
      <c r="K5" s="60">
        <f>IFERROR(SUM('📅 DAILY T8'!M6:M19)/730208327,"")</f>
        <v>0.30657387723818713</v>
      </c>
      <c r="L5" s="61"/>
    </row>
    <row r="6" spans="1:12" ht="24" customHeight="1" x14ac:dyDescent="0.2">
      <c r="A6" s="64" t="s">
        <v>429</v>
      </c>
      <c r="B6" s="65" t="s">
        <v>479</v>
      </c>
      <c r="C6" s="55">
        <f>IFERROR(SUM('📅 DAILY T8'!C20:C26),0)</f>
        <v>253915988</v>
      </c>
      <c r="D6" s="55">
        <f>IFERROR(SUM('📅 DAILY T8'!D20:D26),0)</f>
        <v>560</v>
      </c>
      <c r="E6" s="55">
        <f>IFERROR(SUM('📅 DAILY T8'!C20:C26)/SUM('📅 DAILY T8'!D20:D26),"")</f>
        <v>453421.40714285715</v>
      </c>
      <c r="F6" s="56">
        <f>IFERROR(SUM('📅 DAILY T8'!F20:F26),0)</f>
        <v>0</v>
      </c>
      <c r="G6" s="57" t="str">
        <f>IFERROR(SUM('📅 DAILY T8'!C20:C26)/SUM('📅 DAILY T8'!F20:F26),"")</f>
        <v/>
      </c>
      <c r="H6" s="58">
        <f>IFERROR(SUM('📅 DAILY T8'!M20:M26),0)</f>
        <v>96636035</v>
      </c>
      <c r="I6" s="59">
        <f>IFERROR(SUM('📅 DAILY T8'!N20:N26),0)</f>
        <v>350552023</v>
      </c>
      <c r="J6" s="60">
        <f>IFERROR(SUM('📅 DAILY T8'!C6:C26)/1292244677,"")</f>
        <v>0.59854407587550074</v>
      </c>
      <c r="K6" s="60">
        <f>IFERROR(SUM('📅 DAILY T8'!M6:M26)/730208327,"")</f>
        <v>0.43891424015491953</v>
      </c>
      <c r="L6" s="61"/>
    </row>
    <row r="7" spans="1:12" ht="24" customHeight="1" x14ac:dyDescent="0.2">
      <c r="A7" s="66" t="s">
        <v>431</v>
      </c>
      <c r="B7" s="67" t="s">
        <v>480</v>
      </c>
      <c r="C7" s="55">
        <f>IFERROR(SUM('📅 DAILY T8'!C27:C33),0)</f>
        <v>71244584</v>
      </c>
      <c r="D7" s="55">
        <f>IFERROR(SUM('📅 DAILY T8'!D27:D33),0)</f>
        <v>155</v>
      </c>
      <c r="E7" s="55">
        <f>IFERROR(SUM('📅 DAILY T8'!C27:C33)/SUM('📅 DAILY T8'!D27:D33),"")</f>
        <v>459642.47741935484</v>
      </c>
      <c r="F7" s="56">
        <f>IFERROR(SUM('📅 DAILY T8'!F27:F33),0)</f>
        <v>0</v>
      </c>
      <c r="G7" s="57" t="str">
        <f>IFERROR(SUM('📅 DAILY T8'!C27:C33)/SUM('📅 DAILY T8'!F27:F33),"")</f>
        <v/>
      </c>
      <c r="H7" s="58">
        <f>IFERROR(SUM('📅 DAILY T8'!M27:M33),0)</f>
        <v>32472247</v>
      </c>
      <c r="I7" s="59">
        <f>IFERROR(SUM('📅 DAILY T8'!N27:N33),0)</f>
        <v>103716831</v>
      </c>
      <c r="J7" s="60">
        <f>IFERROR(SUM('📅 DAILY T8'!C6:C33)/1292244677,"")</f>
        <v>0.65367650185337156</v>
      </c>
      <c r="K7" s="60">
        <f>IFERROR(SUM('📅 DAILY T8'!M6:M33)/730208327,"")</f>
        <v>0.4833840795135167</v>
      </c>
      <c r="L7" s="61"/>
    </row>
    <row r="8" spans="1:12" ht="24" customHeight="1" x14ac:dyDescent="0.2">
      <c r="A8" s="68" t="s">
        <v>433</v>
      </c>
      <c r="B8" s="69" t="s">
        <v>481</v>
      </c>
      <c r="C8" s="55">
        <f>IFERROR(SUM('📅 DAILY T8'!C28:C34),0)</f>
        <v>37574298</v>
      </c>
      <c r="D8" s="55">
        <f>IFERROR(SUM('📅 DAILY T8'!D28:D34),0)</f>
        <v>77</v>
      </c>
      <c r="E8" s="55"/>
      <c r="F8" s="56">
        <f>IFERROR(SUM('📅 DAILY T8'!F28:F34),0)</f>
        <v>0</v>
      </c>
      <c r="G8" s="57"/>
      <c r="H8" s="58">
        <f>IFERROR(SUM('📅 DAILY T8'!M28:M34),0)</f>
        <v>17270997</v>
      </c>
      <c r="I8" s="59">
        <f>IFERROR(SUM('📅 DAILY T8'!N28:N34),0)</f>
        <v>54845295</v>
      </c>
      <c r="J8" s="60">
        <f>IFERROR(SUM('📅 DAILY T8'!C7:C34)/1292244677,"")</f>
        <v>0.6233010306298209</v>
      </c>
      <c r="K8" s="60">
        <f>IFERROR(SUM('📅 DAILY T8'!M7:M34)/730208327,"")</f>
        <v>0.44931124703539571</v>
      </c>
      <c r="L8" s="61"/>
    </row>
    <row r="9" spans="1:12" ht="24" customHeight="1" x14ac:dyDescent="0.2">
      <c r="A9" s="68" t="s">
        <v>482</v>
      </c>
      <c r="B9" s="109">
        <v>46265</v>
      </c>
      <c r="C9" s="55">
        <f>IFERROR(SUM('📅 DAILY T8'!C34:C36),0)</f>
        <v>0</v>
      </c>
      <c r="D9" s="55">
        <f>IFERROR(SUM('📅 DAILY T8'!D34:D36),0)</f>
        <v>0</v>
      </c>
      <c r="E9" s="55" t="str">
        <f>IFERROR(SUM('📅 DAILY T8'!C34:C36)/SUM('📅 DAILY T8'!D34:D36),"")</f>
        <v/>
      </c>
      <c r="F9" s="56">
        <f>IFERROR(SUM('📅 DAILY T8'!F34:F36),0)</f>
        <v>0</v>
      </c>
      <c r="G9" s="57" t="str">
        <f>IFERROR(SUM('📅 DAILY T8'!C34:C36)/SUM('📅 DAILY T8'!F34:F36),"")</f>
        <v/>
      </c>
      <c r="H9" s="58">
        <f>IFERROR(SUM('📅 DAILY T8'!M34:M36),0)</f>
        <v>0</v>
      </c>
      <c r="I9" s="59">
        <f>IFERROR(SUM('📅 DAILY T8'!N34:N36),0)</f>
        <v>0</v>
      </c>
      <c r="J9" s="60">
        <f>IFERROR(SUM('📅 DAILY T8'!C6:C36)/1292244677,"")</f>
        <v>0.65367650185337156</v>
      </c>
      <c r="K9" s="60">
        <f>IFERROR(SUM('📅 DAILY T8'!M6:M36)/730208327,"")</f>
        <v>0.4833840795135167</v>
      </c>
      <c r="L9" s="61"/>
    </row>
    <row r="10" spans="1:12" ht="4.5" customHeight="1" x14ac:dyDescent="0.2">
      <c r="A10" s="70"/>
    </row>
    <row r="11" spans="1:12" ht="18.75" customHeight="1" x14ac:dyDescent="0.2">
      <c r="B11" s="70"/>
    </row>
    <row r="12" spans="1:12" ht="18.75" customHeight="1" x14ac:dyDescent="0.2">
      <c r="C12" s="70"/>
    </row>
    <row r="13" spans="1:12" ht="18.75" customHeight="1" x14ac:dyDescent="0.2">
      <c r="D13" s="70"/>
    </row>
    <row r="14" spans="1:12" ht="18.75" customHeight="1" x14ac:dyDescent="0.2">
      <c r="E14" s="70"/>
    </row>
    <row r="15" spans="1:12" ht="18.75" customHeight="1" x14ac:dyDescent="0.2">
      <c r="F15" s="70"/>
    </row>
    <row r="16" spans="1:12" ht="18.75" customHeight="1" x14ac:dyDescent="0.2">
      <c r="G16" s="70"/>
    </row>
    <row r="17" spans="1:12" ht="18.75" customHeight="1" x14ac:dyDescent="0.2">
      <c r="H17" s="70"/>
    </row>
    <row r="18" spans="1:12" ht="18.75" customHeight="1" x14ac:dyDescent="0.2">
      <c r="I18" s="70"/>
    </row>
    <row r="19" spans="1:12" ht="18.75" customHeight="1" x14ac:dyDescent="0.2">
      <c r="J19" s="70"/>
    </row>
    <row r="20" spans="1:12" ht="18.75" customHeight="1" x14ac:dyDescent="0.2">
      <c r="K20" s="70"/>
    </row>
    <row r="21" spans="1:12" ht="18.75" customHeight="1" x14ac:dyDescent="0.2">
      <c r="L21" s="70"/>
    </row>
    <row r="22" spans="1:12" ht="25.5" customHeight="1" x14ac:dyDescent="0.2">
      <c r="A22" s="71" t="s">
        <v>435</v>
      </c>
      <c r="B22" s="72" t="s">
        <v>483</v>
      </c>
      <c r="C22" s="73">
        <f>IFERROR(SUM('📅 DAILY T8'!C6:C36),0)</f>
        <v>844709980</v>
      </c>
      <c r="D22" s="73">
        <f>IFERROR(SUM('📅 DAILY T8'!D6:D36),0)</f>
        <v>1956</v>
      </c>
      <c r="E22" s="73">
        <f>IFERROR(SUM('📅 DAILY T8'!C6:C36)/SUM('📅 DAILY T8'!D6:D36),"")</f>
        <v>431855.81799591001</v>
      </c>
      <c r="F22" s="73">
        <f>IFERROR(SUM('📅 DAILY T8'!F6:F36),0)</f>
        <v>0</v>
      </c>
      <c r="G22" s="74" t="str">
        <f>IFERROR(SUM('📅 DAILY T8'!C6:C36)/SUM('📅 DAILY T8'!F6:F36),"")</f>
        <v/>
      </c>
      <c r="H22" s="73">
        <f>IFERROR(SUM('📅 DAILY T8'!M6:M36),0)</f>
        <v>352971080</v>
      </c>
      <c r="I22" s="73">
        <f>IFERROR(SUM('📅 DAILY T8'!N6:N36),0)</f>
        <v>1197681060</v>
      </c>
      <c r="J22" s="75">
        <f>IFERROR(SUM('📅 DAILY T8'!C6:C36)/1292244677,"")</f>
        <v>0.65367650185337156</v>
      </c>
      <c r="K22" s="75">
        <f>IFERROR(SUM('📅 DAILY T8'!M6:M36)/730208327,"")</f>
        <v>0.4833840795135167</v>
      </c>
      <c r="L22" s="70"/>
    </row>
    <row r="23" spans="1:12" ht="18.75" customHeight="1" x14ac:dyDescent="0.2"/>
    <row r="24" spans="1:12" ht="21.75" customHeight="1" x14ac:dyDescent="0.2">
      <c r="A24" s="175" t="s">
        <v>437</v>
      </c>
      <c r="B24" s="149"/>
      <c r="C24" s="76">
        <v>1221751028</v>
      </c>
      <c r="D24" s="42"/>
      <c r="E24" s="42"/>
      <c r="F24" s="42"/>
      <c r="G24" s="42"/>
      <c r="H24" s="77">
        <v>655855776</v>
      </c>
      <c r="I24" s="78">
        <v>1877606804</v>
      </c>
      <c r="J24" s="42"/>
      <c r="K24" s="42"/>
      <c r="L24" s="42"/>
    </row>
    <row r="25" spans="1:12" ht="18.75" customHeight="1" x14ac:dyDescent="0.2"/>
    <row r="26" spans="1:12" ht="18.75" customHeight="1" x14ac:dyDescent="0.2">
      <c r="A26" s="174" t="s">
        <v>438</v>
      </c>
      <c r="B26" s="149"/>
      <c r="C26" s="149"/>
      <c r="D26" s="149"/>
      <c r="E26" s="149"/>
      <c r="F26" s="149"/>
      <c r="G26" s="149"/>
      <c r="H26" s="149"/>
      <c r="I26" s="149"/>
      <c r="J26" s="149"/>
      <c r="K26" s="149"/>
      <c r="L26" s="149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484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1009097583</v>
      </c>
      <c r="D5" s="42"/>
      <c r="E5" s="42"/>
      <c r="F5" s="42"/>
      <c r="G5" s="43">
        <v>285065587</v>
      </c>
      <c r="H5" s="43">
        <v>140539321</v>
      </c>
      <c r="I5" s="43">
        <v>116095049</v>
      </c>
      <c r="J5" s="42"/>
      <c r="K5" s="42"/>
      <c r="L5" s="42"/>
      <c r="M5" s="44">
        <v>541699957</v>
      </c>
      <c r="N5" s="44">
        <v>1550797540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46266</v>
      </c>
      <c r="B6" s="48" t="s">
        <v>401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46267</v>
      </c>
      <c r="B7" s="48" t="s">
        <v>402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46268</v>
      </c>
      <c r="B8" s="48" t="s">
        <v>403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46269</v>
      </c>
      <c r="B9" s="48" t="s">
        <v>404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46270</v>
      </c>
      <c r="B10" s="52" t="s">
        <v>405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46271</v>
      </c>
      <c r="B11" s="52" t="s">
        <v>406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46272</v>
      </c>
      <c r="B12" s="48" t="s">
        <v>400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46273</v>
      </c>
      <c r="B13" s="48" t="s">
        <v>401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46274</v>
      </c>
      <c r="B14" s="48" t="s">
        <v>402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46275</v>
      </c>
      <c r="B15" s="48" t="s">
        <v>403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46276</v>
      </c>
      <c r="B16" s="48" t="s">
        <v>404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46277</v>
      </c>
      <c r="B17" s="52" t="s">
        <v>405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46278</v>
      </c>
      <c r="B18" s="52" t="s">
        <v>406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46279</v>
      </c>
      <c r="B19" s="48" t="s">
        <v>400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46280</v>
      </c>
      <c r="B20" s="48" t="s">
        <v>401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46281</v>
      </c>
      <c r="B21" s="48" t="s">
        <v>402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46282</v>
      </c>
      <c r="B22" s="48" t="s">
        <v>403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46283</v>
      </c>
      <c r="B23" s="48" t="s">
        <v>404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46284</v>
      </c>
      <c r="B24" s="52" t="s">
        <v>405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46285</v>
      </c>
      <c r="B25" s="52" t="s">
        <v>406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46286</v>
      </c>
      <c r="B26" s="48" t="s">
        <v>400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46287</v>
      </c>
      <c r="B27" s="48" t="s">
        <v>401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46288</v>
      </c>
      <c r="B28" s="48" t="s">
        <v>402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46289</v>
      </c>
      <c r="B29" s="48" t="s">
        <v>403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46290</v>
      </c>
      <c r="B30" s="48" t="s">
        <v>404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46291</v>
      </c>
      <c r="B31" s="52" t="s">
        <v>405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46292</v>
      </c>
      <c r="B32" s="52" t="s">
        <v>406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46293</v>
      </c>
      <c r="B33" s="48" t="s">
        <v>400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46294</v>
      </c>
      <c r="B34" s="48" t="s">
        <v>401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46295</v>
      </c>
      <c r="B35" s="48" t="s">
        <v>402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485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417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490</v>
      </c>
      <c r="C4" s="124">
        <f>IFERROR(SUM('📅 DAILY T9'!C6:C11),0)</f>
        <v>0</v>
      </c>
      <c r="D4" s="125">
        <v>201819517</v>
      </c>
      <c r="E4" s="126">
        <f>IFERROR(IF(D4&gt;0,C4/D4,""),"")</f>
        <v>0</v>
      </c>
      <c r="F4" s="124">
        <f>IFERROR(SUM('📅 DAILY T9'!D6:D11),0)</f>
        <v>0</v>
      </c>
      <c r="G4" s="124" t="str">
        <f>IFERROR(IF(F4&gt;0,C4/F4,""),"")</f>
        <v/>
      </c>
      <c r="H4" s="127">
        <f>IFERROR(SUM('📅 DAILY T9'!F6:F11),0)</f>
        <v>0</v>
      </c>
      <c r="I4" s="128" t="str">
        <f>IFERROR(IF(H4&gt;0,C4/H4,""),"")</f>
        <v/>
      </c>
      <c r="J4" s="129">
        <f>IFERROR(SUM('📅 DAILY T9'!M6:M11),0)</f>
        <v>0</v>
      </c>
      <c r="K4" s="125">
        <v>108339991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427</v>
      </c>
      <c r="B5" s="123" t="s">
        <v>491</v>
      </c>
      <c r="C5" s="124">
        <f>IFERROR(SUM('📅 DAILY T9'!C12:C18),0)</f>
        <v>0</v>
      </c>
      <c r="D5" s="125">
        <v>235456103</v>
      </c>
      <c r="E5" s="126">
        <f>IFERROR(IF(D5&gt;0,C5/D5,""),"")</f>
        <v>0</v>
      </c>
      <c r="F5" s="124">
        <f>IFERROR(SUM('📅 DAILY T9'!D12:D18),0)</f>
        <v>0</v>
      </c>
      <c r="G5" s="124" t="str">
        <f>IFERROR(IF(F5&gt;0,C5/F5,""),"")</f>
        <v/>
      </c>
      <c r="H5" s="127">
        <f>IFERROR(SUM('📅 DAILY T9'!F12:F18),0)</f>
        <v>0</v>
      </c>
      <c r="I5" s="128" t="str">
        <f>IFERROR(IF(H5&gt;0,C5/H5,""),"")</f>
        <v/>
      </c>
      <c r="J5" s="129">
        <f>IFERROR(SUM('📅 DAILY T9'!M12:M18),0)</f>
        <v>0</v>
      </c>
      <c r="K5" s="125">
        <v>126396657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429</v>
      </c>
      <c r="B6" s="123" t="s">
        <v>492</v>
      </c>
      <c r="C6" s="124">
        <f>IFERROR(SUM('📅 DAILY T9'!C19:C25),0)</f>
        <v>0</v>
      </c>
      <c r="D6" s="125">
        <v>235456103</v>
      </c>
      <c r="E6" s="126">
        <f>IFERROR(IF(D6&gt;0,C6/D6,""),"")</f>
        <v>0</v>
      </c>
      <c r="F6" s="124">
        <f>IFERROR(SUM('📅 DAILY T9'!D19:D25),0)</f>
        <v>0</v>
      </c>
      <c r="G6" s="124" t="str">
        <f>IFERROR(IF(F6&gt;0,C6/F6,""),"")</f>
        <v/>
      </c>
      <c r="H6" s="127">
        <f>IFERROR(SUM('📅 DAILY T9'!F19:F25),0)</f>
        <v>0</v>
      </c>
      <c r="I6" s="128" t="str">
        <f>IFERROR(IF(H6&gt;0,C6/H6,""),"")</f>
        <v/>
      </c>
      <c r="J6" s="129">
        <f>IFERROR(SUM('📅 DAILY T9'!M19:M25),0)</f>
        <v>0</v>
      </c>
      <c r="K6" s="125">
        <v>126396657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431</v>
      </c>
      <c r="B7" s="123" t="s">
        <v>493</v>
      </c>
      <c r="C7" s="124">
        <f>IFERROR(SUM('📅 DAILY T9'!C26:C32),0)</f>
        <v>0</v>
      </c>
      <c r="D7" s="125">
        <v>235456103</v>
      </c>
      <c r="E7" s="126">
        <f>IFERROR(IF(D7&gt;0,C7/D7,""),"")</f>
        <v>0</v>
      </c>
      <c r="F7" s="124">
        <f>IFERROR(SUM('📅 DAILY T9'!D26:D32),0)</f>
        <v>0</v>
      </c>
      <c r="G7" s="124" t="str">
        <f>IFERROR(IF(F7&gt;0,C7/F7,""),"")</f>
        <v/>
      </c>
      <c r="H7" s="127">
        <f>IFERROR(SUM('📅 DAILY T9'!F26:F32),0)</f>
        <v>0</v>
      </c>
      <c r="I7" s="128" t="str">
        <f>IFERROR(IF(H7&gt;0,C7/H7,""),"")</f>
        <v/>
      </c>
      <c r="J7" s="129">
        <f>IFERROR(SUM('📅 DAILY T9'!M26:M32),0)</f>
        <v>0</v>
      </c>
      <c r="K7" s="125">
        <v>126396657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433</v>
      </c>
      <c r="B8" s="123" t="s">
        <v>494</v>
      </c>
      <c r="C8" s="124">
        <f>IFERROR(SUM('📅 DAILY T9'!C33:C35),0)</f>
        <v>0</v>
      </c>
      <c r="D8" s="125">
        <v>100909758</v>
      </c>
      <c r="E8" s="126">
        <f>IFERROR(IF(D8&gt;0,C8/D8,""),"")</f>
        <v>0</v>
      </c>
      <c r="F8" s="124">
        <f>IFERROR(SUM('📅 DAILY T9'!D33:D35),0)</f>
        <v>0</v>
      </c>
      <c r="G8" s="124" t="str">
        <f>IFERROR(IF(F8&gt;0,C8/F8,""),"")</f>
        <v/>
      </c>
      <c r="H8" s="127">
        <f>IFERROR(SUM('📅 DAILY T9'!F33:F35),0)</f>
        <v>0</v>
      </c>
      <c r="I8" s="128" t="str">
        <f>IFERROR(IF(H8&gt;0,C8/H8,""),"")</f>
        <v/>
      </c>
      <c r="J8" s="129">
        <f>IFERROR(SUM('📅 DAILY T9'!M33:M35),0)</f>
        <v>0</v>
      </c>
      <c r="K8" s="125">
        <v>54169996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495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1258798314</v>
      </c>
      <c r="D5" s="42"/>
      <c r="E5" s="42"/>
      <c r="F5" s="42"/>
      <c r="G5" s="43">
        <v>338907239</v>
      </c>
      <c r="H5" s="43">
        <v>176231764</v>
      </c>
      <c r="I5" s="43">
        <v>162675474</v>
      </c>
      <c r="J5" s="42"/>
      <c r="K5" s="42"/>
      <c r="L5" s="42"/>
      <c r="M5" s="44">
        <v>677814477</v>
      </c>
      <c r="N5" s="44">
        <v>1936612791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46296</v>
      </c>
      <c r="B6" s="48" t="s">
        <v>403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46297</v>
      </c>
      <c r="B7" s="48" t="s">
        <v>404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46298</v>
      </c>
      <c r="B8" s="48" t="s">
        <v>405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46299</v>
      </c>
      <c r="B9" s="48" t="s">
        <v>406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46300</v>
      </c>
      <c r="B10" s="52" t="s">
        <v>400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46301</v>
      </c>
      <c r="B11" s="52" t="s">
        <v>401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46302</v>
      </c>
      <c r="B12" s="48" t="s">
        <v>402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46303</v>
      </c>
      <c r="B13" s="48" t="s">
        <v>403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46304</v>
      </c>
      <c r="B14" s="48" t="s">
        <v>404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46305</v>
      </c>
      <c r="B15" s="48" t="s">
        <v>405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46306</v>
      </c>
      <c r="B16" s="48" t="s">
        <v>406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46307</v>
      </c>
      <c r="B17" s="52" t="s">
        <v>400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46308</v>
      </c>
      <c r="B18" s="52" t="s">
        <v>401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46309</v>
      </c>
      <c r="B19" s="48" t="s">
        <v>402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46310</v>
      </c>
      <c r="B20" s="48" t="s">
        <v>403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46311</v>
      </c>
      <c r="B21" s="48" t="s">
        <v>404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46312</v>
      </c>
      <c r="B22" s="48" t="s">
        <v>405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46313</v>
      </c>
      <c r="B23" s="48" t="s">
        <v>406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46314</v>
      </c>
      <c r="B24" s="52" t="s">
        <v>400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46315</v>
      </c>
      <c r="B25" s="52" t="s">
        <v>401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46316</v>
      </c>
      <c r="B26" s="48" t="s">
        <v>402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46317</v>
      </c>
      <c r="B27" s="48" t="s">
        <v>403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46318</v>
      </c>
      <c r="B28" s="48" t="s">
        <v>404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46319</v>
      </c>
      <c r="B29" s="48" t="s">
        <v>405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46320</v>
      </c>
      <c r="B30" s="48" t="s">
        <v>406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46321</v>
      </c>
      <c r="B31" s="52" t="s">
        <v>400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46322</v>
      </c>
      <c r="B32" s="52" t="s">
        <v>401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46323</v>
      </c>
      <c r="B33" s="48" t="s">
        <v>402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46324</v>
      </c>
      <c r="B34" s="48" t="s">
        <v>403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46325</v>
      </c>
      <c r="B35" s="48" t="s">
        <v>404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46326</v>
      </c>
      <c r="B36" t="s">
        <v>405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496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417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497</v>
      </c>
      <c r="C4" s="124">
        <f>IFERROR(SUM('📅 DAILY T10'!C6:C9),0)</f>
        <v>0</v>
      </c>
      <c r="D4" s="125">
        <v>162425589</v>
      </c>
      <c r="E4" s="126">
        <f>IFERROR(IF(D4&gt;0,C4/D4,""),"")</f>
        <v>0</v>
      </c>
      <c r="F4" s="124">
        <f>IFERROR(SUM('📅 DAILY T10'!D6:D9),0)</f>
        <v>0</v>
      </c>
      <c r="G4" s="124" t="str">
        <f>IFERROR(IF(F4&gt;0,C4/F4,""),"")</f>
        <v/>
      </c>
      <c r="H4" s="127">
        <f>IFERROR(SUM('📅 DAILY T10'!F6:F9),0)</f>
        <v>0</v>
      </c>
      <c r="I4" s="128" t="str">
        <f>IFERROR(IF(H4&gt;0,C4/H4,""),"")</f>
        <v/>
      </c>
      <c r="J4" s="129">
        <f>IFERROR(SUM('📅 DAILY T10'!M6:M9),0)</f>
        <v>0</v>
      </c>
      <c r="K4" s="125">
        <v>87459932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427</v>
      </c>
      <c r="B5" s="123" t="s">
        <v>498</v>
      </c>
      <c r="C5" s="124">
        <f>IFERROR(SUM('📅 DAILY T10'!C10:C16),0)</f>
        <v>0</v>
      </c>
      <c r="D5" s="125">
        <v>284244781</v>
      </c>
      <c r="E5" s="126">
        <f>IFERROR(IF(D5&gt;0,C5/D5,""),"")</f>
        <v>0</v>
      </c>
      <c r="F5" s="124">
        <f>IFERROR(SUM('📅 DAILY T10'!D10:D16),0)</f>
        <v>0</v>
      </c>
      <c r="G5" s="124" t="str">
        <f>IFERROR(IF(F5&gt;0,C5/F5,""),"")</f>
        <v/>
      </c>
      <c r="H5" s="127">
        <f>IFERROR(SUM('📅 DAILY T10'!F10:F16),0)</f>
        <v>0</v>
      </c>
      <c r="I5" s="128" t="str">
        <f>IFERROR(IF(H5&gt;0,C5/H5,""),"")</f>
        <v/>
      </c>
      <c r="J5" s="129">
        <f>IFERROR(SUM('📅 DAILY T10'!M10:M16),0)</f>
        <v>0</v>
      </c>
      <c r="K5" s="125">
        <v>153054882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429</v>
      </c>
      <c r="B6" s="123" t="s">
        <v>499</v>
      </c>
      <c r="C6" s="124">
        <f>IFERROR(SUM('📅 DAILY T10'!C17:C23),0)</f>
        <v>0</v>
      </c>
      <c r="D6" s="125">
        <v>284244781</v>
      </c>
      <c r="E6" s="126">
        <f>IFERROR(IF(D6&gt;0,C6/D6,""),"")</f>
        <v>0</v>
      </c>
      <c r="F6" s="124">
        <f>IFERROR(SUM('📅 DAILY T10'!D17:D23),0)</f>
        <v>0</v>
      </c>
      <c r="G6" s="124" t="str">
        <f>IFERROR(IF(F6&gt;0,C6/F6,""),"")</f>
        <v/>
      </c>
      <c r="H6" s="127">
        <f>IFERROR(SUM('📅 DAILY T10'!F17:F23),0)</f>
        <v>0</v>
      </c>
      <c r="I6" s="128" t="str">
        <f>IFERROR(IF(H6&gt;0,C6/H6,""),"")</f>
        <v/>
      </c>
      <c r="J6" s="129">
        <f>IFERROR(SUM('📅 DAILY T10'!M17:M23),0)</f>
        <v>0</v>
      </c>
      <c r="K6" s="125">
        <v>153054882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431</v>
      </c>
      <c r="B7" s="123" t="s">
        <v>500</v>
      </c>
      <c r="C7" s="124">
        <f>IFERROR(SUM('📅 DAILY T10'!C24:C30),0)</f>
        <v>0</v>
      </c>
      <c r="D7" s="125">
        <v>284244781</v>
      </c>
      <c r="E7" s="126">
        <f>IFERROR(IF(D7&gt;0,C7/D7,""),"")</f>
        <v>0</v>
      </c>
      <c r="F7" s="124">
        <f>IFERROR(SUM('📅 DAILY T10'!D24:D30),0)</f>
        <v>0</v>
      </c>
      <c r="G7" s="124" t="str">
        <f>IFERROR(IF(F7&gt;0,C7/F7,""),"")</f>
        <v/>
      </c>
      <c r="H7" s="127">
        <f>IFERROR(SUM('📅 DAILY T10'!F24:F30),0)</f>
        <v>0</v>
      </c>
      <c r="I7" s="128" t="str">
        <f>IFERROR(IF(H7&gt;0,C7/H7,""),"")</f>
        <v/>
      </c>
      <c r="J7" s="129">
        <f>IFERROR(SUM('📅 DAILY T10'!M24:M30),0)</f>
        <v>0</v>
      </c>
      <c r="K7" s="125">
        <v>153054882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433</v>
      </c>
      <c r="B8" s="123" t="s">
        <v>501</v>
      </c>
      <c r="C8" s="124">
        <f>IFERROR(SUM('📅 DAILY T10'!C31:C36),0)</f>
        <v>0</v>
      </c>
      <c r="D8" s="125">
        <v>243638383</v>
      </c>
      <c r="E8" s="126">
        <f>IFERROR(IF(D8&gt;0,C8/D8,""),"")</f>
        <v>0</v>
      </c>
      <c r="F8" s="124">
        <f>IFERROR(SUM('📅 DAILY T10'!D31:D36),0)</f>
        <v>0</v>
      </c>
      <c r="G8" s="124" t="str">
        <f>IFERROR(IF(F8&gt;0,C8/F8,""),"")</f>
        <v/>
      </c>
      <c r="H8" s="127">
        <f>IFERROR(SUM('📅 DAILY T10'!F31:F36),0)</f>
        <v>0</v>
      </c>
      <c r="I8" s="128" t="str">
        <f>IFERROR(IF(H8&gt;0,C8/H8,""),"")</f>
        <v/>
      </c>
      <c r="J8" s="129">
        <f>IFERROR(SUM('📅 DAILY T10'!M31:M36),0)</f>
        <v>0</v>
      </c>
      <c r="K8" s="125">
        <v>131189899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502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1625138977</v>
      </c>
      <c r="D5" s="42"/>
      <c r="E5" s="42"/>
      <c r="F5" s="42"/>
      <c r="G5" s="43">
        <v>400220793</v>
      </c>
      <c r="H5" s="43">
        <v>208114812</v>
      </c>
      <c r="I5" s="43">
        <v>192105981</v>
      </c>
      <c r="J5" s="42"/>
      <c r="K5" s="42"/>
      <c r="L5" s="42"/>
      <c r="M5" s="44">
        <v>800441586</v>
      </c>
      <c r="N5" s="44">
        <v>2425580563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46327</v>
      </c>
      <c r="B6" s="48" t="s">
        <v>406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46328</v>
      </c>
      <c r="B7" s="48" t="s">
        <v>400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46329</v>
      </c>
      <c r="B8" s="48" t="s">
        <v>401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46330</v>
      </c>
      <c r="B9" s="48" t="s">
        <v>402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46331</v>
      </c>
      <c r="B10" s="52" t="s">
        <v>403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46332</v>
      </c>
      <c r="B11" s="52" t="s">
        <v>404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46333</v>
      </c>
      <c r="B12" s="48" t="s">
        <v>405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46334</v>
      </c>
      <c r="B13" s="48" t="s">
        <v>406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46335</v>
      </c>
      <c r="B14" s="48" t="s">
        <v>400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46336</v>
      </c>
      <c r="B15" s="48" t="s">
        <v>401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46337</v>
      </c>
      <c r="B16" s="48" t="s">
        <v>402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46338</v>
      </c>
      <c r="B17" s="52" t="s">
        <v>403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46339</v>
      </c>
      <c r="B18" s="52" t="s">
        <v>404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46340</v>
      </c>
      <c r="B19" s="48" t="s">
        <v>405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46341</v>
      </c>
      <c r="B20" s="48" t="s">
        <v>406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46342</v>
      </c>
      <c r="B21" s="48" t="s">
        <v>400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46343</v>
      </c>
      <c r="B22" s="48" t="s">
        <v>401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46344</v>
      </c>
      <c r="B23" s="48" t="s">
        <v>402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46345</v>
      </c>
      <c r="B24" s="52" t="s">
        <v>403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46346</v>
      </c>
      <c r="B25" s="52" t="s">
        <v>404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46347</v>
      </c>
      <c r="B26" s="48" t="s">
        <v>405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46348</v>
      </c>
      <c r="B27" s="48" t="s">
        <v>406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46349</v>
      </c>
      <c r="B28" s="48" t="s">
        <v>400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46350</v>
      </c>
      <c r="B29" s="48" t="s">
        <v>401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46351</v>
      </c>
      <c r="B30" s="48" t="s">
        <v>402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46352</v>
      </c>
      <c r="B31" s="52" t="s">
        <v>403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46353</v>
      </c>
      <c r="B32" s="52" t="s">
        <v>404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46354</v>
      </c>
      <c r="B33" s="48" t="s">
        <v>405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46355</v>
      </c>
      <c r="B34" s="48" t="s">
        <v>406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46356</v>
      </c>
      <c r="B35" s="48" t="s">
        <v>400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503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417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504</v>
      </c>
      <c r="C4" s="124">
        <f>IFERROR(SUM('📅 DAILY T11'!C6:C6),0)</f>
        <v>0</v>
      </c>
      <c r="D4" s="125">
        <v>54171299</v>
      </c>
      <c r="E4" s="126">
        <f t="shared" ref="E4:E9" si="0">IFERROR(IF(D4&gt;0,C4/D4,""),"")</f>
        <v>0</v>
      </c>
      <c r="F4" s="124">
        <f>IFERROR(SUM('📅 DAILY T11'!D6:D6),0)</f>
        <v>0</v>
      </c>
      <c r="G4" s="124" t="str">
        <f t="shared" ref="G4:G9" si="1">IFERROR(IF(F4&gt;0,C4/F4,""),"")</f>
        <v/>
      </c>
      <c r="H4" s="127">
        <f>IFERROR(SUM('📅 DAILY T11'!F6:F6),0)</f>
        <v>0</v>
      </c>
      <c r="I4" s="128" t="str">
        <f t="shared" ref="I4:I9" si="2">IFERROR(IF(H4&gt;0,C4/H4,""),"")</f>
        <v/>
      </c>
      <c r="J4" s="129">
        <f>IFERROR(SUM('📅 DAILY T11'!M6:M6),0)</f>
        <v>0</v>
      </c>
      <c r="K4" s="125">
        <v>26681386</v>
      </c>
      <c r="L4" s="126">
        <f t="shared" ref="L4:L9" si="3">IFERROR(IF(K4&gt;0,J4/K4,""),"")</f>
        <v>0</v>
      </c>
      <c r="M4" s="130">
        <f t="shared" ref="M4:M9" si="4">IFERROR(C4+J4,"")</f>
        <v>0</v>
      </c>
      <c r="N4" s="131"/>
    </row>
    <row r="5" spans="1:14" ht="18" customHeight="1" x14ac:dyDescent="0.2">
      <c r="A5" s="122" t="s">
        <v>427</v>
      </c>
      <c r="B5" s="123" t="s">
        <v>505</v>
      </c>
      <c r="C5" s="124">
        <f>IFERROR(SUM('📅 DAILY T11'!C7:C13),0)</f>
        <v>0</v>
      </c>
      <c r="D5" s="125">
        <v>379199095</v>
      </c>
      <c r="E5" s="126">
        <f t="shared" si="0"/>
        <v>0</v>
      </c>
      <c r="F5" s="124">
        <f>IFERROR(SUM('📅 DAILY T11'!D7:D13),0)</f>
        <v>0</v>
      </c>
      <c r="G5" s="124" t="str">
        <f t="shared" si="1"/>
        <v/>
      </c>
      <c r="H5" s="127">
        <f>IFERROR(SUM('📅 DAILY T11'!F7:F13),0)</f>
        <v>0</v>
      </c>
      <c r="I5" s="128" t="str">
        <f t="shared" si="2"/>
        <v/>
      </c>
      <c r="J5" s="129">
        <f>IFERROR(SUM('📅 DAILY T11'!M7:M13),0)</f>
        <v>0</v>
      </c>
      <c r="K5" s="125">
        <v>186769704</v>
      </c>
      <c r="L5" s="126">
        <f t="shared" si="3"/>
        <v>0</v>
      </c>
      <c r="M5" s="130">
        <f t="shared" si="4"/>
        <v>0</v>
      </c>
      <c r="N5" s="131"/>
    </row>
    <row r="6" spans="1:14" ht="18" customHeight="1" x14ac:dyDescent="0.2">
      <c r="A6" s="122" t="s">
        <v>429</v>
      </c>
      <c r="B6" s="123" t="s">
        <v>506</v>
      </c>
      <c r="C6" s="124">
        <f>IFERROR(SUM('📅 DAILY T11'!C14:C20),0)</f>
        <v>0</v>
      </c>
      <c r="D6" s="125">
        <v>379199095</v>
      </c>
      <c r="E6" s="126">
        <f t="shared" si="0"/>
        <v>0</v>
      </c>
      <c r="F6" s="124">
        <f>IFERROR(SUM('📅 DAILY T11'!D14:D20),0)</f>
        <v>0</v>
      </c>
      <c r="G6" s="124" t="str">
        <f t="shared" si="1"/>
        <v/>
      </c>
      <c r="H6" s="127">
        <f>IFERROR(SUM('📅 DAILY T11'!F14:F20),0)</f>
        <v>0</v>
      </c>
      <c r="I6" s="128" t="str">
        <f t="shared" si="2"/>
        <v/>
      </c>
      <c r="J6" s="129">
        <f>IFERROR(SUM('📅 DAILY T11'!M14:M20),0)</f>
        <v>0</v>
      </c>
      <c r="K6" s="125">
        <v>186769704</v>
      </c>
      <c r="L6" s="126">
        <f t="shared" si="3"/>
        <v>0</v>
      </c>
      <c r="M6" s="130">
        <f t="shared" si="4"/>
        <v>0</v>
      </c>
      <c r="N6" s="131"/>
    </row>
    <row r="7" spans="1:14" ht="18" customHeight="1" x14ac:dyDescent="0.2">
      <c r="A7" s="122" t="s">
        <v>431</v>
      </c>
      <c r="B7" s="123" t="s">
        <v>507</v>
      </c>
      <c r="C7" s="124">
        <f>IFERROR(SUM('📅 DAILY T11'!C21:C27),0)</f>
        <v>0</v>
      </c>
      <c r="D7" s="125">
        <v>379199095</v>
      </c>
      <c r="E7" s="126">
        <f t="shared" si="0"/>
        <v>0</v>
      </c>
      <c r="F7" s="124">
        <f>IFERROR(SUM('📅 DAILY T11'!D21:D27),0)</f>
        <v>0</v>
      </c>
      <c r="G7" s="124" t="str">
        <f t="shared" si="1"/>
        <v/>
      </c>
      <c r="H7" s="127">
        <f>IFERROR(SUM('📅 DAILY T11'!F21:F27),0)</f>
        <v>0</v>
      </c>
      <c r="I7" s="128" t="str">
        <f t="shared" si="2"/>
        <v/>
      </c>
      <c r="J7" s="129">
        <f>IFERROR(SUM('📅 DAILY T11'!M21:M27),0)</f>
        <v>0</v>
      </c>
      <c r="K7" s="125">
        <v>186769704</v>
      </c>
      <c r="L7" s="126">
        <f t="shared" si="3"/>
        <v>0</v>
      </c>
      <c r="M7" s="130">
        <f t="shared" si="4"/>
        <v>0</v>
      </c>
      <c r="N7" s="131"/>
    </row>
    <row r="8" spans="1:14" ht="18" customHeight="1" x14ac:dyDescent="0.2">
      <c r="A8" s="122" t="s">
        <v>433</v>
      </c>
      <c r="B8" s="123" t="s">
        <v>508</v>
      </c>
      <c r="C8" s="124">
        <f>IFERROR(SUM('📅 DAILY T11'!C28:C34),0)</f>
        <v>0</v>
      </c>
      <c r="D8" s="125">
        <v>379199095</v>
      </c>
      <c r="E8" s="126">
        <f t="shared" si="0"/>
        <v>0</v>
      </c>
      <c r="F8" s="124">
        <f>IFERROR(SUM('📅 DAILY T11'!D28:D34),0)</f>
        <v>0</v>
      </c>
      <c r="G8" s="124" t="str">
        <f t="shared" si="1"/>
        <v/>
      </c>
      <c r="H8" s="127">
        <f>IFERROR(SUM('📅 DAILY T11'!F28:F34),0)</f>
        <v>0</v>
      </c>
      <c r="I8" s="128" t="str">
        <f t="shared" si="2"/>
        <v/>
      </c>
      <c r="J8" s="129">
        <f>IFERROR(SUM('📅 DAILY T11'!M28:M34),0)</f>
        <v>0</v>
      </c>
      <c r="K8" s="125">
        <v>186769704</v>
      </c>
      <c r="L8" s="126">
        <f t="shared" si="3"/>
        <v>0</v>
      </c>
      <c r="M8" s="130">
        <f t="shared" si="4"/>
        <v>0</v>
      </c>
      <c r="N8" s="131"/>
    </row>
    <row r="9" spans="1:14" ht="18" customHeight="1" x14ac:dyDescent="0.2">
      <c r="A9" s="122" t="s">
        <v>482</v>
      </c>
      <c r="B9" s="123" t="s">
        <v>509</v>
      </c>
      <c r="C9" s="124">
        <f>IFERROR(SUM('📅 DAILY T11'!C35:C35),0)</f>
        <v>0</v>
      </c>
      <c r="D9" s="125">
        <v>54171299</v>
      </c>
      <c r="E9" s="126">
        <f t="shared" si="0"/>
        <v>0</v>
      </c>
      <c r="F9" s="124">
        <f>IFERROR(SUM('📅 DAILY T11'!D35:D35),0)</f>
        <v>0</v>
      </c>
      <c r="G9" s="124" t="str">
        <f t="shared" si="1"/>
        <v/>
      </c>
      <c r="H9" s="127">
        <f>IFERROR(SUM('📅 DAILY T11'!F35:F35),0)</f>
        <v>0</v>
      </c>
      <c r="I9" s="128" t="str">
        <f t="shared" si="2"/>
        <v/>
      </c>
      <c r="J9" s="129">
        <f>IFERROR(SUM('📅 DAILY T11'!M35:M35),0)</f>
        <v>0</v>
      </c>
      <c r="K9" s="125">
        <v>26681386</v>
      </c>
      <c r="L9" s="126">
        <f t="shared" si="3"/>
        <v>0</v>
      </c>
      <c r="M9" s="130">
        <f t="shared" si="4"/>
        <v>0</v>
      </c>
      <c r="N9" s="131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510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373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374</v>
      </c>
      <c r="B3" s="149"/>
      <c r="C3" s="168" t="s">
        <v>375</v>
      </c>
      <c r="D3" s="149"/>
      <c r="E3" s="171" t="s">
        <v>376</v>
      </c>
      <c r="F3" s="149"/>
      <c r="G3" s="166" t="s">
        <v>377</v>
      </c>
      <c r="H3" s="149"/>
      <c r="I3" s="149"/>
      <c r="J3" s="149"/>
      <c r="K3" s="31" t="s">
        <v>378</v>
      </c>
      <c r="L3" s="32" t="s">
        <v>379</v>
      </c>
      <c r="M3" s="165" t="s">
        <v>380</v>
      </c>
      <c r="N3" s="149"/>
      <c r="O3" s="165" t="s">
        <v>380</v>
      </c>
      <c r="P3" s="149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9"/>
      <c r="C5" s="41">
        <v>1965067740</v>
      </c>
      <c r="D5" s="42"/>
      <c r="E5" s="42"/>
      <c r="F5" s="42"/>
      <c r="G5" s="43">
        <v>462368880</v>
      </c>
      <c r="H5" s="43">
        <v>240431818</v>
      </c>
      <c r="I5" s="43">
        <v>221937062</v>
      </c>
      <c r="J5" s="42"/>
      <c r="K5" s="42"/>
      <c r="L5" s="42"/>
      <c r="M5" s="44">
        <v>924737760</v>
      </c>
      <c r="N5" s="44">
        <v>2889805500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46357</v>
      </c>
      <c r="B6" s="48" t="s">
        <v>401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46358</v>
      </c>
      <c r="B7" s="48" t="s">
        <v>402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46359</v>
      </c>
      <c r="B8" s="48" t="s">
        <v>403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46360</v>
      </c>
      <c r="B9" s="48" t="s">
        <v>404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46361</v>
      </c>
      <c r="B10" s="52" t="s">
        <v>405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46362</v>
      </c>
      <c r="B11" s="52" t="s">
        <v>406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46363</v>
      </c>
      <c r="B12" s="48" t="s">
        <v>400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46364</v>
      </c>
      <c r="B13" s="48" t="s">
        <v>401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46365</v>
      </c>
      <c r="B14" s="48" t="s">
        <v>402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46366</v>
      </c>
      <c r="B15" s="48" t="s">
        <v>403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46367</v>
      </c>
      <c r="B16" s="48" t="s">
        <v>404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46368</v>
      </c>
      <c r="B17" s="52" t="s">
        <v>405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46369</v>
      </c>
      <c r="B18" s="52" t="s">
        <v>406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46370</v>
      </c>
      <c r="B19" s="48" t="s">
        <v>400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46371</v>
      </c>
      <c r="B20" s="48" t="s">
        <v>401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46372</v>
      </c>
      <c r="B21" s="48" t="s">
        <v>402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46373</v>
      </c>
      <c r="B22" s="48" t="s">
        <v>403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46374</v>
      </c>
      <c r="B23" s="48" t="s">
        <v>404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46375</v>
      </c>
      <c r="B24" s="52" t="s">
        <v>405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46376</v>
      </c>
      <c r="B25" s="52" t="s">
        <v>406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46377</v>
      </c>
      <c r="B26" s="48" t="s">
        <v>400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46378</v>
      </c>
      <c r="B27" s="48" t="s">
        <v>401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46379</v>
      </c>
      <c r="B28" s="48" t="s">
        <v>402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46380</v>
      </c>
      <c r="B29" s="48" t="s">
        <v>403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46381</v>
      </c>
      <c r="B30" s="48" t="s">
        <v>404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46382</v>
      </c>
      <c r="B31" s="52" t="s">
        <v>405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46383</v>
      </c>
      <c r="B32" s="52" t="s">
        <v>406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46384</v>
      </c>
      <c r="B33" s="48" t="s">
        <v>400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46385</v>
      </c>
      <c r="B34" s="48" t="s">
        <v>401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46386</v>
      </c>
      <c r="B35" s="48" t="s">
        <v>402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46387</v>
      </c>
      <c r="B36" t="s">
        <v>403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511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417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512</v>
      </c>
      <c r="C4" s="124">
        <f>IFERROR(SUM('📅 DAILY T12'!C6:C11),0)</f>
        <v>0</v>
      </c>
      <c r="D4" s="125">
        <v>380335692</v>
      </c>
      <c r="E4" s="126">
        <f>IFERROR(IF(D4&gt;0,C4/D4,""),"")</f>
        <v>0</v>
      </c>
      <c r="F4" s="124">
        <f>IFERROR(SUM('📅 DAILY T12'!D6:D11),0)</f>
        <v>0</v>
      </c>
      <c r="G4" s="124" t="str">
        <f>IFERROR(IF(F4&gt;0,C4/F4,""),"")</f>
        <v/>
      </c>
      <c r="H4" s="127">
        <f>IFERROR(SUM('📅 DAILY T12'!F6:F11),0)</f>
        <v>0</v>
      </c>
      <c r="I4" s="128" t="str">
        <f>IFERROR(IF(H4&gt;0,C4/H4,""),"")</f>
        <v/>
      </c>
      <c r="J4" s="129">
        <f>IFERROR(SUM('📅 DAILY T12'!M6:M11),0)</f>
        <v>0</v>
      </c>
      <c r="K4" s="125">
        <v>178981502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427</v>
      </c>
      <c r="B5" s="123" t="s">
        <v>513</v>
      </c>
      <c r="C5" s="124">
        <f>IFERROR(SUM('📅 DAILY T12'!C12:C18),0)</f>
        <v>0</v>
      </c>
      <c r="D5" s="125">
        <v>443724974</v>
      </c>
      <c r="E5" s="126">
        <f>IFERROR(IF(D5&gt;0,C5/D5,""),"")</f>
        <v>0</v>
      </c>
      <c r="F5" s="124">
        <f>IFERROR(SUM('📅 DAILY T12'!D12:D18),0)</f>
        <v>0</v>
      </c>
      <c r="G5" s="124" t="str">
        <f>IFERROR(IF(F5&gt;0,C5/F5,""),"")</f>
        <v/>
      </c>
      <c r="H5" s="127">
        <f>IFERROR(SUM('📅 DAILY T12'!F12:F18),0)</f>
        <v>0</v>
      </c>
      <c r="I5" s="128" t="str">
        <f>IFERROR(IF(H5&gt;0,C5/H5,""),"")</f>
        <v/>
      </c>
      <c r="J5" s="129">
        <f>IFERROR(SUM('📅 DAILY T12'!M12:M18),0)</f>
        <v>0</v>
      </c>
      <c r="K5" s="125">
        <v>208811752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429</v>
      </c>
      <c r="B6" s="123" t="s">
        <v>514</v>
      </c>
      <c r="C6" s="124">
        <f>IFERROR(SUM('📅 DAILY T12'!C19:C25),0)</f>
        <v>0</v>
      </c>
      <c r="D6" s="125">
        <v>443724974</v>
      </c>
      <c r="E6" s="126">
        <f>IFERROR(IF(D6&gt;0,C6/D6,""),"")</f>
        <v>0</v>
      </c>
      <c r="F6" s="124">
        <f>IFERROR(SUM('📅 DAILY T12'!D19:D25),0)</f>
        <v>0</v>
      </c>
      <c r="G6" s="124" t="str">
        <f>IFERROR(IF(F6&gt;0,C6/F6,""),"")</f>
        <v/>
      </c>
      <c r="H6" s="127">
        <f>IFERROR(SUM('📅 DAILY T12'!F19:F25),0)</f>
        <v>0</v>
      </c>
      <c r="I6" s="128" t="str">
        <f>IFERROR(IF(H6&gt;0,C6/H6,""),"")</f>
        <v/>
      </c>
      <c r="J6" s="129">
        <f>IFERROR(SUM('📅 DAILY T12'!M19:M25),0)</f>
        <v>0</v>
      </c>
      <c r="K6" s="125">
        <v>208811752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431</v>
      </c>
      <c r="B7" s="123" t="s">
        <v>515</v>
      </c>
      <c r="C7" s="124">
        <f>IFERROR(SUM('📅 DAILY T12'!C26:C32),0)</f>
        <v>0</v>
      </c>
      <c r="D7" s="125">
        <v>443724974</v>
      </c>
      <c r="E7" s="126">
        <f>IFERROR(IF(D7&gt;0,C7/D7,""),"")</f>
        <v>0</v>
      </c>
      <c r="F7" s="124">
        <f>IFERROR(SUM('📅 DAILY T12'!D26:D32),0)</f>
        <v>0</v>
      </c>
      <c r="G7" s="124" t="str">
        <f>IFERROR(IF(F7&gt;0,C7/F7,""),"")</f>
        <v/>
      </c>
      <c r="H7" s="127">
        <f>IFERROR(SUM('📅 DAILY T12'!F26:F32),0)</f>
        <v>0</v>
      </c>
      <c r="I7" s="128" t="str">
        <f>IFERROR(IF(H7&gt;0,C7/H7,""),"")</f>
        <v/>
      </c>
      <c r="J7" s="129">
        <f>IFERROR(SUM('📅 DAILY T12'!M26:M32),0)</f>
        <v>0</v>
      </c>
      <c r="K7" s="125">
        <v>208811752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433</v>
      </c>
      <c r="B8" s="123" t="s">
        <v>516</v>
      </c>
      <c r="C8" s="124">
        <f>IFERROR(SUM('📅 DAILY T12'!C33:C36),0)</f>
        <v>0</v>
      </c>
      <c r="D8" s="125">
        <v>253557128</v>
      </c>
      <c r="E8" s="126">
        <f>IFERROR(IF(D8&gt;0,C8/D8,""),"")</f>
        <v>0</v>
      </c>
      <c r="F8" s="124">
        <f>IFERROR(SUM('📅 DAILY T12'!D33:D36),0)</f>
        <v>0</v>
      </c>
      <c r="G8" s="124" t="str">
        <f>IFERROR(IF(F8&gt;0,C8/F8,""),"")</f>
        <v/>
      </c>
      <c r="H8" s="127">
        <f>IFERROR(SUM('📅 DAILY T12'!F33:F36),0)</f>
        <v>0</v>
      </c>
      <c r="I8" s="128" t="str">
        <f>IFERROR(IF(H8&gt;0,C8/H8,""),"")</f>
        <v/>
      </c>
      <c r="J8" s="129">
        <f>IFERROR(SUM('📅 DAILY T12'!M33:M36),0)</f>
        <v>0</v>
      </c>
      <c r="K8" s="125">
        <v>119321001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70" t="s">
        <v>517</v>
      </c>
      <c r="B1" s="149"/>
      <c r="C1" s="149"/>
    </row>
    <row r="2" spans="1:3" ht="18.75" customHeight="1" x14ac:dyDescent="0.2"/>
    <row r="3" spans="1:3" ht="28.5" customHeight="1" x14ac:dyDescent="0.2">
      <c r="A3" s="180" t="s">
        <v>518</v>
      </c>
      <c r="B3" s="149"/>
      <c r="C3" s="149"/>
    </row>
    <row r="4" spans="1:3" ht="24" customHeight="1" x14ac:dyDescent="0.2">
      <c r="A4" s="86"/>
      <c r="B4" s="87" t="s">
        <v>519</v>
      </c>
      <c r="C4" s="88" t="s">
        <v>520</v>
      </c>
    </row>
    <row r="5" spans="1:3" ht="24" customHeight="1" x14ac:dyDescent="0.2">
      <c r="A5" s="61"/>
      <c r="B5" s="9" t="s">
        <v>521</v>
      </c>
      <c r="C5" s="89" t="s">
        <v>522</v>
      </c>
    </row>
    <row r="6" spans="1:3" ht="24" customHeight="1" x14ac:dyDescent="0.2">
      <c r="A6" s="86"/>
      <c r="B6" s="87" t="s">
        <v>523</v>
      </c>
      <c r="C6" s="88" t="s">
        <v>524</v>
      </c>
    </row>
    <row r="7" spans="1:3" ht="24" customHeight="1" x14ac:dyDescent="0.2">
      <c r="A7" s="61"/>
      <c r="B7" s="9" t="s">
        <v>525</v>
      </c>
      <c r="C7" s="89" t="s">
        <v>526</v>
      </c>
    </row>
    <row r="8" spans="1:3" ht="24" customHeight="1" x14ac:dyDescent="0.2">
      <c r="A8" s="86"/>
      <c r="B8" s="87" t="s">
        <v>527</v>
      </c>
      <c r="C8" s="88" t="s">
        <v>528</v>
      </c>
    </row>
    <row r="9" spans="1:3" ht="24" customHeight="1" x14ac:dyDescent="0.2">
      <c r="A9" s="61"/>
      <c r="B9" s="9" t="s">
        <v>529</v>
      </c>
      <c r="C9" s="89" t="s">
        <v>530</v>
      </c>
    </row>
    <row r="10" spans="1:3" ht="18.75" customHeight="1" x14ac:dyDescent="0.2"/>
    <row r="11" spans="1:3" ht="28.5" customHeight="1" x14ac:dyDescent="0.2">
      <c r="A11" s="178" t="s">
        <v>531</v>
      </c>
      <c r="B11" s="149"/>
      <c r="C11" s="149"/>
    </row>
    <row r="12" spans="1:3" ht="24" customHeight="1" x14ac:dyDescent="0.2">
      <c r="A12" s="90"/>
      <c r="B12" s="91" t="s">
        <v>532</v>
      </c>
      <c r="C12" s="92" t="s">
        <v>533</v>
      </c>
    </row>
    <row r="13" spans="1:3" ht="24" customHeight="1" x14ac:dyDescent="0.2">
      <c r="A13" s="61"/>
      <c r="B13" s="9" t="s">
        <v>534</v>
      </c>
      <c r="C13" s="89" t="s">
        <v>535</v>
      </c>
    </row>
    <row r="14" spans="1:3" ht="24" customHeight="1" x14ac:dyDescent="0.2">
      <c r="A14" s="90"/>
      <c r="B14" s="91" t="s">
        <v>536</v>
      </c>
      <c r="C14" s="92" t="s">
        <v>537</v>
      </c>
    </row>
    <row r="15" spans="1:3" ht="24" customHeight="1" x14ac:dyDescent="0.2">
      <c r="A15" s="61"/>
      <c r="B15" s="9" t="s">
        <v>538</v>
      </c>
      <c r="C15" s="89" t="s">
        <v>539</v>
      </c>
    </row>
    <row r="16" spans="1:3" ht="18.75" customHeight="1" x14ac:dyDescent="0.2"/>
    <row r="17" spans="1:3" ht="28.5" customHeight="1" x14ac:dyDescent="0.2">
      <c r="A17" s="179" t="s">
        <v>540</v>
      </c>
      <c r="B17" s="149"/>
      <c r="C17" s="149"/>
    </row>
    <row r="18" spans="1:3" ht="24" customHeight="1" x14ac:dyDescent="0.2">
      <c r="A18" s="93"/>
      <c r="B18" s="94" t="s">
        <v>541</v>
      </c>
      <c r="C18" s="95" t="s">
        <v>542</v>
      </c>
    </row>
    <row r="19" spans="1:3" ht="24" customHeight="1" x14ac:dyDescent="0.2">
      <c r="A19" s="61"/>
      <c r="B19" s="9" t="s">
        <v>543</v>
      </c>
      <c r="C19" s="89" t="s">
        <v>544</v>
      </c>
    </row>
    <row r="20" spans="1:3" ht="24" customHeight="1" x14ac:dyDescent="0.2">
      <c r="A20" s="93"/>
      <c r="B20" s="94" t="s">
        <v>545</v>
      </c>
      <c r="C20" s="95" t="s">
        <v>546</v>
      </c>
    </row>
    <row r="21" spans="1:3" ht="24" customHeight="1" x14ac:dyDescent="0.2">
      <c r="A21" s="61"/>
      <c r="B21" s="9" t="s">
        <v>547</v>
      </c>
      <c r="C21" s="89" t="s">
        <v>548</v>
      </c>
    </row>
    <row r="22" spans="1:3" ht="24" customHeight="1" x14ac:dyDescent="0.2">
      <c r="A22" s="93"/>
      <c r="B22" s="94" t="s">
        <v>549</v>
      </c>
      <c r="C22" s="95" t="s">
        <v>550</v>
      </c>
    </row>
    <row r="23" spans="1:3" ht="18.75" customHeight="1" x14ac:dyDescent="0.2"/>
    <row r="24" spans="1:3" ht="28.5" customHeight="1" x14ac:dyDescent="0.2">
      <c r="A24" s="181" t="s">
        <v>551</v>
      </c>
      <c r="B24" s="149"/>
      <c r="C24" s="149"/>
    </row>
    <row r="25" spans="1:3" ht="24" customHeight="1" x14ac:dyDescent="0.2">
      <c r="A25" s="96"/>
      <c r="B25" s="97" t="s">
        <v>552</v>
      </c>
      <c r="C25" s="98" t="s">
        <v>553</v>
      </c>
    </row>
    <row r="26" spans="1:3" ht="24" customHeight="1" x14ac:dyDescent="0.2">
      <c r="A26" s="61"/>
      <c r="B26" s="9" t="s">
        <v>554</v>
      </c>
      <c r="C26" s="89" t="s">
        <v>555</v>
      </c>
    </row>
    <row r="27" spans="1:3" ht="24" customHeight="1" x14ac:dyDescent="0.2">
      <c r="A27" s="96"/>
      <c r="B27" s="97" t="s">
        <v>556</v>
      </c>
      <c r="C27" s="98" t="s">
        <v>557</v>
      </c>
    </row>
    <row r="28" spans="1:3" ht="24" customHeight="1" x14ac:dyDescent="0.2">
      <c r="A28" s="61"/>
      <c r="B28" s="9" t="s">
        <v>558</v>
      </c>
      <c r="C28" s="89" t="s">
        <v>559</v>
      </c>
    </row>
    <row r="29" spans="1:3" ht="24" customHeight="1" x14ac:dyDescent="0.2">
      <c r="A29" s="96"/>
      <c r="B29" s="97" t="s">
        <v>560</v>
      </c>
      <c r="C29" s="98" t="s">
        <v>561</v>
      </c>
    </row>
    <row r="30" spans="1:3" ht="24" customHeight="1" x14ac:dyDescent="0.2">
      <c r="A30" s="61"/>
      <c r="B30" s="9" t="s">
        <v>562</v>
      </c>
      <c r="C30" s="89" t="s">
        <v>563</v>
      </c>
    </row>
    <row r="31" spans="1:3" ht="24" customHeight="1" x14ac:dyDescent="0.2">
      <c r="A31" s="96"/>
      <c r="B31" s="97" t="s">
        <v>564</v>
      </c>
      <c r="C31" s="98" t="s">
        <v>565</v>
      </c>
    </row>
    <row r="32" spans="1:3" ht="24" customHeight="1" x14ac:dyDescent="0.2">
      <c r="A32" s="61"/>
      <c r="B32" s="9" t="s">
        <v>566</v>
      </c>
      <c r="C32" s="89" t="s">
        <v>567</v>
      </c>
    </row>
    <row r="33" spans="1:3" ht="24" customHeight="1" x14ac:dyDescent="0.2">
      <c r="A33" s="96"/>
      <c r="B33" s="97" t="s">
        <v>568</v>
      </c>
      <c r="C33" s="98" t="s">
        <v>569</v>
      </c>
    </row>
    <row r="34" spans="1:3" ht="24" customHeight="1" x14ac:dyDescent="0.2">
      <c r="A34" s="61"/>
      <c r="B34" s="9" t="s">
        <v>570</v>
      </c>
      <c r="C34" s="89" t="s">
        <v>571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6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84" t="s">
        <v>572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2.75" customHeight="1" x14ac:dyDescent="0.2">
      <c r="A2" s="183" t="s">
        <v>573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99" t="s">
        <v>574</v>
      </c>
      <c r="B3" s="99" t="s">
        <v>575</v>
      </c>
      <c r="C3" s="99" t="s">
        <v>576</v>
      </c>
      <c r="D3" s="99" t="s">
        <v>577</v>
      </c>
      <c r="E3" s="99" t="s">
        <v>578</v>
      </c>
      <c r="F3" s="99" t="s">
        <v>579</v>
      </c>
      <c r="G3" s="99" t="s">
        <v>580</v>
      </c>
      <c r="H3" s="99" t="s">
        <v>581</v>
      </c>
      <c r="I3" s="99" t="s">
        <v>582</v>
      </c>
      <c r="J3" s="99" t="s">
        <v>583</v>
      </c>
      <c r="K3" s="99" t="s">
        <v>584</v>
      </c>
      <c r="L3" s="99" t="s">
        <v>585</v>
      </c>
      <c r="M3" s="99" t="s">
        <v>586</v>
      </c>
      <c r="N3" s="99" t="s">
        <v>587</v>
      </c>
    </row>
    <row r="4" spans="1:14" ht="19.5" customHeight="1" x14ac:dyDescent="0.2">
      <c r="A4" s="182" t="s">
        <v>588</v>
      </c>
      <c r="B4" s="161"/>
      <c r="C4" s="161"/>
      <c r="D4" s="161"/>
      <c r="E4" s="161"/>
      <c r="F4" s="161"/>
      <c r="G4" s="161"/>
      <c r="H4" s="161"/>
      <c r="I4" s="161"/>
      <c r="J4" s="161"/>
      <c r="K4" s="161"/>
      <c r="L4" s="161"/>
      <c r="M4" s="161"/>
      <c r="N4" s="161"/>
    </row>
    <row r="5" spans="1:14" ht="15.75" customHeight="1" x14ac:dyDescent="0.2">
      <c r="A5" s="100" t="s">
        <v>589</v>
      </c>
      <c r="B5" s="101" t="s">
        <v>590</v>
      </c>
      <c r="C5" s="102">
        <v>780</v>
      </c>
      <c r="D5" s="103">
        <v>231</v>
      </c>
      <c r="E5" s="103">
        <v>160</v>
      </c>
      <c r="F5" s="103">
        <v>201</v>
      </c>
      <c r="G5" s="103">
        <v>43</v>
      </c>
      <c r="H5" s="103">
        <v>107</v>
      </c>
      <c r="I5" s="103">
        <v>32</v>
      </c>
      <c r="J5" s="103">
        <v>6</v>
      </c>
      <c r="K5" s="104">
        <v>0</v>
      </c>
      <c r="L5" s="105">
        <v>311</v>
      </c>
      <c r="M5" s="104">
        <v>0</v>
      </c>
      <c r="N5" s="105">
        <v>382</v>
      </c>
    </row>
    <row r="6" spans="1:14" ht="15.75" customHeight="1" x14ac:dyDescent="0.2">
      <c r="A6" s="100" t="s">
        <v>589</v>
      </c>
      <c r="B6" s="106" t="s">
        <v>591</v>
      </c>
      <c r="C6" s="102">
        <v>1082</v>
      </c>
      <c r="D6" s="103">
        <v>792</v>
      </c>
      <c r="E6" s="103">
        <v>188</v>
      </c>
      <c r="F6" s="103">
        <v>77</v>
      </c>
      <c r="G6" s="103">
        <v>10</v>
      </c>
      <c r="H6" s="103">
        <v>12</v>
      </c>
      <c r="I6" s="103">
        <v>2</v>
      </c>
      <c r="J6" s="103">
        <v>1</v>
      </c>
      <c r="K6" s="104">
        <v>0</v>
      </c>
      <c r="L6" s="105">
        <v>346</v>
      </c>
      <c r="M6" s="104">
        <v>0</v>
      </c>
      <c r="N6" s="105">
        <v>139</v>
      </c>
    </row>
    <row r="7" spans="1:14" ht="15.75" customHeight="1" x14ac:dyDescent="0.2">
      <c r="A7" s="100" t="s">
        <v>589</v>
      </c>
      <c r="B7" s="107" t="s">
        <v>592</v>
      </c>
      <c r="C7" s="102">
        <v>1316</v>
      </c>
      <c r="D7" s="103">
        <v>1181</v>
      </c>
      <c r="E7" s="103">
        <v>105</v>
      </c>
      <c r="F7" s="103">
        <v>17</v>
      </c>
      <c r="G7" s="103">
        <v>6</v>
      </c>
      <c r="H7" s="103">
        <v>7</v>
      </c>
      <c r="I7" s="104">
        <v>0</v>
      </c>
      <c r="J7" s="104">
        <v>0</v>
      </c>
      <c r="K7" s="104">
        <v>0</v>
      </c>
      <c r="L7" s="105">
        <v>439</v>
      </c>
      <c r="M7" s="104">
        <v>0</v>
      </c>
      <c r="N7" s="105">
        <v>141</v>
      </c>
    </row>
    <row r="8" spans="1:14" ht="4.5" customHeight="1" x14ac:dyDescent="0.2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</row>
    <row r="9" spans="1:14" ht="15.75" customHeight="1" x14ac:dyDescent="0.2">
      <c r="A9" s="100" t="s">
        <v>593</v>
      </c>
      <c r="B9" s="101" t="s">
        <v>590</v>
      </c>
      <c r="C9" s="102">
        <v>418</v>
      </c>
      <c r="D9" s="103">
        <v>123</v>
      </c>
      <c r="E9" s="103">
        <v>68</v>
      </c>
      <c r="F9" s="103">
        <v>127</v>
      </c>
      <c r="G9" s="103">
        <v>18</v>
      </c>
      <c r="H9" s="103">
        <v>49</v>
      </c>
      <c r="I9" s="103">
        <v>22</v>
      </c>
      <c r="J9" s="103">
        <v>11</v>
      </c>
      <c r="K9" s="104">
        <v>0</v>
      </c>
      <c r="L9" s="105">
        <v>184</v>
      </c>
      <c r="M9" s="104">
        <v>0</v>
      </c>
      <c r="N9" s="105">
        <v>191</v>
      </c>
    </row>
    <row r="10" spans="1:14" ht="15.75" customHeight="1" x14ac:dyDescent="0.2">
      <c r="A10" s="100" t="s">
        <v>593</v>
      </c>
      <c r="B10" s="106" t="s">
        <v>591</v>
      </c>
      <c r="C10" s="102">
        <v>567</v>
      </c>
      <c r="D10" s="103">
        <v>381</v>
      </c>
      <c r="E10" s="103">
        <v>111</v>
      </c>
      <c r="F10" s="103">
        <v>57</v>
      </c>
      <c r="G10" s="103">
        <v>9</v>
      </c>
      <c r="H10" s="103">
        <v>7</v>
      </c>
      <c r="I10" s="103">
        <v>2</v>
      </c>
      <c r="J10" s="104">
        <v>0</v>
      </c>
      <c r="K10" s="104">
        <v>0</v>
      </c>
      <c r="L10" s="105">
        <v>185</v>
      </c>
      <c r="M10" s="104">
        <v>0</v>
      </c>
      <c r="N10" s="105">
        <v>71</v>
      </c>
    </row>
    <row r="11" spans="1:14" ht="15.75" customHeight="1" x14ac:dyDescent="0.2">
      <c r="A11" s="100" t="s">
        <v>593</v>
      </c>
      <c r="B11" s="107" t="s">
        <v>592</v>
      </c>
      <c r="C11" s="102">
        <v>750</v>
      </c>
      <c r="D11" s="103">
        <v>636</v>
      </c>
      <c r="E11" s="103">
        <v>93</v>
      </c>
      <c r="F11" s="103">
        <v>9</v>
      </c>
      <c r="G11" s="103">
        <v>9</v>
      </c>
      <c r="H11" s="103">
        <v>3</v>
      </c>
      <c r="I11" s="104">
        <v>0</v>
      </c>
      <c r="J11" s="104">
        <v>0</v>
      </c>
      <c r="K11" s="104">
        <v>0</v>
      </c>
      <c r="L11" s="105">
        <v>239</v>
      </c>
      <c r="M11" s="104">
        <v>0</v>
      </c>
      <c r="N11" s="105">
        <v>104</v>
      </c>
    </row>
    <row r="12" spans="1:14" ht="4.5" customHeight="1" x14ac:dyDescent="0.2">
      <c r="A12" s="108"/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</row>
    <row r="13" spans="1:14" ht="15.75" customHeight="1" x14ac:dyDescent="0.2">
      <c r="A13" s="100" t="s">
        <v>594</v>
      </c>
      <c r="B13" s="101" t="s">
        <v>590</v>
      </c>
      <c r="C13" s="102">
        <v>483</v>
      </c>
      <c r="D13" s="103">
        <v>167</v>
      </c>
      <c r="E13" s="103">
        <v>64</v>
      </c>
      <c r="F13" s="103">
        <v>132</v>
      </c>
      <c r="G13" s="103">
        <v>22</v>
      </c>
      <c r="H13" s="103">
        <v>59</v>
      </c>
      <c r="I13" s="103">
        <v>24</v>
      </c>
      <c r="J13" s="103">
        <v>15</v>
      </c>
      <c r="K13" s="104">
        <v>0</v>
      </c>
      <c r="L13" s="105">
        <v>176</v>
      </c>
      <c r="M13" s="104">
        <v>0</v>
      </c>
      <c r="N13" s="105">
        <v>232</v>
      </c>
    </row>
    <row r="14" spans="1:14" ht="15.75" customHeight="1" x14ac:dyDescent="0.2">
      <c r="A14" s="100" t="s">
        <v>594</v>
      </c>
      <c r="B14" s="106" t="s">
        <v>591</v>
      </c>
      <c r="C14" s="102">
        <v>695</v>
      </c>
      <c r="D14" s="103">
        <v>493</v>
      </c>
      <c r="E14" s="103">
        <v>121</v>
      </c>
      <c r="F14" s="103">
        <v>69</v>
      </c>
      <c r="G14" s="103">
        <v>2</v>
      </c>
      <c r="H14" s="103">
        <v>7</v>
      </c>
      <c r="I14" s="103">
        <v>3</v>
      </c>
      <c r="J14" s="104">
        <v>0</v>
      </c>
      <c r="K14" s="104">
        <v>0</v>
      </c>
      <c r="L14" s="105">
        <v>184</v>
      </c>
      <c r="M14" s="104">
        <v>0</v>
      </c>
      <c r="N14" s="105">
        <v>73</v>
      </c>
    </row>
    <row r="15" spans="1:14" ht="15.75" customHeight="1" x14ac:dyDescent="0.2">
      <c r="A15" s="100" t="s">
        <v>594</v>
      </c>
      <c r="B15" s="107" t="s">
        <v>592</v>
      </c>
      <c r="C15" s="102">
        <v>844</v>
      </c>
      <c r="D15" s="103">
        <v>740</v>
      </c>
      <c r="E15" s="103">
        <v>78</v>
      </c>
      <c r="F15" s="103">
        <v>15</v>
      </c>
      <c r="G15" s="103">
        <v>5</v>
      </c>
      <c r="H15" s="103">
        <v>6</v>
      </c>
      <c r="I15" s="104">
        <v>0</v>
      </c>
      <c r="J15" s="104">
        <v>0</v>
      </c>
      <c r="K15" s="104">
        <v>0</v>
      </c>
      <c r="L15" s="105">
        <v>238</v>
      </c>
      <c r="M15" s="104">
        <v>0</v>
      </c>
      <c r="N15" s="105">
        <v>92</v>
      </c>
    </row>
    <row r="16" spans="1:14" ht="4.5" customHeight="1" x14ac:dyDescent="0.2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spans="1:14" ht="15.75" customHeight="1" x14ac:dyDescent="0.2">
      <c r="A17" s="100" t="s">
        <v>595</v>
      </c>
      <c r="B17" s="101" t="s">
        <v>590</v>
      </c>
      <c r="C17" s="102">
        <v>473</v>
      </c>
      <c r="D17" s="103">
        <v>149</v>
      </c>
      <c r="E17" s="103">
        <v>89</v>
      </c>
      <c r="F17" s="103">
        <v>100</v>
      </c>
      <c r="G17" s="103">
        <v>22</v>
      </c>
      <c r="H17" s="103">
        <v>78</v>
      </c>
      <c r="I17" s="103">
        <v>21</v>
      </c>
      <c r="J17" s="103">
        <v>14</v>
      </c>
      <c r="K17" s="104">
        <v>0</v>
      </c>
      <c r="L17" s="105">
        <v>180</v>
      </c>
      <c r="M17" s="104">
        <v>0</v>
      </c>
      <c r="N17" s="105">
        <v>232</v>
      </c>
    </row>
    <row r="18" spans="1:14" ht="15.75" customHeight="1" x14ac:dyDescent="0.2">
      <c r="A18" s="100" t="s">
        <v>595</v>
      </c>
      <c r="B18" s="106" t="s">
        <v>591</v>
      </c>
      <c r="C18" s="102">
        <v>611</v>
      </c>
      <c r="D18" s="103">
        <v>429</v>
      </c>
      <c r="E18" s="103">
        <v>108</v>
      </c>
      <c r="F18" s="103">
        <v>59</v>
      </c>
      <c r="G18" s="103">
        <v>5</v>
      </c>
      <c r="H18" s="103">
        <v>8</v>
      </c>
      <c r="I18" s="103">
        <v>2</v>
      </c>
      <c r="J18" s="104">
        <v>0</v>
      </c>
      <c r="K18" s="104">
        <v>0</v>
      </c>
      <c r="L18" s="105">
        <v>160</v>
      </c>
      <c r="M18" s="104">
        <v>0</v>
      </c>
      <c r="N18" s="105">
        <v>76</v>
      </c>
    </row>
    <row r="19" spans="1:14" ht="15.75" customHeight="1" x14ac:dyDescent="0.2">
      <c r="A19" s="100" t="s">
        <v>595</v>
      </c>
      <c r="B19" s="107" t="s">
        <v>592</v>
      </c>
      <c r="C19" s="102">
        <v>782</v>
      </c>
      <c r="D19" s="103">
        <v>696</v>
      </c>
      <c r="E19" s="103">
        <v>63</v>
      </c>
      <c r="F19" s="103">
        <v>14</v>
      </c>
      <c r="G19" s="103">
        <v>3</v>
      </c>
      <c r="H19" s="103">
        <v>6</v>
      </c>
      <c r="I19" s="104">
        <v>0</v>
      </c>
      <c r="J19" s="104">
        <v>0</v>
      </c>
      <c r="K19" s="104">
        <v>0</v>
      </c>
      <c r="L19" s="105">
        <v>220</v>
      </c>
      <c r="M19" s="104">
        <v>0</v>
      </c>
      <c r="N19" s="105">
        <v>76</v>
      </c>
    </row>
    <row r="20" spans="1:14" ht="4.5" customHeight="1" x14ac:dyDescent="0.2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</row>
    <row r="21" spans="1:14" ht="15.75" customHeight="1" x14ac:dyDescent="0.2">
      <c r="A21" s="100" t="s">
        <v>596</v>
      </c>
      <c r="B21" s="101" t="s">
        <v>590</v>
      </c>
      <c r="C21" s="102">
        <v>522</v>
      </c>
      <c r="D21" s="103">
        <v>193</v>
      </c>
      <c r="E21" s="103">
        <v>99</v>
      </c>
      <c r="F21" s="103">
        <v>110</v>
      </c>
      <c r="G21" s="103">
        <v>22</v>
      </c>
      <c r="H21" s="103">
        <v>64</v>
      </c>
      <c r="I21" s="103">
        <v>20</v>
      </c>
      <c r="J21" s="103">
        <v>14</v>
      </c>
      <c r="K21" s="104">
        <v>0</v>
      </c>
      <c r="L21" s="105">
        <v>206</v>
      </c>
      <c r="M21" s="104">
        <v>0</v>
      </c>
      <c r="N21" s="105">
        <v>246</v>
      </c>
    </row>
    <row r="22" spans="1:14" ht="15.75" customHeight="1" x14ac:dyDescent="0.2">
      <c r="A22" s="100" t="s">
        <v>596</v>
      </c>
      <c r="B22" s="106" t="s">
        <v>591</v>
      </c>
      <c r="C22" s="102">
        <v>640</v>
      </c>
      <c r="D22" s="103">
        <v>454</v>
      </c>
      <c r="E22" s="103">
        <v>119</v>
      </c>
      <c r="F22" s="103">
        <v>40</v>
      </c>
      <c r="G22" s="103">
        <v>15</v>
      </c>
      <c r="H22" s="103">
        <v>8</v>
      </c>
      <c r="I22" s="103">
        <v>3</v>
      </c>
      <c r="J22" s="103">
        <v>1</v>
      </c>
      <c r="K22" s="104">
        <v>0</v>
      </c>
      <c r="L22" s="105">
        <v>157</v>
      </c>
      <c r="M22" s="104">
        <v>0</v>
      </c>
      <c r="N22" s="105">
        <v>69</v>
      </c>
    </row>
    <row r="23" spans="1:14" ht="15.75" customHeight="1" x14ac:dyDescent="0.2">
      <c r="A23" s="100" t="s">
        <v>596</v>
      </c>
      <c r="B23" s="107" t="s">
        <v>592</v>
      </c>
      <c r="C23" s="102">
        <v>736</v>
      </c>
      <c r="D23" s="103">
        <v>636</v>
      </c>
      <c r="E23" s="103">
        <v>80</v>
      </c>
      <c r="F23" s="103">
        <v>9</v>
      </c>
      <c r="G23" s="103">
        <v>5</v>
      </c>
      <c r="H23" s="103">
        <v>6</v>
      </c>
      <c r="I23" s="104">
        <v>0</v>
      </c>
      <c r="J23" s="104">
        <v>0</v>
      </c>
      <c r="K23" s="104">
        <v>0</v>
      </c>
      <c r="L23" s="105">
        <v>183</v>
      </c>
      <c r="M23" s="104">
        <v>0</v>
      </c>
      <c r="N23" s="105">
        <v>86</v>
      </c>
    </row>
    <row r="24" spans="1:14" ht="4.5" customHeight="1" x14ac:dyDescent="0.2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</row>
    <row r="25" spans="1:14" ht="15.75" customHeight="1" x14ac:dyDescent="0.2">
      <c r="A25" s="100" t="s">
        <v>597</v>
      </c>
      <c r="B25" s="101" t="s">
        <v>590</v>
      </c>
      <c r="C25" s="102">
        <v>467</v>
      </c>
      <c r="D25" s="103">
        <v>170</v>
      </c>
      <c r="E25" s="103">
        <v>91</v>
      </c>
      <c r="F25" s="103">
        <v>110</v>
      </c>
      <c r="G25" s="103">
        <v>10</v>
      </c>
      <c r="H25" s="103">
        <v>61</v>
      </c>
      <c r="I25" s="103">
        <v>18</v>
      </c>
      <c r="J25" s="103">
        <v>7</v>
      </c>
      <c r="K25" s="104">
        <v>0</v>
      </c>
      <c r="L25" s="105">
        <v>174</v>
      </c>
      <c r="M25" s="104">
        <v>0</v>
      </c>
      <c r="N25" s="105">
        <v>213</v>
      </c>
    </row>
    <row r="26" spans="1:14" ht="15.75" customHeight="1" x14ac:dyDescent="0.2">
      <c r="A26" s="100" t="s">
        <v>597</v>
      </c>
      <c r="B26" s="106" t="s">
        <v>591</v>
      </c>
      <c r="C26" s="102">
        <v>640</v>
      </c>
      <c r="D26" s="103">
        <v>439</v>
      </c>
      <c r="E26" s="103">
        <v>128</v>
      </c>
      <c r="F26" s="103">
        <v>56</v>
      </c>
      <c r="G26" s="103">
        <v>8</v>
      </c>
      <c r="H26" s="103">
        <v>8</v>
      </c>
      <c r="I26" s="103">
        <v>1</v>
      </c>
      <c r="J26" s="104">
        <v>0</v>
      </c>
      <c r="K26" s="104">
        <v>0</v>
      </c>
      <c r="L26" s="105">
        <v>177</v>
      </c>
      <c r="M26" s="104">
        <v>0</v>
      </c>
      <c r="N26" s="105">
        <v>94</v>
      </c>
    </row>
    <row r="27" spans="1:14" ht="15.75" customHeight="1" x14ac:dyDescent="0.2">
      <c r="A27" s="100" t="s">
        <v>597</v>
      </c>
      <c r="B27" s="107" t="s">
        <v>592</v>
      </c>
      <c r="C27" s="102">
        <v>665</v>
      </c>
      <c r="D27" s="103">
        <v>567</v>
      </c>
      <c r="E27" s="103">
        <v>71</v>
      </c>
      <c r="F27" s="103">
        <v>19</v>
      </c>
      <c r="G27" s="103">
        <v>3</v>
      </c>
      <c r="H27" s="103">
        <v>5</v>
      </c>
      <c r="I27" s="104">
        <v>0</v>
      </c>
      <c r="J27" s="104">
        <v>0</v>
      </c>
      <c r="K27" s="104">
        <v>0</v>
      </c>
      <c r="L27" s="105">
        <v>184</v>
      </c>
      <c r="M27" s="104">
        <v>0</v>
      </c>
      <c r="N27" s="105">
        <v>88</v>
      </c>
    </row>
    <row r="28" spans="1:14" ht="4.5" customHeight="1" x14ac:dyDescent="0.2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</row>
    <row r="29" spans="1:14" ht="15.75" customHeight="1" x14ac:dyDescent="0.2">
      <c r="A29" s="100" t="s">
        <v>598</v>
      </c>
      <c r="B29" s="101" t="s">
        <v>590</v>
      </c>
      <c r="C29" s="102">
        <v>516</v>
      </c>
      <c r="D29" s="103">
        <v>187</v>
      </c>
      <c r="E29" s="103">
        <v>92</v>
      </c>
      <c r="F29" s="103">
        <v>108</v>
      </c>
      <c r="G29" s="103">
        <v>17</v>
      </c>
      <c r="H29" s="103">
        <v>72</v>
      </c>
      <c r="I29" s="103">
        <v>30</v>
      </c>
      <c r="J29" s="103">
        <v>10</v>
      </c>
      <c r="K29" s="104">
        <v>0</v>
      </c>
      <c r="L29" s="105">
        <v>180</v>
      </c>
      <c r="M29" s="104">
        <v>0</v>
      </c>
      <c r="N29" s="105">
        <v>242</v>
      </c>
    </row>
    <row r="30" spans="1:14" ht="15.75" customHeight="1" x14ac:dyDescent="0.2">
      <c r="A30" s="100" t="s">
        <v>598</v>
      </c>
      <c r="B30" s="106" t="s">
        <v>591</v>
      </c>
      <c r="C30" s="102">
        <v>678</v>
      </c>
      <c r="D30" s="103">
        <v>468</v>
      </c>
      <c r="E30" s="103">
        <v>108</v>
      </c>
      <c r="F30" s="103">
        <v>80</v>
      </c>
      <c r="G30" s="103">
        <v>5</v>
      </c>
      <c r="H30" s="103">
        <v>17</v>
      </c>
      <c r="I30" s="104">
        <v>0</v>
      </c>
      <c r="J30" s="104">
        <v>0</v>
      </c>
      <c r="K30" s="104">
        <v>0</v>
      </c>
      <c r="L30" s="105">
        <v>187</v>
      </c>
      <c r="M30" s="104">
        <v>0</v>
      </c>
      <c r="N30" s="105">
        <v>106</v>
      </c>
    </row>
    <row r="31" spans="1:14" ht="15.75" customHeight="1" x14ac:dyDescent="0.2">
      <c r="A31" s="100" t="s">
        <v>598</v>
      </c>
      <c r="B31" s="107" t="s">
        <v>592</v>
      </c>
      <c r="C31" s="102">
        <v>713</v>
      </c>
      <c r="D31" s="103">
        <v>598</v>
      </c>
      <c r="E31" s="103">
        <v>91</v>
      </c>
      <c r="F31" s="103">
        <v>14</v>
      </c>
      <c r="G31" s="103">
        <v>6</v>
      </c>
      <c r="H31" s="103">
        <v>3</v>
      </c>
      <c r="I31" s="103">
        <v>1</v>
      </c>
      <c r="J31" s="104">
        <v>0</v>
      </c>
      <c r="K31" s="104">
        <v>0</v>
      </c>
      <c r="L31" s="105">
        <v>201</v>
      </c>
      <c r="M31" s="104">
        <v>0</v>
      </c>
      <c r="N31" s="105">
        <v>101</v>
      </c>
    </row>
    <row r="32" spans="1:14" ht="4.5" customHeight="1" x14ac:dyDescent="0.2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</row>
    <row r="33" spans="1:14" ht="15.75" customHeight="1" x14ac:dyDescent="0.2">
      <c r="A33" s="100" t="s">
        <v>599</v>
      </c>
      <c r="B33" s="101" t="s">
        <v>590</v>
      </c>
      <c r="C33" s="102">
        <v>644</v>
      </c>
      <c r="D33" s="103">
        <v>208</v>
      </c>
      <c r="E33" s="103">
        <v>100</v>
      </c>
      <c r="F33" s="103">
        <v>173</v>
      </c>
      <c r="G33" s="103">
        <v>30</v>
      </c>
      <c r="H33" s="103">
        <v>79</v>
      </c>
      <c r="I33" s="103">
        <v>31</v>
      </c>
      <c r="J33" s="103">
        <v>23</v>
      </c>
      <c r="K33" s="104">
        <v>0</v>
      </c>
      <c r="L33" s="105">
        <v>242</v>
      </c>
      <c r="M33" s="104">
        <v>0</v>
      </c>
      <c r="N33" s="105">
        <v>294</v>
      </c>
    </row>
    <row r="34" spans="1:14" ht="15.75" customHeight="1" x14ac:dyDescent="0.2">
      <c r="A34" s="100" t="s">
        <v>599</v>
      </c>
      <c r="B34" s="106" t="s">
        <v>591</v>
      </c>
      <c r="C34" s="102">
        <v>819</v>
      </c>
      <c r="D34" s="103">
        <v>574</v>
      </c>
      <c r="E34" s="103">
        <v>131</v>
      </c>
      <c r="F34" s="103">
        <v>88</v>
      </c>
      <c r="G34" s="103">
        <v>10</v>
      </c>
      <c r="H34" s="103">
        <v>13</v>
      </c>
      <c r="I34" s="103">
        <v>3</v>
      </c>
      <c r="J34" s="104">
        <v>0</v>
      </c>
      <c r="K34" s="104">
        <v>0</v>
      </c>
      <c r="L34" s="105">
        <v>196</v>
      </c>
      <c r="M34" s="104">
        <v>0</v>
      </c>
      <c r="N34" s="105">
        <v>132</v>
      </c>
    </row>
    <row r="35" spans="1:14" ht="15.75" customHeight="1" x14ac:dyDescent="0.2">
      <c r="A35" s="100" t="s">
        <v>599</v>
      </c>
      <c r="B35" s="107" t="s">
        <v>592</v>
      </c>
      <c r="C35" s="102">
        <v>773</v>
      </c>
      <c r="D35" s="103">
        <v>646</v>
      </c>
      <c r="E35" s="103">
        <v>98</v>
      </c>
      <c r="F35" s="103">
        <v>13</v>
      </c>
      <c r="G35" s="103">
        <v>4</v>
      </c>
      <c r="H35" s="103">
        <v>8</v>
      </c>
      <c r="I35" s="103">
        <v>3</v>
      </c>
      <c r="J35" s="103">
        <v>1</v>
      </c>
      <c r="K35" s="104">
        <v>0</v>
      </c>
      <c r="L35" s="105">
        <v>198</v>
      </c>
      <c r="M35" s="104">
        <v>0</v>
      </c>
      <c r="N35" s="105">
        <v>129</v>
      </c>
    </row>
    <row r="36" spans="1:14" ht="4.5" customHeight="1" x14ac:dyDescent="0.2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</row>
    <row r="37" spans="1:14" ht="15.75" customHeight="1" x14ac:dyDescent="0.2">
      <c r="A37" s="100" t="s">
        <v>600</v>
      </c>
      <c r="B37" s="101" t="s">
        <v>590</v>
      </c>
      <c r="C37" s="102">
        <v>517</v>
      </c>
      <c r="D37" s="103">
        <v>167</v>
      </c>
      <c r="E37" s="103">
        <v>95</v>
      </c>
      <c r="F37" s="103">
        <v>128</v>
      </c>
      <c r="G37" s="103">
        <v>15</v>
      </c>
      <c r="H37" s="103">
        <v>68</v>
      </c>
      <c r="I37" s="103">
        <v>25</v>
      </c>
      <c r="J37" s="103">
        <v>19</v>
      </c>
      <c r="K37" s="104">
        <v>0</v>
      </c>
      <c r="L37" s="105">
        <v>159</v>
      </c>
      <c r="M37" s="104">
        <v>0</v>
      </c>
      <c r="N37" s="105">
        <v>239</v>
      </c>
    </row>
    <row r="38" spans="1:14" ht="15.75" customHeight="1" x14ac:dyDescent="0.2">
      <c r="A38" s="100" t="s">
        <v>600</v>
      </c>
      <c r="B38" s="106" t="s">
        <v>591</v>
      </c>
      <c r="C38" s="102">
        <v>721</v>
      </c>
      <c r="D38" s="103">
        <v>531</v>
      </c>
      <c r="E38" s="103">
        <v>113</v>
      </c>
      <c r="F38" s="103">
        <v>54</v>
      </c>
      <c r="G38" s="103">
        <v>12</v>
      </c>
      <c r="H38" s="103">
        <v>10</v>
      </c>
      <c r="I38" s="103">
        <v>1</v>
      </c>
      <c r="J38" s="104">
        <v>0</v>
      </c>
      <c r="K38" s="104">
        <v>0</v>
      </c>
      <c r="L38" s="105">
        <v>174</v>
      </c>
      <c r="M38" s="104">
        <v>0</v>
      </c>
      <c r="N38" s="105">
        <v>116</v>
      </c>
    </row>
    <row r="39" spans="1:14" ht="15.75" customHeight="1" x14ac:dyDescent="0.2">
      <c r="A39" s="100" t="s">
        <v>600</v>
      </c>
      <c r="B39" s="107" t="s">
        <v>592</v>
      </c>
      <c r="C39" s="102">
        <v>667</v>
      </c>
      <c r="D39" s="103">
        <v>534</v>
      </c>
      <c r="E39" s="103">
        <v>113</v>
      </c>
      <c r="F39" s="103">
        <v>14</v>
      </c>
      <c r="G39" s="103">
        <v>3</v>
      </c>
      <c r="H39" s="103">
        <v>3</v>
      </c>
      <c r="I39" s="104">
        <v>0</v>
      </c>
      <c r="J39" s="104">
        <v>0</v>
      </c>
      <c r="K39" s="104">
        <v>0</v>
      </c>
      <c r="L39" s="105">
        <v>167</v>
      </c>
      <c r="M39" s="104">
        <v>0</v>
      </c>
      <c r="N39" s="105">
        <v>119</v>
      </c>
    </row>
    <row r="40" spans="1:14" ht="4.5" customHeight="1" x14ac:dyDescent="0.2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</row>
    <row r="41" spans="1:14" ht="15.75" customHeight="1" x14ac:dyDescent="0.2">
      <c r="A41" s="100" t="s">
        <v>601</v>
      </c>
      <c r="B41" s="101" t="s">
        <v>590</v>
      </c>
      <c r="C41" s="102">
        <v>797</v>
      </c>
      <c r="D41" s="103">
        <v>248</v>
      </c>
      <c r="E41" s="103">
        <v>140</v>
      </c>
      <c r="F41" s="103">
        <v>217</v>
      </c>
      <c r="G41" s="103">
        <v>29</v>
      </c>
      <c r="H41" s="103">
        <v>106</v>
      </c>
      <c r="I41" s="103">
        <v>42</v>
      </c>
      <c r="J41" s="103">
        <v>15</v>
      </c>
      <c r="K41" s="104">
        <v>0</v>
      </c>
      <c r="L41" s="105">
        <v>165</v>
      </c>
      <c r="M41" s="104">
        <v>0</v>
      </c>
      <c r="N41" s="105">
        <v>361</v>
      </c>
    </row>
    <row r="42" spans="1:14" ht="15.75" customHeight="1" x14ac:dyDescent="0.2">
      <c r="A42" s="100" t="s">
        <v>601</v>
      </c>
      <c r="B42" s="106" t="s">
        <v>591</v>
      </c>
      <c r="C42" s="102">
        <v>1009</v>
      </c>
      <c r="D42" s="103">
        <v>726</v>
      </c>
      <c r="E42" s="103">
        <v>190</v>
      </c>
      <c r="F42" s="103">
        <v>65</v>
      </c>
      <c r="G42" s="103">
        <v>11</v>
      </c>
      <c r="H42" s="103">
        <v>15</v>
      </c>
      <c r="I42" s="103">
        <v>2</v>
      </c>
      <c r="J42" s="104">
        <v>0</v>
      </c>
      <c r="K42" s="104">
        <v>0</v>
      </c>
      <c r="L42" s="105">
        <v>234</v>
      </c>
      <c r="M42" s="104">
        <v>0</v>
      </c>
      <c r="N42" s="105">
        <v>170</v>
      </c>
    </row>
    <row r="43" spans="1:14" ht="15.75" customHeight="1" x14ac:dyDescent="0.2">
      <c r="A43" s="100" t="s">
        <v>601</v>
      </c>
      <c r="B43" s="107" t="s">
        <v>592</v>
      </c>
      <c r="C43" s="102">
        <v>688</v>
      </c>
      <c r="D43" s="103">
        <v>588</v>
      </c>
      <c r="E43" s="103">
        <v>84</v>
      </c>
      <c r="F43" s="103">
        <v>8</v>
      </c>
      <c r="G43" s="103">
        <v>3</v>
      </c>
      <c r="H43" s="103">
        <v>4</v>
      </c>
      <c r="I43" s="103">
        <v>1</v>
      </c>
      <c r="J43" s="104">
        <v>0</v>
      </c>
      <c r="K43" s="104">
        <v>0</v>
      </c>
      <c r="L43" s="105">
        <v>167</v>
      </c>
      <c r="M43" s="104">
        <v>0</v>
      </c>
      <c r="N43" s="105">
        <v>99</v>
      </c>
    </row>
    <row r="44" spans="1:14" ht="4.5" customHeight="1" x14ac:dyDescent="0.2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</row>
    <row r="45" spans="1:14" ht="15.75" customHeight="1" x14ac:dyDescent="0.2">
      <c r="A45" s="100" t="s">
        <v>602</v>
      </c>
      <c r="B45" s="101" t="s">
        <v>590</v>
      </c>
      <c r="C45" s="102">
        <v>1017</v>
      </c>
      <c r="D45" s="103">
        <v>334</v>
      </c>
      <c r="E45" s="103">
        <v>178</v>
      </c>
      <c r="F45" s="103">
        <v>277</v>
      </c>
      <c r="G45" s="103">
        <v>27</v>
      </c>
      <c r="H45" s="103">
        <v>123</v>
      </c>
      <c r="I45" s="103">
        <v>54</v>
      </c>
      <c r="J45" s="103">
        <v>24</v>
      </c>
      <c r="K45" s="104">
        <v>0</v>
      </c>
      <c r="L45" s="105">
        <v>246</v>
      </c>
      <c r="M45" s="104">
        <v>0</v>
      </c>
      <c r="N45" s="105">
        <v>456</v>
      </c>
    </row>
    <row r="46" spans="1:14" ht="15.75" customHeight="1" x14ac:dyDescent="0.2">
      <c r="A46" s="100" t="s">
        <v>602</v>
      </c>
      <c r="B46" s="106" t="s">
        <v>591</v>
      </c>
      <c r="C46" s="102">
        <v>1189</v>
      </c>
      <c r="D46" s="103">
        <v>876</v>
      </c>
      <c r="E46" s="103">
        <v>203</v>
      </c>
      <c r="F46" s="103">
        <v>88</v>
      </c>
      <c r="G46" s="103">
        <v>10</v>
      </c>
      <c r="H46" s="103">
        <v>11</v>
      </c>
      <c r="I46" s="103">
        <v>1</v>
      </c>
      <c r="J46" s="104">
        <v>0</v>
      </c>
      <c r="K46" s="104">
        <v>0</v>
      </c>
      <c r="L46" s="105">
        <v>275</v>
      </c>
      <c r="M46" s="104">
        <v>0</v>
      </c>
      <c r="N46" s="105">
        <v>210</v>
      </c>
    </row>
    <row r="47" spans="1:14" ht="15.75" customHeight="1" x14ac:dyDescent="0.2">
      <c r="A47" s="100" t="s">
        <v>602</v>
      </c>
      <c r="B47" s="107" t="s">
        <v>592</v>
      </c>
      <c r="C47" s="102">
        <v>1102</v>
      </c>
      <c r="D47" s="103">
        <v>915</v>
      </c>
      <c r="E47" s="103">
        <v>152</v>
      </c>
      <c r="F47" s="103">
        <v>20</v>
      </c>
      <c r="G47" s="103">
        <v>8</v>
      </c>
      <c r="H47" s="103">
        <v>6</v>
      </c>
      <c r="I47" s="103">
        <v>1</v>
      </c>
      <c r="J47" s="104">
        <v>0</v>
      </c>
      <c r="K47" s="104">
        <v>0</v>
      </c>
      <c r="L47" s="105">
        <v>261</v>
      </c>
      <c r="M47" s="104">
        <v>0</v>
      </c>
      <c r="N47" s="105">
        <v>166</v>
      </c>
    </row>
    <row r="48" spans="1:14" ht="4.5" customHeight="1" x14ac:dyDescent="0.2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</row>
    <row r="49" spans="1:14" ht="15.75" customHeight="1" x14ac:dyDescent="0.2">
      <c r="A49" s="100" t="s">
        <v>603</v>
      </c>
      <c r="B49" s="101" t="s">
        <v>590</v>
      </c>
      <c r="C49" s="102">
        <v>1102</v>
      </c>
      <c r="D49" s="103">
        <v>384</v>
      </c>
      <c r="E49" s="103">
        <v>175</v>
      </c>
      <c r="F49" s="103">
        <v>287</v>
      </c>
      <c r="G49" s="103">
        <v>24</v>
      </c>
      <c r="H49" s="103">
        <v>151</v>
      </c>
      <c r="I49" s="103">
        <v>60</v>
      </c>
      <c r="J49" s="103">
        <v>21</v>
      </c>
      <c r="K49" s="104">
        <v>0</v>
      </c>
      <c r="L49" s="105">
        <v>400</v>
      </c>
      <c r="M49" s="104">
        <v>0</v>
      </c>
      <c r="N49" s="105">
        <v>477</v>
      </c>
    </row>
    <row r="50" spans="1:14" ht="15.75" customHeight="1" x14ac:dyDescent="0.2">
      <c r="A50" s="100" t="s">
        <v>603</v>
      </c>
      <c r="B50" s="106" t="s">
        <v>591</v>
      </c>
      <c r="C50" s="102">
        <v>1204</v>
      </c>
      <c r="D50" s="103">
        <v>878</v>
      </c>
      <c r="E50" s="103">
        <v>186</v>
      </c>
      <c r="F50" s="103">
        <v>105</v>
      </c>
      <c r="G50" s="103">
        <v>16</v>
      </c>
      <c r="H50" s="103">
        <v>19</v>
      </c>
      <c r="I50" s="104">
        <v>0</v>
      </c>
      <c r="J50" s="104">
        <v>0</v>
      </c>
      <c r="K50" s="104">
        <v>0</v>
      </c>
      <c r="L50" s="105">
        <v>331</v>
      </c>
      <c r="M50" s="104">
        <v>0</v>
      </c>
      <c r="N50" s="105">
        <v>214</v>
      </c>
    </row>
    <row r="51" spans="1:14" ht="15.75" customHeight="1" x14ac:dyDescent="0.2">
      <c r="A51" s="100" t="s">
        <v>603</v>
      </c>
      <c r="B51" s="107" t="s">
        <v>592</v>
      </c>
      <c r="C51" s="102">
        <v>1092</v>
      </c>
      <c r="D51" s="103">
        <v>896</v>
      </c>
      <c r="E51" s="103">
        <v>154</v>
      </c>
      <c r="F51" s="103">
        <v>21</v>
      </c>
      <c r="G51" s="103">
        <v>11</v>
      </c>
      <c r="H51" s="103">
        <v>10</v>
      </c>
      <c r="I51" s="104">
        <v>0</v>
      </c>
      <c r="J51" s="104">
        <v>0</v>
      </c>
      <c r="K51" s="104">
        <v>0</v>
      </c>
      <c r="L51" s="105">
        <v>282</v>
      </c>
      <c r="M51" s="104">
        <v>0</v>
      </c>
      <c r="N51" s="105">
        <v>187</v>
      </c>
    </row>
    <row r="52" spans="1:14" ht="4.5" customHeight="1" x14ac:dyDescent="0.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</row>
    <row r="53" spans="1:14" ht="15.75" customHeight="1" x14ac:dyDescent="0.2">
      <c r="A53" s="100" t="s">
        <v>604</v>
      </c>
      <c r="B53" s="101" t="s">
        <v>590</v>
      </c>
      <c r="C53" s="102">
        <v>1267</v>
      </c>
      <c r="D53" s="103">
        <v>454</v>
      </c>
      <c r="E53" s="103">
        <v>162</v>
      </c>
      <c r="F53" s="103">
        <v>339</v>
      </c>
      <c r="G53" s="103">
        <v>26</v>
      </c>
      <c r="H53" s="103">
        <v>184</v>
      </c>
      <c r="I53" s="103">
        <v>72</v>
      </c>
      <c r="J53" s="103">
        <v>30</v>
      </c>
      <c r="K53" s="104">
        <v>0</v>
      </c>
      <c r="L53" s="105">
        <v>489</v>
      </c>
      <c r="M53" s="104">
        <v>0</v>
      </c>
      <c r="N53" s="105">
        <v>561</v>
      </c>
    </row>
    <row r="54" spans="1:14" ht="15.75" customHeight="1" x14ac:dyDescent="0.2">
      <c r="A54" s="100" t="s">
        <v>604</v>
      </c>
      <c r="B54" s="106" t="s">
        <v>591</v>
      </c>
      <c r="C54" s="102">
        <v>1273</v>
      </c>
      <c r="D54" s="103">
        <v>940</v>
      </c>
      <c r="E54" s="103">
        <v>223</v>
      </c>
      <c r="F54" s="103">
        <v>76</v>
      </c>
      <c r="G54" s="103">
        <v>12</v>
      </c>
      <c r="H54" s="103">
        <v>20</v>
      </c>
      <c r="I54" s="103">
        <v>2</v>
      </c>
      <c r="J54" s="104">
        <v>0</v>
      </c>
      <c r="K54" s="104">
        <v>0</v>
      </c>
      <c r="L54" s="105">
        <v>338</v>
      </c>
      <c r="M54" s="104">
        <v>0</v>
      </c>
      <c r="N54" s="105">
        <v>221</v>
      </c>
    </row>
    <row r="55" spans="1:14" ht="15.75" customHeight="1" x14ac:dyDescent="0.2">
      <c r="A55" s="100" t="s">
        <v>604</v>
      </c>
      <c r="B55" s="107" t="s">
        <v>592</v>
      </c>
      <c r="C55" s="102">
        <v>1246</v>
      </c>
      <c r="D55" s="103">
        <v>1021</v>
      </c>
      <c r="E55" s="103">
        <v>174</v>
      </c>
      <c r="F55" s="103">
        <v>27</v>
      </c>
      <c r="G55" s="103">
        <v>9</v>
      </c>
      <c r="H55" s="103">
        <v>14</v>
      </c>
      <c r="I55" s="103">
        <v>1</v>
      </c>
      <c r="J55" s="104">
        <v>0</v>
      </c>
      <c r="K55" s="104">
        <v>0</v>
      </c>
      <c r="L55" s="105">
        <v>309</v>
      </c>
      <c r="M55" s="104">
        <v>0</v>
      </c>
      <c r="N55" s="105">
        <v>215</v>
      </c>
    </row>
    <row r="56" spans="1:14" ht="4.5" customHeight="1" x14ac:dyDescent="0.2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</row>
    <row r="57" spans="1:14" ht="15.75" customHeight="1" x14ac:dyDescent="0.2">
      <c r="A57" s="100" t="s">
        <v>605</v>
      </c>
      <c r="B57" s="101" t="s">
        <v>590</v>
      </c>
      <c r="C57" s="102">
        <v>791</v>
      </c>
      <c r="D57" s="103">
        <v>209</v>
      </c>
      <c r="E57" s="103">
        <v>84</v>
      </c>
      <c r="F57" s="103">
        <v>221</v>
      </c>
      <c r="G57" s="103">
        <v>21</v>
      </c>
      <c r="H57" s="103">
        <v>151</v>
      </c>
      <c r="I57" s="103">
        <v>76</v>
      </c>
      <c r="J57" s="103">
        <v>29</v>
      </c>
      <c r="K57" s="104">
        <v>0</v>
      </c>
      <c r="L57" s="105">
        <v>283</v>
      </c>
      <c r="M57" s="104">
        <v>0</v>
      </c>
      <c r="N57" s="105">
        <v>418</v>
      </c>
    </row>
    <row r="58" spans="1:14" ht="15.75" customHeight="1" x14ac:dyDescent="0.2">
      <c r="A58" s="100" t="s">
        <v>605</v>
      </c>
      <c r="B58" s="106" t="s">
        <v>591</v>
      </c>
      <c r="C58" s="102">
        <v>1138</v>
      </c>
      <c r="D58" s="103">
        <v>866</v>
      </c>
      <c r="E58" s="103">
        <v>188</v>
      </c>
      <c r="F58" s="103">
        <v>59</v>
      </c>
      <c r="G58" s="103">
        <v>12</v>
      </c>
      <c r="H58" s="103">
        <v>12</v>
      </c>
      <c r="I58" s="103">
        <v>1</v>
      </c>
      <c r="J58" s="104">
        <v>0</v>
      </c>
      <c r="K58" s="104">
        <v>0</v>
      </c>
      <c r="L58" s="105">
        <v>258</v>
      </c>
      <c r="M58" s="104">
        <v>0</v>
      </c>
      <c r="N58" s="105">
        <v>177</v>
      </c>
    </row>
    <row r="59" spans="1:14" ht="15.75" customHeight="1" x14ac:dyDescent="0.2">
      <c r="A59" s="100" t="s">
        <v>605</v>
      </c>
      <c r="B59" s="107" t="s">
        <v>592</v>
      </c>
      <c r="C59" s="102">
        <v>1015</v>
      </c>
      <c r="D59" s="103">
        <v>827</v>
      </c>
      <c r="E59" s="103">
        <v>137</v>
      </c>
      <c r="F59" s="103">
        <v>21</v>
      </c>
      <c r="G59" s="103">
        <v>15</v>
      </c>
      <c r="H59" s="103">
        <v>13</v>
      </c>
      <c r="I59" s="103">
        <v>2</v>
      </c>
      <c r="J59" s="104">
        <v>0</v>
      </c>
      <c r="K59" s="104">
        <v>0</v>
      </c>
      <c r="L59" s="105">
        <v>205</v>
      </c>
      <c r="M59" s="104">
        <v>0</v>
      </c>
      <c r="N59" s="105">
        <v>167</v>
      </c>
    </row>
    <row r="60" spans="1:14" ht="4.5" customHeight="1" x14ac:dyDescent="0.2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</row>
    <row r="61" spans="1:14" ht="15.75" customHeight="1" x14ac:dyDescent="0.2">
      <c r="A61" s="100" t="s">
        <v>606</v>
      </c>
      <c r="B61" s="101" t="s">
        <v>590</v>
      </c>
      <c r="C61" s="102">
        <v>807</v>
      </c>
      <c r="D61" s="103">
        <v>258</v>
      </c>
      <c r="E61" s="103">
        <v>106</v>
      </c>
      <c r="F61" s="103">
        <v>198</v>
      </c>
      <c r="G61" s="103">
        <v>18</v>
      </c>
      <c r="H61" s="103">
        <v>135</v>
      </c>
      <c r="I61" s="103">
        <v>60</v>
      </c>
      <c r="J61" s="103">
        <v>32</v>
      </c>
      <c r="K61" s="105">
        <v>7</v>
      </c>
      <c r="L61" s="105">
        <v>275</v>
      </c>
      <c r="M61" s="105">
        <v>7</v>
      </c>
      <c r="N61" s="105">
        <v>358</v>
      </c>
    </row>
    <row r="62" spans="1:14" ht="15.75" customHeight="1" x14ac:dyDescent="0.2">
      <c r="A62" s="100" t="s">
        <v>606</v>
      </c>
      <c r="B62" s="106" t="s">
        <v>591</v>
      </c>
      <c r="C62" s="102">
        <v>942</v>
      </c>
      <c r="D62" s="103">
        <v>683</v>
      </c>
      <c r="E62" s="103">
        <v>165</v>
      </c>
      <c r="F62" s="103">
        <v>71</v>
      </c>
      <c r="G62" s="103">
        <v>9</v>
      </c>
      <c r="H62" s="103">
        <v>9</v>
      </c>
      <c r="I62" s="103">
        <v>5</v>
      </c>
      <c r="J62" s="104">
        <v>0</v>
      </c>
      <c r="K62" s="105">
        <v>79</v>
      </c>
      <c r="L62" s="105">
        <v>151</v>
      </c>
      <c r="M62" s="105">
        <v>51</v>
      </c>
      <c r="N62" s="105">
        <v>134</v>
      </c>
    </row>
    <row r="63" spans="1:14" ht="15.75" customHeight="1" x14ac:dyDescent="0.2">
      <c r="A63" s="100" t="s">
        <v>606</v>
      </c>
      <c r="B63" s="107" t="s">
        <v>592</v>
      </c>
      <c r="C63" s="102">
        <v>955</v>
      </c>
      <c r="D63" s="103">
        <v>788</v>
      </c>
      <c r="E63" s="103">
        <v>127</v>
      </c>
      <c r="F63" s="103">
        <v>15</v>
      </c>
      <c r="G63" s="103">
        <v>13</v>
      </c>
      <c r="H63" s="103">
        <v>12</v>
      </c>
      <c r="I63" s="104">
        <v>0</v>
      </c>
      <c r="J63" s="104">
        <v>0</v>
      </c>
      <c r="K63" s="105">
        <v>102</v>
      </c>
      <c r="L63" s="105">
        <v>158</v>
      </c>
      <c r="M63" s="105">
        <v>61</v>
      </c>
      <c r="N63" s="105">
        <v>155</v>
      </c>
    </row>
    <row r="64" spans="1:14" ht="4.5" customHeight="1" x14ac:dyDescent="0.2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</row>
    <row r="65" spans="1:14" ht="15.75" customHeight="1" x14ac:dyDescent="0.2">
      <c r="A65" s="100" t="s">
        <v>607</v>
      </c>
      <c r="B65" s="101" t="s">
        <v>590</v>
      </c>
      <c r="C65" s="102">
        <v>741</v>
      </c>
      <c r="D65" s="103">
        <v>281</v>
      </c>
      <c r="E65" s="103">
        <v>82</v>
      </c>
      <c r="F65" s="103">
        <v>187</v>
      </c>
      <c r="G65" s="103">
        <v>10</v>
      </c>
      <c r="H65" s="103">
        <v>98</v>
      </c>
      <c r="I65" s="103">
        <v>53</v>
      </c>
      <c r="J65" s="103">
        <v>30</v>
      </c>
      <c r="K65" s="105">
        <v>17</v>
      </c>
      <c r="L65" s="105">
        <v>260</v>
      </c>
      <c r="M65" s="105">
        <v>7</v>
      </c>
      <c r="N65" s="105">
        <v>313</v>
      </c>
    </row>
    <row r="66" spans="1:14" ht="15.75" customHeight="1" x14ac:dyDescent="0.2">
      <c r="A66" s="100" t="s">
        <v>607</v>
      </c>
      <c r="B66" s="106" t="s">
        <v>591</v>
      </c>
      <c r="C66" s="102">
        <v>1002</v>
      </c>
      <c r="D66" s="103">
        <v>715</v>
      </c>
      <c r="E66" s="103">
        <v>187</v>
      </c>
      <c r="F66" s="103">
        <v>68</v>
      </c>
      <c r="G66" s="103">
        <v>12</v>
      </c>
      <c r="H66" s="103">
        <v>14</v>
      </c>
      <c r="I66" s="103">
        <v>6</v>
      </c>
      <c r="J66" s="104">
        <v>0</v>
      </c>
      <c r="K66" s="105">
        <v>213</v>
      </c>
      <c r="L66" s="105">
        <v>85</v>
      </c>
      <c r="M66" s="105">
        <v>127</v>
      </c>
      <c r="N66" s="105">
        <v>141</v>
      </c>
    </row>
    <row r="67" spans="1:14" ht="15.75" customHeight="1" x14ac:dyDescent="0.2">
      <c r="A67" s="100" t="s">
        <v>607</v>
      </c>
      <c r="B67" s="107" t="s">
        <v>592</v>
      </c>
      <c r="C67" s="102">
        <v>755</v>
      </c>
      <c r="D67" s="103">
        <v>603</v>
      </c>
      <c r="E67" s="103">
        <v>117</v>
      </c>
      <c r="F67" s="103">
        <v>20</v>
      </c>
      <c r="G67" s="103">
        <v>9</v>
      </c>
      <c r="H67" s="103">
        <v>4</v>
      </c>
      <c r="I67" s="103">
        <v>2</v>
      </c>
      <c r="J67" s="104">
        <v>0</v>
      </c>
      <c r="K67" s="105">
        <v>159</v>
      </c>
      <c r="L67" s="105">
        <v>82</v>
      </c>
      <c r="M67" s="105">
        <v>98</v>
      </c>
      <c r="N67" s="105">
        <v>127</v>
      </c>
    </row>
    <row r="68" spans="1:14" ht="4.5" customHeight="1" x14ac:dyDescent="0.2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</row>
    <row r="69" spans="1:14" ht="15.75" customHeight="1" x14ac:dyDescent="0.2">
      <c r="A69" s="100" t="s">
        <v>608</v>
      </c>
      <c r="B69" s="101" t="s">
        <v>590</v>
      </c>
      <c r="C69" s="102">
        <v>737</v>
      </c>
      <c r="D69" s="103">
        <v>293</v>
      </c>
      <c r="E69" s="103">
        <v>95</v>
      </c>
      <c r="F69" s="103">
        <v>171</v>
      </c>
      <c r="G69" s="103">
        <v>17</v>
      </c>
      <c r="H69" s="103">
        <v>87</v>
      </c>
      <c r="I69" s="103">
        <v>51</v>
      </c>
      <c r="J69" s="103">
        <v>23</v>
      </c>
      <c r="K69" s="105">
        <v>14</v>
      </c>
      <c r="L69" s="105">
        <v>232</v>
      </c>
      <c r="M69" s="105">
        <v>16</v>
      </c>
      <c r="N69" s="105">
        <v>301</v>
      </c>
    </row>
    <row r="70" spans="1:14" ht="15.75" customHeight="1" x14ac:dyDescent="0.2">
      <c r="A70" s="100" t="s">
        <v>608</v>
      </c>
      <c r="B70" s="106" t="s">
        <v>591</v>
      </c>
      <c r="C70" s="102">
        <v>986</v>
      </c>
      <c r="D70" s="103">
        <v>656</v>
      </c>
      <c r="E70" s="103">
        <v>201</v>
      </c>
      <c r="F70" s="103">
        <v>98</v>
      </c>
      <c r="G70" s="103">
        <v>14</v>
      </c>
      <c r="H70" s="103">
        <v>13</v>
      </c>
      <c r="I70" s="103">
        <v>4</v>
      </c>
      <c r="J70" s="104">
        <v>0</v>
      </c>
      <c r="K70" s="105">
        <v>205</v>
      </c>
      <c r="L70" s="105">
        <v>72</v>
      </c>
      <c r="M70" s="105">
        <v>116</v>
      </c>
      <c r="N70" s="105">
        <v>148</v>
      </c>
    </row>
    <row r="71" spans="1:14" ht="15.75" customHeight="1" x14ac:dyDescent="0.2">
      <c r="A71" s="100" t="s">
        <v>608</v>
      </c>
      <c r="B71" s="107" t="s">
        <v>592</v>
      </c>
      <c r="C71" s="102">
        <v>745</v>
      </c>
      <c r="D71" s="103">
        <v>601</v>
      </c>
      <c r="E71" s="103">
        <v>109</v>
      </c>
      <c r="F71" s="103">
        <v>19</v>
      </c>
      <c r="G71" s="103">
        <v>8</v>
      </c>
      <c r="H71" s="103">
        <v>8</v>
      </c>
      <c r="I71" s="104">
        <v>0</v>
      </c>
      <c r="J71" s="104">
        <v>0</v>
      </c>
      <c r="K71" s="105">
        <v>168</v>
      </c>
      <c r="L71" s="105">
        <v>68</v>
      </c>
      <c r="M71" s="105">
        <v>94</v>
      </c>
      <c r="N71" s="105">
        <v>129</v>
      </c>
    </row>
    <row r="72" spans="1:14" ht="4.5" customHeight="1" x14ac:dyDescent="0.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</row>
    <row r="73" spans="1:14" ht="15.75" customHeight="1" x14ac:dyDescent="0.2">
      <c r="A73" s="100" t="s">
        <v>534</v>
      </c>
      <c r="B73" s="101" t="s">
        <v>590</v>
      </c>
      <c r="C73" s="102">
        <v>717</v>
      </c>
      <c r="D73" s="103">
        <v>260</v>
      </c>
      <c r="E73" s="103">
        <v>80</v>
      </c>
      <c r="F73" s="103">
        <v>166</v>
      </c>
      <c r="G73" s="103">
        <v>14</v>
      </c>
      <c r="H73" s="103">
        <v>106</v>
      </c>
      <c r="I73" s="103">
        <v>66</v>
      </c>
      <c r="J73" s="103">
        <v>25</v>
      </c>
      <c r="K73" s="105">
        <v>12</v>
      </c>
      <c r="L73" s="105">
        <v>213</v>
      </c>
      <c r="M73" s="105">
        <v>11</v>
      </c>
      <c r="N73" s="105">
        <v>320</v>
      </c>
    </row>
    <row r="74" spans="1:14" ht="15.75" customHeight="1" x14ac:dyDescent="0.2">
      <c r="A74" s="100" t="s">
        <v>534</v>
      </c>
      <c r="B74" s="106" t="s">
        <v>591</v>
      </c>
      <c r="C74" s="102">
        <v>1052</v>
      </c>
      <c r="D74" s="103">
        <v>741</v>
      </c>
      <c r="E74" s="103">
        <v>206</v>
      </c>
      <c r="F74" s="103">
        <v>71</v>
      </c>
      <c r="G74" s="103">
        <v>13</v>
      </c>
      <c r="H74" s="103">
        <v>16</v>
      </c>
      <c r="I74" s="103">
        <v>5</v>
      </c>
      <c r="J74" s="104">
        <v>0</v>
      </c>
      <c r="K74" s="105">
        <v>180</v>
      </c>
      <c r="L74" s="105">
        <v>107</v>
      </c>
      <c r="M74" s="105">
        <v>126</v>
      </c>
      <c r="N74" s="105">
        <v>142</v>
      </c>
    </row>
    <row r="75" spans="1:14" ht="15.75" customHeight="1" x14ac:dyDescent="0.2">
      <c r="A75" s="100" t="s">
        <v>534</v>
      </c>
      <c r="B75" s="107" t="s">
        <v>592</v>
      </c>
      <c r="C75" s="102">
        <v>715</v>
      </c>
      <c r="D75" s="103">
        <v>591</v>
      </c>
      <c r="E75" s="103">
        <v>96</v>
      </c>
      <c r="F75" s="103">
        <v>16</v>
      </c>
      <c r="G75" s="103">
        <v>5</v>
      </c>
      <c r="H75" s="103">
        <v>7</v>
      </c>
      <c r="I75" s="104">
        <v>0</v>
      </c>
      <c r="J75" s="104">
        <v>0</v>
      </c>
      <c r="K75" s="105">
        <v>167</v>
      </c>
      <c r="L75" s="105">
        <v>66</v>
      </c>
      <c r="M75" s="105">
        <v>99</v>
      </c>
      <c r="N75" s="105">
        <v>109</v>
      </c>
    </row>
    <row r="76" spans="1:14" ht="4.5" customHeight="1" x14ac:dyDescent="0.2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</row>
    <row r="77" spans="1:14" ht="4.5" customHeight="1" x14ac:dyDescent="0.2">
      <c r="A77" s="100" t="s">
        <v>609</v>
      </c>
      <c r="B77" s="101" t="s">
        <v>590</v>
      </c>
      <c r="C77" s="102">
        <v>766</v>
      </c>
      <c r="D77" s="103">
        <v>300</v>
      </c>
      <c r="E77" s="103">
        <v>101</v>
      </c>
      <c r="F77" s="103">
        <v>177</v>
      </c>
      <c r="G77" s="103">
        <v>15</v>
      </c>
      <c r="H77" s="103">
        <v>82</v>
      </c>
      <c r="I77" s="103">
        <v>64</v>
      </c>
      <c r="J77" s="103">
        <v>27</v>
      </c>
      <c r="K77" s="105">
        <v>19</v>
      </c>
      <c r="L77" s="105">
        <v>221</v>
      </c>
      <c r="M77" s="105">
        <v>9</v>
      </c>
      <c r="N77" s="105">
        <v>357</v>
      </c>
    </row>
    <row r="78" spans="1:14" ht="19.5" customHeight="1" x14ac:dyDescent="0.2">
      <c r="A78" s="100" t="s">
        <v>609</v>
      </c>
      <c r="B78" s="106" t="s">
        <v>591</v>
      </c>
      <c r="C78" s="102">
        <v>1154</v>
      </c>
      <c r="D78" s="103">
        <v>873</v>
      </c>
      <c r="E78" s="103">
        <v>189</v>
      </c>
      <c r="F78" s="103">
        <v>65</v>
      </c>
      <c r="G78" s="103">
        <v>9</v>
      </c>
      <c r="H78" s="103">
        <v>16</v>
      </c>
      <c r="I78" s="103">
        <v>2</v>
      </c>
      <c r="J78" s="104">
        <v>0</v>
      </c>
      <c r="K78" s="105">
        <v>216</v>
      </c>
      <c r="L78" s="105">
        <v>190</v>
      </c>
      <c r="M78" s="105">
        <v>173</v>
      </c>
      <c r="N78" s="105">
        <v>150</v>
      </c>
    </row>
    <row r="79" spans="1:14" ht="15.75" customHeight="1" x14ac:dyDescent="0.2">
      <c r="A79" s="100" t="s">
        <v>609</v>
      </c>
      <c r="B79" s="107" t="s">
        <v>592</v>
      </c>
      <c r="C79" s="102">
        <v>735</v>
      </c>
      <c r="D79" s="103">
        <v>592</v>
      </c>
      <c r="E79" s="103">
        <v>117</v>
      </c>
      <c r="F79" s="103">
        <v>15</v>
      </c>
      <c r="G79" s="103">
        <v>7</v>
      </c>
      <c r="H79" s="103">
        <v>4</v>
      </c>
      <c r="I79" s="104">
        <v>0</v>
      </c>
      <c r="J79" s="104">
        <v>0</v>
      </c>
      <c r="K79" s="105">
        <v>170</v>
      </c>
      <c r="L79" s="105">
        <v>66</v>
      </c>
      <c r="M79" s="105">
        <v>102</v>
      </c>
      <c r="N79" s="105">
        <v>131</v>
      </c>
    </row>
    <row r="80" spans="1:14" ht="15.75" customHeight="1" x14ac:dyDescent="0.2">
      <c r="A80" s="108" t="s">
        <v>24</v>
      </c>
      <c r="B80" s="108" t="s">
        <v>610</v>
      </c>
      <c r="C80" s="108">
        <v>596</v>
      </c>
      <c r="D80" s="108">
        <v>229</v>
      </c>
      <c r="E80" s="108">
        <v>74</v>
      </c>
      <c r="F80" s="108">
        <v>135</v>
      </c>
      <c r="G80" s="108">
        <v>18</v>
      </c>
      <c r="H80" s="108">
        <v>67</v>
      </c>
      <c r="I80" s="108">
        <v>44</v>
      </c>
      <c r="J80" s="108">
        <v>29</v>
      </c>
      <c r="K80" s="108">
        <v>15</v>
      </c>
      <c r="L80" s="108">
        <v>107</v>
      </c>
      <c r="M80" s="108">
        <v>7</v>
      </c>
      <c r="N80" s="108">
        <v>287</v>
      </c>
    </row>
    <row r="81" spans="1:14" ht="15.75" customHeight="1" x14ac:dyDescent="0.2">
      <c r="A81" s="112" t="s">
        <v>24</v>
      </c>
      <c r="B81" t="s">
        <v>611</v>
      </c>
      <c r="C81">
        <v>838</v>
      </c>
      <c r="D81">
        <v>623</v>
      </c>
      <c r="E81">
        <v>133</v>
      </c>
      <c r="F81">
        <v>54</v>
      </c>
      <c r="G81">
        <v>7</v>
      </c>
      <c r="H81">
        <v>17</v>
      </c>
      <c r="I81">
        <v>4</v>
      </c>
      <c r="J81">
        <v>0</v>
      </c>
      <c r="K81">
        <v>147</v>
      </c>
      <c r="L81">
        <v>127</v>
      </c>
      <c r="M81">
        <v>104</v>
      </c>
      <c r="N81">
        <v>132</v>
      </c>
    </row>
    <row r="82" spans="1:14" ht="4.5" customHeight="1" x14ac:dyDescent="0.2">
      <c r="A82" s="100" t="s">
        <v>24</v>
      </c>
      <c r="B82" s="101" t="s">
        <v>612</v>
      </c>
      <c r="C82" s="102">
        <v>446</v>
      </c>
      <c r="D82" s="103">
        <v>365</v>
      </c>
      <c r="E82" s="103">
        <v>64</v>
      </c>
      <c r="F82" s="103">
        <v>8</v>
      </c>
      <c r="G82" s="103">
        <v>4</v>
      </c>
      <c r="H82" s="103">
        <v>5</v>
      </c>
      <c r="I82" s="103">
        <v>0</v>
      </c>
      <c r="J82" s="103">
        <v>0</v>
      </c>
      <c r="K82" s="105">
        <v>93</v>
      </c>
      <c r="L82" s="105">
        <v>36</v>
      </c>
      <c r="M82" s="105">
        <v>59</v>
      </c>
      <c r="N82" s="105">
        <v>91</v>
      </c>
    </row>
    <row r="83" spans="1:14" ht="15.75" customHeight="1" x14ac:dyDescent="0.2">
      <c r="A83" s="100" t="s">
        <v>589</v>
      </c>
      <c r="B83" s="106" t="s">
        <v>591</v>
      </c>
      <c r="C83" s="102">
        <v>898</v>
      </c>
      <c r="D83" s="103">
        <v>751</v>
      </c>
      <c r="E83" s="103">
        <v>109</v>
      </c>
      <c r="F83" s="103">
        <v>28</v>
      </c>
      <c r="G83" s="103">
        <v>2</v>
      </c>
      <c r="H83" s="103">
        <v>7</v>
      </c>
      <c r="I83" s="103">
        <v>1</v>
      </c>
      <c r="J83" s="104">
        <v>0</v>
      </c>
      <c r="K83" s="105">
        <v>506</v>
      </c>
      <c r="L83" s="105">
        <v>6</v>
      </c>
      <c r="M83" s="105">
        <v>9</v>
      </c>
      <c r="N83" s="105">
        <v>153</v>
      </c>
    </row>
    <row r="84" spans="1:14" ht="15.75" customHeight="1" x14ac:dyDescent="0.2">
      <c r="A84" s="100" t="s">
        <v>589</v>
      </c>
      <c r="B84" s="107" t="s">
        <v>592</v>
      </c>
      <c r="C84" s="102">
        <v>920</v>
      </c>
      <c r="D84" s="103">
        <v>871</v>
      </c>
      <c r="E84" s="103">
        <v>44</v>
      </c>
      <c r="F84" s="103">
        <v>3</v>
      </c>
      <c r="G84" s="103">
        <v>2</v>
      </c>
      <c r="H84" s="104">
        <v>0</v>
      </c>
      <c r="I84" s="104">
        <v>0</v>
      </c>
      <c r="J84" s="104">
        <v>0</v>
      </c>
      <c r="K84" s="105">
        <v>469</v>
      </c>
      <c r="L84" s="105">
        <v>4</v>
      </c>
      <c r="M84" s="105">
        <v>3</v>
      </c>
      <c r="N84" s="105">
        <v>79</v>
      </c>
    </row>
    <row r="85" spans="1:14" ht="15.75" customHeight="1" x14ac:dyDescent="0.2">
      <c r="A85" s="108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</row>
    <row r="86" spans="1:14" ht="4.5" customHeight="1" x14ac:dyDescent="0.2">
      <c r="A86" s="100" t="s">
        <v>593</v>
      </c>
      <c r="B86" s="101" t="s">
        <v>590</v>
      </c>
      <c r="C86" s="102">
        <v>563</v>
      </c>
      <c r="D86" s="103">
        <v>273</v>
      </c>
      <c r="E86" s="103">
        <v>123</v>
      </c>
      <c r="F86" s="103">
        <v>67</v>
      </c>
      <c r="G86" s="103">
        <v>10</v>
      </c>
      <c r="H86" s="103">
        <v>69</v>
      </c>
      <c r="I86" s="103">
        <v>16</v>
      </c>
      <c r="J86" s="103">
        <v>5</v>
      </c>
      <c r="K86" s="105">
        <v>26</v>
      </c>
      <c r="L86" s="105">
        <v>180</v>
      </c>
      <c r="M86" s="105">
        <v>3</v>
      </c>
      <c r="N86" s="105">
        <v>218</v>
      </c>
    </row>
    <row r="87" spans="1:14" ht="15.75" customHeight="1" x14ac:dyDescent="0.2">
      <c r="A87" s="100" t="s">
        <v>593</v>
      </c>
      <c r="B87" s="106" t="s">
        <v>591</v>
      </c>
      <c r="C87" s="102">
        <v>324</v>
      </c>
      <c r="D87" s="103">
        <v>271</v>
      </c>
      <c r="E87" s="103">
        <v>42</v>
      </c>
      <c r="F87" s="103">
        <v>10</v>
      </c>
      <c r="G87" s="103">
        <v>1</v>
      </c>
      <c r="H87" s="104">
        <v>0</v>
      </c>
      <c r="I87" s="104">
        <v>0</v>
      </c>
      <c r="J87" s="104">
        <v>0</v>
      </c>
      <c r="K87" s="105">
        <v>172</v>
      </c>
      <c r="L87" s="105">
        <v>5</v>
      </c>
      <c r="M87" s="105">
        <v>2</v>
      </c>
      <c r="N87" s="105">
        <v>43</v>
      </c>
    </row>
    <row r="88" spans="1:14" ht="15.75" customHeight="1" x14ac:dyDescent="0.2">
      <c r="A88" s="100" t="s">
        <v>593</v>
      </c>
      <c r="B88" s="107" t="s">
        <v>592</v>
      </c>
      <c r="C88" s="102">
        <v>394</v>
      </c>
      <c r="D88" s="103">
        <v>359</v>
      </c>
      <c r="E88" s="103">
        <v>25</v>
      </c>
      <c r="F88" s="103">
        <v>3</v>
      </c>
      <c r="G88" s="103">
        <v>4</v>
      </c>
      <c r="H88" s="103">
        <v>3</v>
      </c>
      <c r="I88" s="104">
        <v>0</v>
      </c>
      <c r="J88" s="104">
        <v>0</v>
      </c>
      <c r="K88" s="105">
        <v>182</v>
      </c>
      <c r="L88" s="104">
        <v>0</v>
      </c>
      <c r="M88" s="105">
        <v>1</v>
      </c>
      <c r="N88" s="105">
        <v>44</v>
      </c>
    </row>
    <row r="89" spans="1:14" ht="15.75" customHeight="1" x14ac:dyDescent="0.2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</row>
    <row r="90" spans="1:14" ht="4.5" customHeight="1" x14ac:dyDescent="0.2">
      <c r="A90" s="100" t="s">
        <v>594</v>
      </c>
      <c r="B90" s="101" t="s">
        <v>590</v>
      </c>
      <c r="C90" s="102">
        <v>803</v>
      </c>
      <c r="D90" s="103">
        <v>408</v>
      </c>
      <c r="E90" s="103">
        <v>202</v>
      </c>
      <c r="F90" s="103">
        <v>92</v>
      </c>
      <c r="G90" s="103">
        <v>13</v>
      </c>
      <c r="H90" s="103">
        <v>68</v>
      </c>
      <c r="I90" s="103">
        <v>17</v>
      </c>
      <c r="J90" s="103">
        <v>3</v>
      </c>
      <c r="K90" s="105">
        <v>37</v>
      </c>
      <c r="L90" s="105">
        <v>280</v>
      </c>
      <c r="M90" s="105">
        <v>2</v>
      </c>
      <c r="N90" s="105">
        <v>305</v>
      </c>
    </row>
    <row r="91" spans="1:14" ht="15.75" customHeight="1" x14ac:dyDescent="0.2">
      <c r="A91" s="100" t="s">
        <v>594</v>
      </c>
      <c r="B91" s="106" t="s">
        <v>591</v>
      </c>
      <c r="C91" s="102">
        <v>351</v>
      </c>
      <c r="D91" s="103">
        <v>307</v>
      </c>
      <c r="E91" s="103">
        <v>31</v>
      </c>
      <c r="F91" s="103">
        <v>10</v>
      </c>
      <c r="G91" s="103">
        <v>1</v>
      </c>
      <c r="H91" s="103">
        <v>2</v>
      </c>
      <c r="I91" s="104">
        <v>0</v>
      </c>
      <c r="J91" s="104">
        <v>0</v>
      </c>
      <c r="K91" s="105">
        <v>202</v>
      </c>
      <c r="L91" s="105">
        <v>2</v>
      </c>
      <c r="M91" s="105">
        <v>2</v>
      </c>
      <c r="N91" s="105">
        <v>46</v>
      </c>
    </row>
    <row r="92" spans="1:14" ht="15.75" customHeight="1" x14ac:dyDescent="0.2">
      <c r="A92" s="100" t="s">
        <v>594</v>
      </c>
      <c r="B92" s="107" t="s">
        <v>592</v>
      </c>
      <c r="C92" s="102">
        <v>439</v>
      </c>
      <c r="D92" s="103">
        <v>396</v>
      </c>
      <c r="E92" s="103">
        <v>38</v>
      </c>
      <c r="F92" s="103">
        <v>2</v>
      </c>
      <c r="G92" s="103">
        <v>2</v>
      </c>
      <c r="H92" s="103">
        <v>1</v>
      </c>
      <c r="I92" s="104">
        <v>0</v>
      </c>
      <c r="J92" s="104">
        <v>0</v>
      </c>
      <c r="K92" s="105">
        <v>210</v>
      </c>
      <c r="L92" s="105">
        <v>1</v>
      </c>
      <c r="M92" s="105">
        <v>5</v>
      </c>
      <c r="N92" s="105">
        <v>58</v>
      </c>
    </row>
    <row r="93" spans="1:14" ht="15.75" customHeight="1" x14ac:dyDescent="0.2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</row>
    <row r="94" spans="1:14" ht="4.5" customHeight="1" x14ac:dyDescent="0.2">
      <c r="A94" s="100" t="s">
        <v>595</v>
      </c>
      <c r="B94" s="101" t="s">
        <v>590</v>
      </c>
      <c r="C94" s="102">
        <v>847</v>
      </c>
      <c r="D94" s="103">
        <v>413</v>
      </c>
      <c r="E94" s="103">
        <v>228</v>
      </c>
      <c r="F94" s="103">
        <v>96</v>
      </c>
      <c r="G94" s="103">
        <v>20</v>
      </c>
      <c r="H94" s="103">
        <v>78</v>
      </c>
      <c r="I94" s="103">
        <v>9</v>
      </c>
      <c r="J94" s="103">
        <v>3</v>
      </c>
      <c r="K94" s="105">
        <v>33</v>
      </c>
      <c r="L94" s="105">
        <v>267</v>
      </c>
      <c r="M94" s="105">
        <v>4</v>
      </c>
      <c r="N94" s="105">
        <v>355</v>
      </c>
    </row>
    <row r="95" spans="1:14" ht="15.75" customHeight="1" x14ac:dyDescent="0.2">
      <c r="A95" s="100" t="s">
        <v>595</v>
      </c>
      <c r="B95" s="106" t="s">
        <v>591</v>
      </c>
      <c r="C95" s="102">
        <v>299</v>
      </c>
      <c r="D95" s="103">
        <v>253</v>
      </c>
      <c r="E95" s="103">
        <v>32</v>
      </c>
      <c r="F95" s="103">
        <v>11</v>
      </c>
      <c r="G95" s="103">
        <v>2</v>
      </c>
      <c r="H95" s="104">
        <v>0</v>
      </c>
      <c r="I95" s="103">
        <v>1</v>
      </c>
      <c r="J95" s="104">
        <v>0</v>
      </c>
      <c r="K95" s="105">
        <v>141</v>
      </c>
      <c r="L95" s="105">
        <v>7</v>
      </c>
      <c r="M95" s="105">
        <v>2</v>
      </c>
      <c r="N95" s="105">
        <v>54</v>
      </c>
    </row>
    <row r="96" spans="1:14" ht="15.75" customHeight="1" x14ac:dyDescent="0.2">
      <c r="A96" s="100" t="s">
        <v>595</v>
      </c>
      <c r="B96" s="107" t="s">
        <v>592</v>
      </c>
      <c r="C96" s="102">
        <v>460</v>
      </c>
      <c r="D96" s="103">
        <v>429</v>
      </c>
      <c r="E96" s="103">
        <v>29</v>
      </c>
      <c r="F96" s="103">
        <v>2</v>
      </c>
      <c r="G96" s="104">
        <v>0</v>
      </c>
      <c r="H96" s="104">
        <v>0</v>
      </c>
      <c r="I96" s="104">
        <v>0</v>
      </c>
      <c r="J96" s="104">
        <v>0</v>
      </c>
      <c r="K96" s="105">
        <v>223</v>
      </c>
      <c r="L96" s="105">
        <v>6</v>
      </c>
      <c r="M96" s="105">
        <v>3</v>
      </c>
      <c r="N96" s="105">
        <v>48</v>
      </c>
    </row>
    <row r="97" spans="1:14" ht="15.75" customHeight="1" x14ac:dyDescent="0.2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</row>
    <row r="98" spans="1:14" ht="4.5" customHeight="1" x14ac:dyDescent="0.2">
      <c r="A98" s="100" t="s">
        <v>596</v>
      </c>
      <c r="B98" s="101" t="s">
        <v>590</v>
      </c>
      <c r="C98" s="102">
        <v>920</v>
      </c>
      <c r="D98" s="103">
        <v>508</v>
      </c>
      <c r="E98" s="103">
        <v>232</v>
      </c>
      <c r="F98" s="103">
        <v>95</v>
      </c>
      <c r="G98" s="103">
        <v>8</v>
      </c>
      <c r="H98" s="103">
        <v>66</v>
      </c>
      <c r="I98" s="103">
        <v>9</v>
      </c>
      <c r="J98" s="103">
        <v>2</v>
      </c>
      <c r="K98" s="105">
        <v>34</v>
      </c>
      <c r="L98" s="105">
        <v>316</v>
      </c>
      <c r="M98" s="105">
        <v>6</v>
      </c>
      <c r="N98" s="105">
        <v>306</v>
      </c>
    </row>
    <row r="99" spans="1:14" ht="15.75" customHeight="1" x14ac:dyDescent="0.2">
      <c r="A99" s="100" t="s">
        <v>596</v>
      </c>
      <c r="B99" s="106" t="s">
        <v>591</v>
      </c>
      <c r="C99" s="102">
        <v>368</v>
      </c>
      <c r="D99" s="103">
        <v>309</v>
      </c>
      <c r="E99" s="103">
        <v>37</v>
      </c>
      <c r="F99" s="103">
        <v>14</v>
      </c>
      <c r="G99" s="103">
        <v>6</v>
      </c>
      <c r="H99" s="103">
        <v>2</v>
      </c>
      <c r="I99" s="104">
        <v>0</v>
      </c>
      <c r="J99" s="104">
        <v>0</v>
      </c>
      <c r="K99" s="105">
        <v>194</v>
      </c>
      <c r="L99" s="105">
        <v>4</v>
      </c>
      <c r="M99" s="105">
        <v>3</v>
      </c>
      <c r="N99" s="105">
        <v>63</v>
      </c>
    </row>
    <row r="100" spans="1:14" ht="15.75" customHeight="1" x14ac:dyDescent="0.2">
      <c r="A100" s="100" t="s">
        <v>596</v>
      </c>
      <c r="B100" s="107" t="s">
        <v>592</v>
      </c>
      <c r="C100" s="102">
        <v>380</v>
      </c>
      <c r="D100" s="103">
        <v>358</v>
      </c>
      <c r="E100" s="103">
        <v>14</v>
      </c>
      <c r="F100" s="103">
        <v>5</v>
      </c>
      <c r="G100" s="103">
        <v>2</v>
      </c>
      <c r="H100" s="103">
        <v>1</v>
      </c>
      <c r="I100" s="104">
        <v>0</v>
      </c>
      <c r="J100" s="104">
        <v>0</v>
      </c>
      <c r="K100" s="105">
        <v>186</v>
      </c>
      <c r="L100" s="105">
        <v>1</v>
      </c>
      <c r="M100" s="105">
        <v>3</v>
      </c>
      <c r="N100" s="105">
        <v>30</v>
      </c>
    </row>
    <row r="101" spans="1:14" ht="15.75" customHeight="1" x14ac:dyDescent="0.2">
      <c r="A101" s="108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</row>
    <row r="102" spans="1:14" ht="4.5" customHeight="1" x14ac:dyDescent="0.2">
      <c r="A102" s="100" t="s">
        <v>597</v>
      </c>
      <c r="B102" s="101" t="s">
        <v>590</v>
      </c>
      <c r="C102" s="102">
        <v>854</v>
      </c>
      <c r="D102" s="103">
        <v>425</v>
      </c>
      <c r="E102" s="103">
        <v>217</v>
      </c>
      <c r="F102" s="103">
        <v>113</v>
      </c>
      <c r="G102" s="103">
        <v>10</v>
      </c>
      <c r="H102" s="103">
        <v>71</v>
      </c>
      <c r="I102" s="103">
        <v>15</v>
      </c>
      <c r="J102" s="103">
        <v>3</v>
      </c>
      <c r="K102" s="105">
        <v>27</v>
      </c>
      <c r="L102" s="105">
        <v>298</v>
      </c>
      <c r="M102" s="105">
        <v>4</v>
      </c>
      <c r="N102" s="105">
        <v>325</v>
      </c>
    </row>
    <row r="103" spans="1:14" ht="15.75" customHeight="1" x14ac:dyDescent="0.2">
      <c r="A103" s="100" t="s">
        <v>597</v>
      </c>
      <c r="B103" s="106" t="s">
        <v>591</v>
      </c>
      <c r="C103" s="102">
        <v>426</v>
      </c>
      <c r="D103" s="103">
        <v>364</v>
      </c>
      <c r="E103" s="103">
        <v>43</v>
      </c>
      <c r="F103" s="103">
        <v>13</v>
      </c>
      <c r="G103" s="103">
        <v>2</v>
      </c>
      <c r="H103" s="103">
        <v>3</v>
      </c>
      <c r="I103" s="103">
        <v>1</v>
      </c>
      <c r="J103" s="104">
        <v>0</v>
      </c>
      <c r="K103" s="105">
        <v>217</v>
      </c>
      <c r="L103" s="105">
        <v>7</v>
      </c>
      <c r="M103" s="105">
        <v>15</v>
      </c>
      <c r="N103" s="105">
        <v>68</v>
      </c>
    </row>
    <row r="104" spans="1:14" ht="15.75" customHeight="1" x14ac:dyDescent="0.2">
      <c r="A104" s="100" t="s">
        <v>597</v>
      </c>
      <c r="B104" s="107" t="s">
        <v>592</v>
      </c>
      <c r="C104" s="102">
        <v>372</v>
      </c>
      <c r="D104" s="103">
        <v>339</v>
      </c>
      <c r="E104" s="103">
        <v>27</v>
      </c>
      <c r="F104" s="103">
        <v>4</v>
      </c>
      <c r="G104" s="103">
        <v>1</v>
      </c>
      <c r="H104" s="103">
        <v>1</v>
      </c>
      <c r="I104" s="104">
        <v>0</v>
      </c>
      <c r="J104" s="104">
        <v>0</v>
      </c>
      <c r="K104" s="105">
        <v>169</v>
      </c>
      <c r="L104" s="105">
        <v>6</v>
      </c>
      <c r="M104" s="105">
        <v>7</v>
      </c>
      <c r="N104" s="105">
        <v>46</v>
      </c>
    </row>
    <row r="105" spans="1:14" ht="15.75" customHeight="1" x14ac:dyDescent="0.2">
      <c r="A105" s="108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</row>
    <row r="106" spans="1:14" ht="4.5" customHeight="1" x14ac:dyDescent="0.2">
      <c r="A106" s="100" t="s">
        <v>598</v>
      </c>
      <c r="B106" s="101" t="s">
        <v>590</v>
      </c>
      <c r="C106" s="102">
        <v>915</v>
      </c>
      <c r="D106" s="103">
        <v>457</v>
      </c>
      <c r="E106" s="103">
        <v>256</v>
      </c>
      <c r="F106" s="103">
        <v>99</v>
      </c>
      <c r="G106" s="103">
        <v>13</v>
      </c>
      <c r="H106" s="103">
        <v>78</v>
      </c>
      <c r="I106" s="103">
        <v>9</v>
      </c>
      <c r="J106" s="103">
        <v>3</v>
      </c>
      <c r="K106" s="105">
        <v>26</v>
      </c>
      <c r="L106" s="105">
        <v>286</v>
      </c>
      <c r="M106" s="105">
        <v>3</v>
      </c>
      <c r="N106" s="105">
        <v>369</v>
      </c>
    </row>
    <row r="107" spans="1:14" ht="15.75" customHeight="1" x14ac:dyDescent="0.2">
      <c r="A107" s="100" t="s">
        <v>598</v>
      </c>
      <c r="B107" s="106" t="s">
        <v>591</v>
      </c>
      <c r="C107" s="102">
        <v>544</v>
      </c>
      <c r="D107" s="103">
        <v>454</v>
      </c>
      <c r="E107" s="103">
        <v>65</v>
      </c>
      <c r="F107" s="103">
        <v>16</v>
      </c>
      <c r="G107" s="103">
        <v>5</v>
      </c>
      <c r="H107" s="103">
        <v>3</v>
      </c>
      <c r="I107" s="104">
        <v>0</v>
      </c>
      <c r="J107" s="103">
        <v>1</v>
      </c>
      <c r="K107" s="105">
        <v>268</v>
      </c>
      <c r="L107" s="105">
        <v>7</v>
      </c>
      <c r="M107" s="105">
        <v>15</v>
      </c>
      <c r="N107" s="105">
        <v>109</v>
      </c>
    </row>
    <row r="108" spans="1:14" ht="15.75" customHeight="1" x14ac:dyDescent="0.2">
      <c r="A108" s="100" t="s">
        <v>598</v>
      </c>
      <c r="B108" s="107" t="s">
        <v>592</v>
      </c>
      <c r="C108" s="102">
        <v>404</v>
      </c>
      <c r="D108" s="103">
        <v>363</v>
      </c>
      <c r="E108" s="103">
        <v>35</v>
      </c>
      <c r="F108" s="103">
        <v>3</v>
      </c>
      <c r="G108" s="103">
        <v>1</v>
      </c>
      <c r="H108" s="103">
        <v>2</v>
      </c>
      <c r="I108" s="104">
        <v>0</v>
      </c>
      <c r="J108" s="104">
        <v>0</v>
      </c>
      <c r="K108" s="105">
        <v>207</v>
      </c>
      <c r="L108" s="105">
        <v>2</v>
      </c>
      <c r="M108" s="105">
        <v>6</v>
      </c>
      <c r="N108" s="105">
        <v>60</v>
      </c>
    </row>
    <row r="109" spans="1:14" ht="15.75" customHeight="1" x14ac:dyDescent="0.2">
      <c r="A109" s="108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</row>
    <row r="110" spans="1:14" ht="4.5" customHeight="1" x14ac:dyDescent="0.2">
      <c r="A110" s="100" t="s">
        <v>599</v>
      </c>
      <c r="B110" s="101" t="s">
        <v>590</v>
      </c>
      <c r="C110" s="102">
        <v>865</v>
      </c>
      <c r="D110" s="103">
        <v>448</v>
      </c>
      <c r="E110" s="103">
        <v>239</v>
      </c>
      <c r="F110" s="103">
        <v>98</v>
      </c>
      <c r="G110" s="103">
        <v>12</v>
      </c>
      <c r="H110" s="103">
        <v>54</v>
      </c>
      <c r="I110" s="103">
        <v>12</v>
      </c>
      <c r="J110" s="103">
        <v>2</v>
      </c>
      <c r="K110" s="105">
        <v>36</v>
      </c>
      <c r="L110" s="105">
        <v>277</v>
      </c>
      <c r="M110" s="105">
        <v>5</v>
      </c>
      <c r="N110" s="105">
        <v>331</v>
      </c>
    </row>
    <row r="111" spans="1:14" ht="15.75" customHeight="1" x14ac:dyDescent="0.2">
      <c r="A111" s="100" t="s">
        <v>599</v>
      </c>
      <c r="B111" s="106" t="s">
        <v>591</v>
      </c>
      <c r="C111" s="102">
        <v>586</v>
      </c>
      <c r="D111" s="103">
        <v>510</v>
      </c>
      <c r="E111" s="103">
        <v>49</v>
      </c>
      <c r="F111" s="103">
        <v>19</v>
      </c>
      <c r="G111" s="103">
        <v>5</v>
      </c>
      <c r="H111" s="103">
        <v>2</v>
      </c>
      <c r="I111" s="103">
        <v>1</v>
      </c>
      <c r="J111" s="104">
        <v>0</v>
      </c>
      <c r="K111" s="105">
        <v>270</v>
      </c>
      <c r="L111" s="105">
        <v>7</v>
      </c>
      <c r="M111" s="105">
        <v>14</v>
      </c>
      <c r="N111" s="105">
        <v>113</v>
      </c>
    </row>
    <row r="112" spans="1:14" ht="15.75" customHeight="1" x14ac:dyDescent="0.2">
      <c r="A112" s="100" t="s">
        <v>599</v>
      </c>
      <c r="B112" s="107" t="s">
        <v>592</v>
      </c>
      <c r="C112" s="102">
        <v>351</v>
      </c>
      <c r="D112" s="103">
        <v>307</v>
      </c>
      <c r="E112" s="103">
        <v>33</v>
      </c>
      <c r="F112" s="103">
        <v>3</v>
      </c>
      <c r="G112" s="103">
        <v>5</v>
      </c>
      <c r="H112" s="103">
        <v>2</v>
      </c>
      <c r="I112" s="103">
        <v>1</v>
      </c>
      <c r="J112" s="104">
        <v>0</v>
      </c>
      <c r="K112" s="105">
        <v>167</v>
      </c>
      <c r="L112" s="105">
        <v>5</v>
      </c>
      <c r="M112" s="105">
        <v>11</v>
      </c>
      <c r="N112" s="105">
        <v>50</v>
      </c>
    </row>
    <row r="113" spans="1:14" ht="15.75" customHeight="1" x14ac:dyDescent="0.2">
      <c r="A113" s="108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</row>
    <row r="114" spans="1:14" ht="4.5" customHeight="1" x14ac:dyDescent="0.2">
      <c r="A114" s="100" t="s">
        <v>600</v>
      </c>
      <c r="B114" s="101" t="s">
        <v>590</v>
      </c>
      <c r="C114" s="102">
        <v>882</v>
      </c>
      <c r="D114" s="103">
        <v>441</v>
      </c>
      <c r="E114" s="103">
        <v>215</v>
      </c>
      <c r="F114" s="103">
        <v>119</v>
      </c>
      <c r="G114" s="103">
        <v>25</v>
      </c>
      <c r="H114" s="103">
        <v>67</v>
      </c>
      <c r="I114" s="103">
        <v>13</v>
      </c>
      <c r="J114" s="103">
        <v>2</v>
      </c>
      <c r="K114" s="105">
        <v>39</v>
      </c>
      <c r="L114" s="105">
        <v>170</v>
      </c>
      <c r="M114" s="105">
        <v>3</v>
      </c>
      <c r="N114" s="105">
        <v>318</v>
      </c>
    </row>
    <row r="115" spans="1:14" ht="15.75" customHeight="1" x14ac:dyDescent="0.2">
      <c r="A115" s="100" t="s">
        <v>600</v>
      </c>
      <c r="B115" s="106" t="s">
        <v>591</v>
      </c>
      <c r="C115" s="102">
        <v>504</v>
      </c>
      <c r="D115" s="103">
        <v>426</v>
      </c>
      <c r="E115" s="103">
        <v>57</v>
      </c>
      <c r="F115" s="103">
        <v>15</v>
      </c>
      <c r="G115" s="104">
        <v>0</v>
      </c>
      <c r="H115" s="103">
        <v>6</v>
      </c>
      <c r="I115" s="104">
        <v>0</v>
      </c>
      <c r="J115" s="104">
        <v>0</v>
      </c>
      <c r="K115" s="105">
        <v>256</v>
      </c>
      <c r="L115" s="105">
        <v>3</v>
      </c>
      <c r="M115" s="105">
        <v>8</v>
      </c>
      <c r="N115" s="105">
        <v>97</v>
      </c>
    </row>
    <row r="116" spans="1:14" ht="15.75" customHeight="1" x14ac:dyDescent="0.2">
      <c r="A116" s="100" t="s">
        <v>600</v>
      </c>
      <c r="B116" s="107" t="s">
        <v>592</v>
      </c>
      <c r="C116" s="102">
        <v>292</v>
      </c>
      <c r="D116" s="103">
        <v>269</v>
      </c>
      <c r="E116" s="103">
        <v>15</v>
      </c>
      <c r="F116" s="103">
        <v>4</v>
      </c>
      <c r="G116" s="103">
        <v>2</v>
      </c>
      <c r="H116" s="103">
        <v>2</v>
      </c>
      <c r="I116" s="104">
        <v>0</v>
      </c>
      <c r="J116" s="104">
        <v>0</v>
      </c>
      <c r="K116" s="105">
        <v>139</v>
      </c>
      <c r="L116" s="105">
        <v>1</v>
      </c>
      <c r="M116" s="105">
        <v>1</v>
      </c>
      <c r="N116" s="105">
        <v>39</v>
      </c>
    </row>
    <row r="117" spans="1:14" ht="15.75" customHeight="1" x14ac:dyDescent="0.2">
      <c r="A117" s="108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</row>
    <row r="118" spans="1:14" ht="4.5" customHeight="1" x14ac:dyDescent="0.2">
      <c r="A118" s="100" t="s">
        <v>601</v>
      </c>
      <c r="B118" s="101" t="s">
        <v>590</v>
      </c>
      <c r="C118" s="102">
        <v>1360</v>
      </c>
      <c r="D118" s="103">
        <v>710</v>
      </c>
      <c r="E118" s="103">
        <v>319</v>
      </c>
      <c r="F118" s="103">
        <v>174</v>
      </c>
      <c r="G118" s="103">
        <v>41</v>
      </c>
      <c r="H118" s="103">
        <v>109</v>
      </c>
      <c r="I118" s="103">
        <v>7</v>
      </c>
      <c r="J118" s="104">
        <v>0</v>
      </c>
      <c r="K118" s="105">
        <v>124</v>
      </c>
      <c r="L118" s="105">
        <v>104</v>
      </c>
      <c r="M118" s="105">
        <v>3</v>
      </c>
      <c r="N118" s="105">
        <v>576</v>
      </c>
    </row>
    <row r="119" spans="1:14" ht="15.75" customHeight="1" x14ac:dyDescent="0.2">
      <c r="A119" s="100" t="s">
        <v>601</v>
      </c>
      <c r="B119" s="106" t="s">
        <v>591</v>
      </c>
      <c r="C119" s="102">
        <v>764</v>
      </c>
      <c r="D119" s="103">
        <v>621</v>
      </c>
      <c r="E119" s="103">
        <v>106</v>
      </c>
      <c r="F119" s="103">
        <v>28</v>
      </c>
      <c r="G119" s="103">
        <v>5</v>
      </c>
      <c r="H119" s="103">
        <v>2</v>
      </c>
      <c r="I119" s="103">
        <v>1</v>
      </c>
      <c r="J119" s="103">
        <v>1</v>
      </c>
      <c r="K119" s="105">
        <v>407</v>
      </c>
      <c r="L119" s="105">
        <v>5</v>
      </c>
      <c r="M119" s="105">
        <v>7</v>
      </c>
      <c r="N119" s="105">
        <v>217</v>
      </c>
    </row>
    <row r="120" spans="1:14" ht="15.75" customHeight="1" x14ac:dyDescent="0.2">
      <c r="A120" s="100" t="s">
        <v>601</v>
      </c>
      <c r="B120" s="107" t="s">
        <v>592</v>
      </c>
      <c r="C120" s="102">
        <v>294</v>
      </c>
      <c r="D120" s="103">
        <v>271</v>
      </c>
      <c r="E120" s="103">
        <v>18</v>
      </c>
      <c r="F120" s="103">
        <v>4</v>
      </c>
      <c r="G120" s="103">
        <v>1</v>
      </c>
      <c r="H120" s="104">
        <v>0</v>
      </c>
      <c r="I120" s="104">
        <v>0</v>
      </c>
      <c r="J120" s="104">
        <v>0</v>
      </c>
      <c r="K120" s="105">
        <v>148</v>
      </c>
      <c r="L120" s="104">
        <v>0</v>
      </c>
      <c r="M120" s="105">
        <v>1</v>
      </c>
      <c r="N120" s="105">
        <v>87</v>
      </c>
    </row>
    <row r="121" spans="1:14" ht="15.75" customHeight="1" x14ac:dyDescent="0.2">
      <c r="A121" s="108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</row>
    <row r="122" spans="1:14" ht="4.5" customHeight="1" x14ac:dyDescent="0.2">
      <c r="A122" s="100" t="s">
        <v>602</v>
      </c>
      <c r="B122" s="101" t="s">
        <v>590</v>
      </c>
      <c r="C122" s="102">
        <v>1379</v>
      </c>
      <c r="D122" s="103">
        <v>681</v>
      </c>
      <c r="E122" s="103">
        <v>368</v>
      </c>
      <c r="F122" s="103">
        <v>166</v>
      </c>
      <c r="G122" s="103">
        <v>54</v>
      </c>
      <c r="H122" s="103">
        <v>91</v>
      </c>
      <c r="I122" s="103">
        <v>17</v>
      </c>
      <c r="J122" s="103">
        <v>2</v>
      </c>
      <c r="K122" s="105">
        <v>67</v>
      </c>
      <c r="L122" s="105">
        <v>370</v>
      </c>
      <c r="M122" s="105">
        <v>12</v>
      </c>
      <c r="N122" s="105">
        <v>539</v>
      </c>
    </row>
    <row r="123" spans="1:14" ht="15.75" customHeight="1" x14ac:dyDescent="0.2">
      <c r="A123" s="100" t="s">
        <v>602</v>
      </c>
      <c r="B123" s="106" t="s">
        <v>591</v>
      </c>
      <c r="C123" s="102">
        <v>689</v>
      </c>
      <c r="D123" s="103">
        <v>575</v>
      </c>
      <c r="E123" s="103">
        <v>83</v>
      </c>
      <c r="F123" s="103">
        <v>25</v>
      </c>
      <c r="G123" s="103">
        <v>2</v>
      </c>
      <c r="H123" s="103">
        <v>1</v>
      </c>
      <c r="I123" s="103">
        <v>2</v>
      </c>
      <c r="J123" s="103">
        <v>1</v>
      </c>
      <c r="K123" s="105">
        <v>332</v>
      </c>
      <c r="L123" s="105">
        <v>8</v>
      </c>
      <c r="M123" s="105">
        <v>20</v>
      </c>
      <c r="N123" s="105">
        <v>165</v>
      </c>
    </row>
    <row r="124" spans="1:14" ht="15.75" customHeight="1" x14ac:dyDescent="0.2">
      <c r="A124" s="100" t="s">
        <v>602</v>
      </c>
      <c r="B124" s="107" t="s">
        <v>592</v>
      </c>
      <c r="C124" s="102">
        <v>333</v>
      </c>
      <c r="D124" s="103">
        <v>301</v>
      </c>
      <c r="E124" s="103">
        <v>23</v>
      </c>
      <c r="F124" s="103">
        <v>7</v>
      </c>
      <c r="G124" s="103">
        <v>1</v>
      </c>
      <c r="H124" s="103">
        <v>1</v>
      </c>
      <c r="I124" s="104">
        <v>0</v>
      </c>
      <c r="J124" s="104">
        <v>0</v>
      </c>
      <c r="K124" s="105">
        <v>192</v>
      </c>
      <c r="L124" s="105">
        <v>4</v>
      </c>
      <c r="M124" s="105">
        <v>7</v>
      </c>
      <c r="N124" s="105">
        <v>62</v>
      </c>
    </row>
    <row r="125" spans="1:14" ht="15.75" customHeight="1" x14ac:dyDescent="0.2">
      <c r="A125" s="108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</row>
    <row r="126" spans="1:14" ht="4.5" customHeight="1" x14ac:dyDescent="0.2">
      <c r="A126" s="100" t="s">
        <v>603</v>
      </c>
      <c r="B126" s="101" t="s">
        <v>590</v>
      </c>
      <c r="C126" s="102">
        <v>1320</v>
      </c>
      <c r="D126" s="103">
        <v>682</v>
      </c>
      <c r="E126" s="103">
        <v>288</v>
      </c>
      <c r="F126" s="103">
        <v>207</v>
      </c>
      <c r="G126" s="103">
        <v>38</v>
      </c>
      <c r="H126" s="103">
        <v>86</v>
      </c>
      <c r="I126" s="103">
        <v>16</v>
      </c>
      <c r="J126" s="103">
        <v>3</v>
      </c>
      <c r="K126" s="105">
        <v>46</v>
      </c>
      <c r="L126" s="105">
        <v>400</v>
      </c>
      <c r="M126" s="105">
        <v>11</v>
      </c>
      <c r="N126" s="105">
        <v>467</v>
      </c>
    </row>
    <row r="127" spans="1:14" ht="15.75" customHeight="1" x14ac:dyDescent="0.2">
      <c r="A127" s="100" t="s">
        <v>603</v>
      </c>
      <c r="B127" s="106" t="s">
        <v>591</v>
      </c>
      <c r="C127" s="102">
        <v>737</v>
      </c>
      <c r="D127" s="103">
        <v>636</v>
      </c>
      <c r="E127" s="103">
        <v>78</v>
      </c>
      <c r="F127" s="103">
        <v>18</v>
      </c>
      <c r="G127" s="103">
        <v>3</v>
      </c>
      <c r="H127" s="103">
        <v>2</v>
      </c>
      <c r="I127" s="104">
        <v>0</v>
      </c>
      <c r="J127" s="104">
        <v>0</v>
      </c>
      <c r="K127" s="105">
        <v>376</v>
      </c>
      <c r="L127" s="105">
        <v>14</v>
      </c>
      <c r="M127" s="105">
        <v>27</v>
      </c>
      <c r="N127" s="105">
        <v>157</v>
      </c>
    </row>
    <row r="128" spans="1:14" ht="15.75" customHeight="1" x14ac:dyDescent="0.2">
      <c r="A128" s="100" t="s">
        <v>603</v>
      </c>
      <c r="B128" s="107" t="s">
        <v>592</v>
      </c>
      <c r="C128" s="102">
        <v>557</v>
      </c>
      <c r="D128" s="103">
        <v>508</v>
      </c>
      <c r="E128" s="103">
        <v>38</v>
      </c>
      <c r="F128" s="103">
        <v>5</v>
      </c>
      <c r="G128" s="103">
        <v>2</v>
      </c>
      <c r="H128" s="103">
        <v>4</v>
      </c>
      <c r="I128" s="104">
        <v>0</v>
      </c>
      <c r="J128" s="104">
        <v>0</v>
      </c>
      <c r="K128" s="105">
        <v>287</v>
      </c>
      <c r="L128" s="105">
        <v>9</v>
      </c>
      <c r="M128" s="105">
        <v>22</v>
      </c>
      <c r="N128" s="105">
        <v>73</v>
      </c>
    </row>
    <row r="129" spans="1:14" ht="15.75" customHeight="1" x14ac:dyDescent="0.2">
      <c r="A129" s="108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</row>
    <row r="130" spans="1:14" ht="4.5" customHeight="1" x14ac:dyDescent="0.2">
      <c r="A130" s="100" t="s">
        <v>604</v>
      </c>
      <c r="B130" s="101" t="s">
        <v>590</v>
      </c>
      <c r="C130" s="102">
        <v>1587</v>
      </c>
      <c r="D130" s="103">
        <v>879</v>
      </c>
      <c r="E130" s="103">
        <v>254</v>
      </c>
      <c r="F130" s="103">
        <v>315</v>
      </c>
      <c r="G130" s="103">
        <v>23</v>
      </c>
      <c r="H130" s="103">
        <v>90</v>
      </c>
      <c r="I130" s="103">
        <v>18</v>
      </c>
      <c r="J130" s="103">
        <v>8</v>
      </c>
      <c r="K130" s="105">
        <v>85</v>
      </c>
      <c r="L130" s="105">
        <v>487</v>
      </c>
      <c r="M130" s="105">
        <v>14</v>
      </c>
      <c r="N130" s="105">
        <v>605</v>
      </c>
    </row>
    <row r="131" spans="1:14" ht="15.75" customHeight="1" x14ac:dyDescent="0.2">
      <c r="A131" s="100" t="s">
        <v>604</v>
      </c>
      <c r="B131" s="106" t="s">
        <v>591</v>
      </c>
      <c r="C131" s="102">
        <v>819</v>
      </c>
      <c r="D131" s="103">
        <v>685</v>
      </c>
      <c r="E131" s="103">
        <v>95</v>
      </c>
      <c r="F131" s="103">
        <v>29</v>
      </c>
      <c r="G131" s="103">
        <v>6</v>
      </c>
      <c r="H131" s="103">
        <v>3</v>
      </c>
      <c r="I131" s="103">
        <v>1</v>
      </c>
      <c r="J131" s="104">
        <v>0</v>
      </c>
      <c r="K131" s="105">
        <v>427</v>
      </c>
      <c r="L131" s="105">
        <v>3</v>
      </c>
      <c r="M131" s="105">
        <v>32</v>
      </c>
      <c r="N131" s="105">
        <v>195</v>
      </c>
    </row>
    <row r="132" spans="1:14" ht="15.75" customHeight="1" x14ac:dyDescent="0.2">
      <c r="A132" s="100" t="s">
        <v>604</v>
      </c>
      <c r="B132" s="107" t="s">
        <v>592</v>
      </c>
      <c r="C132" s="102">
        <v>600</v>
      </c>
      <c r="D132" s="103">
        <v>534</v>
      </c>
      <c r="E132" s="103">
        <v>53</v>
      </c>
      <c r="F132" s="103">
        <v>9</v>
      </c>
      <c r="G132" s="103">
        <v>3</v>
      </c>
      <c r="H132" s="103">
        <v>1</v>
      </c>
      <c r="I132" s="104">
        <v>0</v>
      </c>
      <c r="J132" s="104">
        <v>0</v>
      </c>
      <c r="K132" s="105">
        <v>301</v>
      </c>
      <c r="L132" s="105">
        <v>8</v>
      </c>
      <c r="M132" s="105">
        <v>18</v>
      </c>
      <c r="N132" s="105">
        <v>133</v>
      </c>
    </row>
    <row r="133" spans="1:14" ht="15.75" customHeight="1" x14ac:dyDescent="0.2">
      <c r="A133" s="108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</row>
    <row r="134" spans="1:14" ht="4.5" customHeight="1" x14ac:dyDescent="0.2">
      <c r="A134" s="100" t="s">
        <v>605</v>
      </c>
      <c r="B134" s="101" t="s">
        <v>590</v>
      </c>
      <c r="C134" s="102">
        <v>1183</v>
      </c>
      <c r="D134" s="103">
        <v>561</v>
      </c>
      <c r="E134" s="103">
        <v>209</v>
      </c>
      <c r="F134" s="103">
        <v>255</v>
      </c>
      <c r="G134" s="103">
        <v>27</v>
      </c>
      <c r="H134" s="103">
        <v>111</v>
      </c>
      <c r="I134" s="103">
        <v>16</v>
      </c>
      <c r="J134" s="103">
        <v>4</v>
      </c>
      <c r="K134" s="105">
        <v>86</v>
      </c>
      <c r="L134" s="105">
        <v>379</v>
      </c>
      <c r="M134" s="105">
        <v>16</v>
      </c>
      <c r="N134" s="105">
        <v>545</v>
      </c>
    </row>
    <row r="135" spans="1:14" ht="15.75" customHeight="1" x14ac:dyDescent="0.2">
      <c r="A135" s="100" t="s">
        <v>605</v>
      </c>
      <c r="B135" s="106" t="s">
        <v>591</v>
      </c>
      <c r="C135" s="102">
        <v>1105</v>
      </c>
      <c r="D135" s="103">
        <v>947</v>
      </c>
      <c r="E135" s="103">
        <v>129</v>
      </c>
      <c r="F135" s="103">
        <v>19</v>
      </c>
      <c r="G135" s="103">
        <v>6</v>
      </c>
      <c r="H135" s="103">
        <v>2</v>
      </c>
      <c r="I135" s="103">
        <v>2</v>
      </c>
      <c r="J135" s="104">
        <v>0</v>
      </c>
      <c r="K135" s="105">
        <v>520</v>
      </c>
      <c r="L135" s="105">
        <v>21</v>
      </c>
      <c r="M135" s="105">
        <v>22</v>
      </c>
      <c r="N135" s="105">
        <v>257</v>
      </c>
    </row>
    <row r="136" spans="1:14" ht="15.75" customHeight="1" x14ac:dyDescent="0.2">
      <c r="A136" s="100" t="s">
        <v>605</v>
      </c>
      <c r="B136" s="107" t="s">
        <v>592</v>
      </c>
      <c r="C136" s="102">
        <v>688</v>
      </c>
      <c r="D136" s="103">
        <v>607</v>
      </c>
      <c r="E136" s="103">
        <v>64</v>
      </c>
      <c r="F136" s="103">
        <v>8</v>
      </c>
      <c r="G136" s="103">
        <v>5</v>
      </c>
      <c r="H136" s="103">
        <v>4</v>
      </c>
      <c r="I136" s="104">
        <v>0</v>
      </c>
      <c r="J136" s="104">
        <v>0</v>
      </c>
      <c r="K136" s="105">
        <v>319</v>
      </c>
      <c r="L136" s="105">
        <v>11</v>
      </c>
      <c r="M136" s="105">
        <v>24</v>
      </c>
      <c r="N136" s="105">
        <v>157</v>
      </c>
    </row>
    <row r="137" spans="1:14" ht="15.75" customHeight="1" x14ac:dyDescent="0.2">
      <c r="A137" s="108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</row>
    <row r="138" spans="1:14" ht="4.5" customHeight="1" x14ac:dyDescent="0.2">
      <c r="A138" s="100" t="s">
        <v>606</v>
      </c>
      <c r="B138" s="101" t="s">
        <v>590</v>
      </c>
      <c r="C138" s="102">
        <v>852</v>
      </c>
      <c r="D138" s="103">
        <v>495</v>
      </c>
      <c r="E138" s="103">
        <v>147</v>
      </c>
      <c r="F138" s="103">
        <v>140</v>
      </c>
      <c r="G138" s="103">
        <v>12</v>
      </c>
      <c r="H138" s="103">
        <v>43</v>
      </c>
      <c r="I138" s="103">
        <v>14</v>
      </c>
      <c r="J138" s="103">
        <v>1</v>
      </c>
      <c r="K138" s="105">
        <v>30</v>
      </c>
      <c r="L138" s="105">
        <v>232</v>
      </c>
      <c r="M138" s="105">
        <v>10</v>
      </c>
      <c r="N138" s="105">
        <v>287</v>
      </c>
    </row>
    <row r="139" spans="1:14" ht="15.75" customHeight="1" x14ac:dyDescent="0.2">
      <c r="A139" s="100" t="s">
        <v>606</v>
      </c>
      <c r="B139" s="106" t="s">
        <v>591</v>
      </c>
      <c r="C139" s="102">
        <v>545</v>
      </c>
      <c r="D139" s="103">
        <v>480</v>
      </c>
      <c r="E139" s="103">
        <v>45</v>
      </c>
      <c r="F139" s="103">
        <v>14</v>
      </c>
      <c r="G139" s="103">
        <v>2</v>
      </c>
      <c r="H139" s="103">
        <v>2</v>
      </c>
      <c r="I139" s="103">
        <v>2</v>
      </c>
      <c r="J139" s="104">
        <v>0</v>
      </c>
      <c r="K139" s="105">
        <v>205</v>
      </c>
      <c r="L139" s="105">
        <v>24</v>
      </c>
      <c r="M139" s="105">
        <v>59</v>
      </c>
      <c r="N139" s="105">
        <v>103</v>
      </c>
    </row>
    <row r="140" spans="1:14" ht="15.75" customHeight="1" x14ac:dyDescent="0.2">
      <c r="A140" s="100" t="s">
        <v>606</v>
      </c>
      <c r="B140" s="107" t="s">
        <v>592</v>
      </c>
      <c r="C140" s="102">
        <v>400</v>
      </c>
      <c r="D140" s="103">
        <v>366</v>
      </c>
      <c r="E140" s="103">
        <v>26</v>
      </c>
      <c r="F140" s="103">
        <v>4</v>
      </c>
      <c r="G140" s="103">
        <v>1</v>
      </c>
      <c r="H140" s="103">
        <v>3</v>
      </c>
      <c r="I140" s="104">
        <v>0</v>
      </c>
      <c r="J140" s="104">
        <v>0</v>
      </c>
      <c r="K140" s="105">
        <v>143</v>
      </c>
      <c r="L140" s="105">
        <v>22</v>
      </c>
      <c r="M140" s="105">
        <v>37</v>
      </c>
      <c r="N140" s="105">
        <v>61</v>
      </c>
    </row>
    <row r="141" spans="1:14" ht="15.75" customHeight="1" x14ac:dyDescent="0.2">
      <c r="A141" s="108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</row>
    <row r="142" spans="1:14" ht="4.5" customHeight="1" x14ac:dyDescent="0.2">
      <c r="A142" s="100" t="s">
        <v>607</v>
      </c>
      <c r="B142" s="101" t="s">
        <v>590</v>
      </c>
      <c r="C142" s="102">
        <v>893</v>
      </c>
      <c r="D142" s="103">
        <v>484</v>
      </c>
      <c r="E142" s="103">
        <v>133</v>
      </c>
      <c r="F142" s="103">
        <v>168</v>
      </c>
      <c r="G142" s="103">
        <v>23</v>
      </c>
      <c r="H142" s="103">
        <v>66</v>
      </c>
      <c r="I142" s="103">
        <v>16</v>
      </c>
      <c r="J142" s="103">
        <v>3</v>
      </c>
      <c r="K142" s="105">
        <v>22</v>
      </c>
      <c r="L142" s="105">
        <v>320</v>
      </c>
      <c r="M142" s="105">
        <v>12</v>
      </c>
      <c r="N142" s="105">
        <v>322</v>
      </c>
    </row>
    <row r="143" spans="1:14" ht="15.75" customHeight="1" x14ac:dyDescent="0.2">
      <c r="A143" s="100" t="s">
        <v>607</v>
      </c>
      <c r="B143" s="106" t="s">
        <v>591</v>
      </c>
      <c r="C143" s="102">
        <v>545</v>
      </c>
      <c r="D143" s="103">
        <v>478</v>
      </c>
      <c r="E143" s="103">
        <v>46</v>
      </c>
      <c r="F143" s="103">
        <v>15</v>
      </c>
      <c r="G143" s="103">
        <v>1</v>
      </c>
      <c r="H143" s="103">
        <v>3</v>
      </c>
      <c r="I143" s="104">
        <v>0</v>
      </c>
      <c r="J143" s="103">
        <v>2</v>
      </c>
      <c r="K143" s="105">
        <v>128</v>
      </c>
      <c r="L143" s="105">
        <v>42</v>
      </c>
      <c r="M143" s="105">
        <v>105</v>
      </c>
      <c r="N143" s="105">
        <v>101</v>
      </c>
    </row>
    <row r="144" spans="1:14" ht="15.75" customHeight="1" x14ac:dyDescent="0.2">
      <c r="A144" s="100" t="s">
        <v>607</v>
      </c>
      <c r="B144" s="107" t="s">
        <v>592</v>
      </c>
      <c r="C144" s="102">
        <v>357</v>
      </c>
      <c r="D144" s="103">
        <v>323</v>
      </c>
      <c r="E144" s="103">
        <v>23</v>
      </c>
      <c r="F144" s="103">
        <v>7</v>
      </c>
      <c r="G144" s="103">
        <v>2</v>
      </c>
      <c r="H144" s="103">
        <v>1</v>
      </c>
      <c r="I144" s="104">
        <v>0</v>
      </c>
      <c r="J144" s="103">
        <v>1</v>
      </c>
      <c r="K144" s="105">
        <v>95</v>
      </c>
      <c r="L144" s="105">
        <v>23</v>
      </c>
      <c r="M144" s="105">
        <v>71</v>
      </c>
      <c r="N144" s="105">
        <v>59</v>
      </c>
    </row>
    <row r="145" spans="1:14" ht="15.75" customHeight="1" x14ac:dyDescent="0.2">
      <c r="A145" s="108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</row>
    <row r="146" spans="1:14" ht="4.5" customHeight="1" x14ac:dyDescent="0.2">
      <c r="A146" s="100" t="s">
        <v>608</v>
      </c>
      <c r="B146" s="101" t="s">
        <v>590</v>
      </c>
      <c r="C146" s="102">
        <v>810</v>
      </c>
      <c r="D146" s="103">
        <v>472</v>
      </c>
      <c r="E146" s="103">
        <v>117</v>
      </c>
      <c r="F146" s="103">
        <v>146</v>
      </c>
      <c r="G146" s="103">
        <v>15</v>
      </c>
      <c r="H146" s="103">
        <v>47</v>
      </c>
      <c r="I146" s="103">
        <v>9</v>
      </c>
      <c r="J146" s="103">
        <v>4</v>
      </c>
      <c r="K146" s="105">
        <v>19</v>
      </c>
      <c r="L146" s="105">
        <v>284</v>
      </c>
      <c r="M146" s="105">
        <v>20</v>
      </c>
      <c r="N146" s="105">
        <v>289</v>
      </c>
    </row>
    <row r="147" spans="1:14" ht="15.75" customHeight="1" x14ac:dyDescent="0.2">
      <c r="A147" s="100" t="s">
        <v>608</v>
      </c>
      <c r="B147" s="106" t="s">
        <v>591</v>
      </c>
      <c r="C147" s="102">
        <v>559</v>
      </c>
      <c r="D147" s="103">
        <v>487</v>
      </c>
      <c r="E147" s="103">
        <v>53</v>
      </c>
      <c r="F147" s="103">
        <v>13</v>
      </c>
      <c r="G147" s="103">
        <v>2</v>
      </c>
      <c r="H147" s="103">
        <v>3</v>
      </c>
      <c r="I147" s="103">
        <v>1</v>
      </c>
      <c r="J147" s="104">
        <v>0</v>
      </c>
      <c r="K147" s="105">
        <v>111</v>
      </c>
      <c r="L147" s="105">
        <v>57</v>
      </c>
      <c r="M147" s="105">
        <v>122</v>
      </c>
      <c r="N147" s="105">
        <v>100</v>
      </c>
    </row>
    <row r="148" spans="1:14" ht="15.75" customHeight="1" x14ac:dyDescent="0.2">
      <c r="A148" s="100" t="s">
        <v>608</v>
      </c>
      <c r="B148" s="107" t="s">
        <v>592</v>
      </c>
      <c r="C148" s="102">
        <v>287</v>
      </c>
      <c r="D148" s="103">
        <v>258</v>
      </c>
      <c r="E148" s="103">
        <v>24</v>
      </c>
      <c r="F148" s="103">
        <v>2</v>
      </c>
      <c r="G148" s="103">
        <v>1</v>
      </c>
      <c r="H148" s="103">
        <v>2</v>
      </c>
      <c r="I148" s="104">
        <v>0</v>
      </c>
      <c r="J148" s="104">
        <v>0</v>
      </c>
      <c r="K148" s="105">
        <v>81</v>
      </c>
      <c r="L148" s="105">
        <v>16</v>
      </c>
      <c r="M148" s="105">
        <v>49</v>
      </c>
      <c r="N148" s="105">
        <v>44</v>
      </c>
    </row>
    <row r="149" spans="1:14" ht="15.75" customHeight="1" x14ac:dyDescent="0.2">
      <c r="A149" s="108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</row>
    <row r="150" spans="1:14" ht="4.5" customHeight="1" x14ac:dyDescent="0.2">
      <c r="A150" s="100" t="s">
        <v>534</v>
      </c>
      <c r="B150" s="101" t="s">
        <v>590</v>
      </c>
      <c r="C150" s="102">
        <v>731</v>
      </c>
      <c r="D150" s="103">
        <v>420</v>
      </c>
      <c r="E150" s="103">
        <v>91</v>
      </c>
      <c r="F150" s="103">
        <v>141</v>
      </c>
      <c r="G150" s="103">
        <v>10</v>
      </c>
      <c r="H150" s="103">
        <v>51</v>
      </c>
      <c r="I150" s="103">
        <v>15</v>
      </c>
      <c r="J150" s="103">
        <v>3</v>
      </c>
      <c r="K150" s="105">
        <v>20</v>
      </c>
      <c r="L150" s="105">
        <v>244</v>
      </c>
      <c r="M150" s="105">
        <v>23</v>
      </c>
      <c r="N150" s="105">
        <v>285</v>
      </c>
    </row>
    <row r="151" spans="1:14" ht="13.5" customHeight="1" x14ac:dyDescent="0.2">
      <c r="A151" s="100" t="s">
        <v>534</v>
      </c>
      <c r="B151" s="106" t="s">
        <v>591</v>
      </c>
      <c r="C151" s="102">
        <v>568</v>
      </c>
      <c r="D151" s="103">
        <v>497</v>
      </c>
      <c r="E151" s="103">
        <v>54</v>
      </c>
      <c r="F151" s="103">
        <v>13</v>
      </c>
      <c r="G151" s="103">
        <v>2</v>
      </c>
      <c r="H151" s="103">
        <v>2</v>
      </c>
      <c r="I151" s="104">
        <v>0</v>
      </c>
      <c r="J151" s="104">
        <v>0</v>
      </c>
      <c r="K151" s="105">
        <v>115</v>
      </c>
      <c r="L151" s="105">
        <v>57</v>
      </c>
      <c r="M151" s="105">
        <v>134</v>
      </c>
      <c r="N151" s="105">
        <v>115</v>
      </c>
    </row>
    <row r="152" spans="1:14" ht="13.5" customHeight="1" x14ac:dyDescent="0.2">
      <c r="A152" s="100" t="s">
        <v>534</v>
      </c>
      <c r="B152" s="107" t="s">
        <v>592</v>
      </c>
      <c r="C152" s="102">
        <v>293</v>
      </c>
      <c r="D152" s="103">
        <v>255</v>
      </c>
      <c r="E152" s="103">
        <v>30</v>
      </c>
      <c r="F152" s="103">
        <v>4</v>
      </c>
      <c r="G152" s="104">
        <v>3</v>
      </c>
      <c r="H152" s="103">
        <v>1</v>
      </c>
      <c r="I152" s="104">
        <v>0</v>
      </c>
      <c r="J152" s="104">
        <v>0</v>
      </c>
      <c r="K152" s="105">
        <v>74</v>
      </c>
      <c r="L152" s="105">
        <v>27</v>
      </c>
      <c r="M152" s="105">
        <v>62</v>
      </c>
      <c r="N152" s="105">
        <v>68</v>
      </c>
    </row>
    <row r="153" spans="1:14" ht="13.5" customHeight="1" x14ac:dyDescent="0.2">
      <c r="A153" s="108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</row>
    <row r="154" spans="1:14" ht="13.5" customHeight="1" x14ac:dyDescent="0.2">
      <c r="A154" s="100" t="s">
        <v>609</v>
      </c>
      <c r="B154" s="101" t="s">
        <v>590</v>
      </c>
      <c r="C154" s="102">
        <v>740</v>
      </c>
      <c r="D154" s="103">
        <v>415</v>
      </c>
      <c r="E154" s="103">
        <v>86</v>
      </c>
      <c r="F154" s="103">
        <v>160</v>
      </c>
      <c r="G154" s="103">
        <v>9</v>
      </c>
      <c r="H154" s="103">
        <v>54</v>
      </c>
      <c r="I154" s="103">
        <v>13</v>
      </c>
      <c r="J154" s="103">
        <v>3</v>
      </c>
      <c r="K154" s="105">
        <v>13</v>
      </c>
      <c r="L154" s="105">
        <v>263</v>
      </c>
      <c r="M154" s="105">
        <v>16</v>
      </c>
      <c r="N154" s="105">
        <v>278</v>
      </c>
    </row>
    <row r="155" spans="1:14" ht="13.5" customHeight="1" x14ac:dyDescent="0.2">
      <c r="A155" s="100" t="s">
        <v>609</v>
      </c>
      <c r="B155" s="106" t="s">
        <v>591</v>
      </c>
      <c r="C155" s="102">
        <v>581</v>
      </c>
      <c r="D155" s="103">
        <v>505</v>
      </c>
      <c r="E155" s="103">
        <v>54</v>
      </c>
      <c r="F155" s="103">
        <v>16</v>
      </c>
      <c r="G155" s="103">
        <v>3</v>
      </c>
      <c r="H155" s="103">
        <v>3</v>
      </c>
      <c r="I155" s="104">
        <v>0</v>
      </c>
      <c r="J155" s="104">
        <v>0</v>
      </c>
      <c r="K155" s="105">
        <v>120</v>
      </c>
      <c r="L155" s="105">
        <v>69</v>
      </c>
      <c r="M155" s="105">
        <v>125</v>
      </c>
      <c r="N155" s="105">
        <v>109</v>
      </c>
    </row>
    <row r="156" spans="1:14" ht="13.5" customHeight="1" x14ac:dyDescent="0.2">
      <c r="A156" s="100" t="s">
        <v>609</v>
      </c>
      <c r="B156" s="107" t="s">
        <v>592</v>
      </c>
      <c r="C156" s="102">
        <v>281</v>
      </c>
      <c r="D156" s="103">
        <v>244</v>
      </c>
      <c r="E156" s="103">
        <v>23</v>
      </c>
      <c r="F156" s="103">
        <v>8</v>
      </c>
      <c r="G156" s="104">
        <v>2</v>
      </c>
      <c r="H156" s="103">
        <v>4</v>
      </c>
      <c r="I156" s="104">
        <v>0</v>
      </c>
      <c r="J156" s="104">
        <v>0</v>
      </c>
      <c r="K156" s="105">
        <v>61</v>
      </c>
      <c r="L156" s="105">
        <v>30</v>
      </c>
      <c r="M156" s="105">
        <v>58</v>
      </c>
      <c r="N156" s="105">
        <v>55</v>
      </c>
    </row>
    <row r="157" spans="1:14" x14ac:dyDescent="0.2">
      <c r="A157" t="s">
        <v>24</v>
      </c>
      <c r="B157" t="s">
        <v>590</v>
      </c>
      <c r="C157">
        <v>596</v>
      </c>
      <c r="D157">
        <v>229</v>
      </c>
      <c r="E157">
        <v>74</v>
      </c>
      <c r="F157">
        <v>135</v>
      </c>
      <c r="G157">
        <v>18</v>
      </c>
      <c r="H157">
        <v>67</v>
      </c>
      <c r="I157">
        <v>44</v>
      </c>
      <c r="J157">
        <v>29</v>
      </c>
      <c r="K157">
        <v>15</v>
      </c>
      <c r="L157">
        <v>107</v>
      </c>
      <c r="M157">
        <v>7</v>
      </c>
      <c r="N157">
        <v>72</v>
      </c>
    </row>
    <row r="158" spans="1:14" x14ac:dyDescent="0.2">
      <c r="A158" t="s">
        <v>24</v>
      </c>
      <c r="B158" t="s">
        <v>591</v>
      </c>
      <c r="C158">
        <v>834</v>
      </c>
      <c r="D158">
        <v>620</v>
      </c>
      <c r="E158">
        <v>132</v>
      </c>
      <c r="F158">
        <v>54</v>
      </c>
      <c r="G158">
        <v>7</v>
      </c>
      <c r="H158">
        <v>17</v>
      </c>
      <c r="I158">
        <v>4</v>
      </c>
      <c r="J158">
        <v>0</v>
      </c>
      <c r="K158">
        <v>146</v>
      </c>
      <c r="L158">
        <v>127</v>
      </c>
      <c r="M158">
        <v>104</v>
      </c>
      <c r="N158">
        <v>69</v>
      </c>
    </row>
    <row r="159" spans="1:14" x14ac:dyDescent="0.2">
      <c r="A159" t="s">
        <v>24</v>
      </c>
      <c r="B159" t="s">
        <v>592</v>
      </c>
      <c r="C159">
        <v>443</v>
      </c>
      <c r="D159">
        <v>362</v>
      </c>
      <c r="E159">
        <v>64</v>
      </c>
      <c r="F159">
        <v>8</v>
      </c>
      <c r="G159">
        <v>4</v>
      </c>
      <c r="H159">
        <v>5</v>
      </c>
      <c r="I159">
        <v>0</v>
      </c>
      <c r="J159">
        <v>0</v>
      </c>
      <c r="K159">
        <v>92</v>
      </c>
      <c r="L159">
        <v>36</v>
      </c>
      <c r="M159">
        <v>58</v>
      </c>
      <c r="N159">
        <v>36</v>
      </c>
    </row>
    <row r="161" spans="1:14" x14ac:dyDescent="0.2">
      <c r="A161" s="146" t="s">
        <v>613</v>
      </c>
    </row>
    <row r="162" spans="1:14" x14ac:dyDescent="0.2">
      <c r="A162" s="147" t="s">
        <v>574</v>
      </c>
      <c r="B162" s="147" t="s">
        <v>575</v>
      </c>
      <c r="C162" s="147" t="s">
        <v>576</v>
      </c>
      <c r="D162" s="147" t="s">
        <v>577</v>
      </c>
      <c r="E162" s="147" t="s">
        <v>578</v>
      </c>
      <c r="F162" s="147" t="s">
        <v>579</v>
      </c>
      <c r="G162" s="147" t="s">
        <v>580</v>
      </c>
      <c r="H162" s="147" t="s">
        <v>581</v>
      </c>
      <c r="I162" s="147" t="s">
        <v>582</v>
      </c>
      <c r="J162" s="147" t="s">
        <v>583</v>
      </c>
      <c r="K162" s="147" t="s">
        <v>584</v>
      </c>
      <c r="L162" s="147" t="s">
        <v>585</v>
      </c>
      <c r="M162" s="147" t="s">
        <v>586</v>
      </c>
      <c r="N162" s="147" t="s">
        <v>587</v>
      </c>
    </row>
    <row r="163" spans="1:14" x14ac:dyDescent="0.2">
      <c r="A163" t="s">
        <v>24</v>
      </c>
      <c r="B163" t="s">
        <v>590</v>
      </c>
      <c r="C163">
        <v>234</v>
      </c>
      <c r="D163">
        <v>222</v>
      </c>
      <c r="E163">
        <v>8</v>
      </c>
      <c r="F163">
        <v>1</v>
      </c>
      <c r="G163">
        <v>0</v>
      </c>
      <c r="H163">
        <v>2</v>
      </c>
      <c r="I163">
        <v>1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4" x14ac:dyDescent="0.2">
      <c r="A164" t="s">
        <v>24</v>
      </c>
      <c r="B164" t="s">
        <v>591</v>
      </c>
      <c r="C164">
        <v>39</v>
      </c>
      <c r="D164">
        <v>38</v>
      </c>
      <c r="E164">
        <v>1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</row>
    <row r="165" spans="1:14" x14ac:dyDescent="0.2">
      <c r="A165" t="s">
        <v>24</v>
      </c>
      <c r="B165" t="s">
        <v>592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2026-08-24T05:01:40Z</dcterms:modified>
  <dc:language>en-US</dc:language>
</cp:coreProperties>
</file>