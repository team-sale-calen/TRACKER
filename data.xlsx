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os/Downloads/"/>
    </mc:Choice>
  </mc:AlternateContent>
  <xr:revisionPtr revIDLastSave="0" documentId="13_ncr:1_{BE85971B-2AC6-514E-A01E-E80A56CC3EA5}" xr6:coauthVersionLast="47" xr6:coauthVersionMax="47" xr10:uidLastSave="{00000000-0000-0000-0000-000000000000}"/>
  <bookViews>
    <workbookView xWindow="80" yWindow="660" windowWidth="29320" windowHeight="18460" activeTab="4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M34" i="9"/>
  <c r="Q33" i="9"/>
  <c r="P33" i="9"/>
  <c r="O33" i="9"/>
  <c r="N33" i="9"/>
  <c r="M33" i="9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N30" i="9" s="1"/>
  <c r="Q29" i="9"/>
  <c r="P29" i="9"/>
  <c r="O29" i="9"/>
  <c r="M29" i="9"/>
  <c r="N29" i="9" s="1"/>
  <c r="Q28" i="9"/>
  <c r="P28" i="9"/>
  <c r="O28" i="9"/>
  <c r="M28" i="9"/>
  <c r="N28" i="9" s="1"/>
  <c r="Q27" i="9"/>
  <c r="P27" i="9"/>
  <c r="O27" i="9"/>
  <c r="M27" i="9"/>
  <c r="Q26" i="9"/>
  <c r="P26" i="9"/>
  <c r="O26" i="9"/>
  <c r="M26" i="9"/>
  <c r="N26" i="9" s="1"/>
  <c r="Q25" i="9"/>
  <c r="P25" i="9"/>
  <c r="O25" i="9"/>
  <c r="M25" i="9"/>
  <c r="N25" i="9" s="1"/>
  <c r="Q24" i="9"/>
  <c r="P24" i="9"/>
  <c r="O24" i="9"/>
  <c r="M24" i="9"/>
  <c r="N24" i="9" s="1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M21" i="9"/>
  <c r="N21" i="9" s="1"/>
  <c r="Q20" i="9"/>
  <c r="P20" i="9"/>
  <c r="O20" i="9"/>
  <c r="M20" i="9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Q12" i="9"/>
  <c r="P12" i="9"/>
  <c r="O12" i="9"/>
  <c r="M12" i="9"/>
  <c r="N12" i="9" s="1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M6" i="9"/>
  <c r="J21" i="8"/>
  <c r="G21" i="8"/>
  <c r="F21" i="8"/>
  <c r="E21" i="8"/>
  <c r="D21" i="8"/>
  <c r="C21" i="8"/>
  <c r="J8" i="8"/>
  <c r="H8" i="8"/>
  <c r="G8" i="8"/>
  <c r="F8" i="8"/>
  <c r="E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J5" i="8"/>
  <c r="G5" i="8"/>
  <c r="F5" i="8"/>
  <c r="E5" i="8"/>
  <c r="D5" i="8"/>
  <c r="C5" i="8"/>
  <c r="J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M35" i="7"/>
  <c r="N35" i="7" s="1"/>
  <c r="Q34" i="7"/>
  <c r="P34" i="7"/>
  <c r="O34" i="7"/>
  <c r="M34" i="7"/>
  <c r="N34" i="7" s="1"/>
  <c r="I8" i="8" s="1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M30" i="7"/>
  <c r="N30" i="7" s="1"/>
  <c r="Q29" i="7"/>
  <c r="P29" i="7"/>
  <c r="O29" i="7"/>
  <c r="M29" i="7"/>
  <c r="N29" i="7" s="1"/>
  <c r="Q28" i="7"/>
  <c r="P28" i="7"/>
  <c r="O28" i="7"/>
  <c r="M28" i="7"/>
  <c r="N28" i="7" s="1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N22" i="7" s="1"/>
  <c r="Q21" i="7"/>
  <c r="P21" i="7"/>
  <c r="O21" i="7"/>
  <c r="M21" i="7"/>
  <c r="N21" i="7" s="1"/>
  <c r="Q20" i="7"/>
  <c r="P20" i="7"/>
  <c r="O20" i="7"/>
  <c r="M20" i="7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M14" i="7"/>
  <c r="N14" i="7" s="1"/>
  <c r="Q13" i="7"/>
  <c r="P13" i="7"/>
  <c r="O13" i="7"/>
  <c r="M13" i="7"/>
  <c r="Q12" i="7"/>
  <c r="P12" i="7"/>
  <c r="O12" i="7"/>
  <c r="N12" i="7"/>
  <c r="M12" i="7"/>
  <c r="Q11" i="7"/>
  <c r="P11" i="7"/>
  <c r="O11" i="7"/>
  <c r="M11" i="7"/>
  <c r="N11" i="7" s="1"/>
  <c r="Q10" i="7"/>
  <c r="P10" i="7"/>
  <c r="O10" i="7"/>
  <c r="N10" i="7"/>
  <c r="M10" i="7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N7" i="7" s="1"/>
  <c r="Q6" i="7"/>
  <c r="P6" i="7"/>
  <c r="O6" i="7"/>
  <c r="M6" i="7"/>
  <c r="J21" i="6"/>
  <c r="G21" i="6"/>
  <c r="F21" i="6"/>
  <c r="E21" i="6"/>
  <c r="D21" i="6"/>
  <c r="C21" i="6"/>
  <c r="J8" i="6"/>
  <c r="H8" i="6"/>
  <c r="G8" i="6"/>
  <c r="F8" i="6"/>
  <c r="E8" i="6"/>
  <c r="D8" i="6"/>
  <c r="C8" i="6"/>
  <c r="J7" i="6"/>
  <c r="G7" i="6"/>
  <c r="F7" i="6"/>
  <c r="E7" i="6"/>
  <c r="D7" i="6"/>
  <c r="C7" i="6"/>
  <c r="J6" i="6"/>
  <c r="G6" i="6"/>
  <c r="F6" i="6"/>
  <c r="E6" i="6"/>
  <c r="D6" i="6"/>
  <c r="C6" i="6"/>
  <c r="J5" i="6"/>
  <c r="G5" i="6"/>
  <c r="F5" i="6"/>
  <c r="E5" i="6"/>
  <c r="D5" i="6"/>
  <c r="C5" i="6"/>
  <c r="J4" i="6"/>
  <c r="G4" i="6"/>
  <c r="F4" i="6"/>
  <c r="E4" i="6"/>
  <c r="D4" i="6"/>
  <c r="C4" i="6"/>
  <c r="Q36" i="5"/>
  <c r="P36" i="5"/>
  <c r="O36" i="5"/>
  <c r="M36" i="5"/>
  <c r="N36" i="5" s="1"/>
  <c r="Q35" i="5"/>
  <c r="P35" i="5"/>
  <c r="O35" i="5"/>
  <c r="M35" i="5"/>
  <c r="N35" i="5" s="1"/>
  <c r="Q34" i="5"/>
  <c r="P34" i="5"/>
  <c r="O34" i="5"/>
  <c r="M34" i="5"/>
  <c r="N34" i="5" s="1"/>
  <c r="I8" i="6" s="1"/>
  <c r="Q33" i="5"/>
  <c r="P33" i="5"/>
  <c r="O33" i="5"/>
  <c r="M33" i="5"/>
  <c r="N33" i="5" s="1"/>
  <c r="Q32" i="5"/>
  <c r="P32" i="5"/>
  <c r="O32" i="5"/>
  <c r="M32" i="5"/>
  <c r="N32" i="5" s="1"/>
  <c r="Q31" i="5"/>
  <c r="P31" i="5"/>
  <c r="O31" i="5"/>
  <c r="M31" i="5"/>
  <c r="N31" i="5" s="1"/>
  <c r="Q30" i="5"/>
  <c r="P30" i="5"/>
  <c r="O30" i="5"/>
  <c r="N30" i="5"/>
  <c r="M30" i="5"/>
  <c r="Q29" i="5"/>
  <c r="P29" i="5"/>
  <c r="O29" i="5"/>
  <c r="M29" i="5"/>
  <c r="N29" i="5" s="1"/>
  <c r="Q28" i="5"/>
  <c r="P28" i="5"/>
  <c r="O28" i="5"/>
  <c r="M28" i="5"/>
  <c r="N28" i="5" s="1"/>
  <c r="Q27" i="5"/>
  <c r="P27" i="5"/>
  <c r="O27" i="5"/>
  <c r="M27" i="5"/>
  <c r="Q26" i="5"/>
  <c r="P26" i="5"/>
  <c r="O26" i="5"/>
  <c r="M26" i="5"/>
  <c r="N26" i="5" s="1"/>
  <c r="Q25" i="5"/>
  <c r="P25" i="5"/>
  <c r="O25" i="5"/>
  <c r="M25" i="5"/>
  <c r="N25" i="5" s="1"/>
  <c r="Q24" i="5"/>
  <c r="P24" i="5"/>
  <c r="O24" i="5"/>
  <c r="M24" i="5"/>
  <c r="N24" i="5" s="1"/>
  <c r="Q23" i="5"/>
  <c r="P23" i="5"/>
  <c r="O23" i="5"/>
  <c r="N23" i="5"/>
  <c r="M23" i="5"/>
  <c r="Q22" i="5"/>
  <c r="P22" i="5"/>
  <c r="O22" i="5"/>
  <c r="M22" i="5"/>
  <c r="N22" i="5" s="1"/>
  <c r="Q21" i="5"/>
  <c r="P21" i="5"/>
  <c r="O21" i="5"/>
  <c r="M21" i="5"/>
  <c r="N21" i="5" s="1"/>
  <c r="Q20" i="5"/>
  <c r="P20" i="5"/>
  <c r="O20" i="5"/>
  <c r="M20" i="5"/>
  <c r="Q19" i="5"/>
  <c r="P19" i="5"/>
  <c r="O19" i="5"/>
  <c r="M19" i="5"/>
  <c r="N19" i="5" s="1"/>
  <c r="Q18" i="5"/>
  <c r="P18" i="5"/>
  <c r="O18" i="5"/>
  <c r="M18" i="5"/>
  <c r="N18" i="5" s="1"/>
  <c r="Q17" i="5"/>
  <c r="P17" i="5"/>
  <c r="O17" i="5"/>
  <c r="M17" i="5"/>
  <c r="N17" i="5" s="1"/>
  <c r="Q16" i="5"/>
  <c r="P16" i="5"/>
  <c r="O16" i="5"/>
  <c r="M16" i="5"/>
  <c r="N16" i="5" s="1"/>
  <c r="Q15" i="5"/>
  <c r="P15" i="5"/>
  <c r="O15" i="5"/>
  <c r="M15" i="5"/>
  <c r="N15" i="5" s="1"/>
  <c r="Q14" i="5"/>
  <c r="P14" i="5"/>
  <c r="O14" i="5"/>
  <c r="M14" i="5"/>
  <c r="N14" i="5" s="1"/>
  <c r="Q13" i="5"/>
  <c r="P13" i="5"/>
  <c r="O13" i="5"/>
  <c r="M13" i="5"/>
  <c r="Q12" i="5"/>
  <c r="P12" i="5"/>
  <c r="O12" i="5"/>
  <c r="M12" i="5"/>
  <c r="N12" i="5" s="1"/>
  <c r="Q11" i="5"/>
  <c r="P11" i="5"/>
  <c r="O11" i="5"/>
  <c r="M11" i="5"/>
  <c r="N11" i="5" s="1"/>
  <c r="Q10" i="5"/>
  <c r="P10" i="5"/>
  <c r="O10" i="5"/>
  <c r="M10" i="5"/>
  <c r="N10" i="5" s="1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P23" i="3"/>
  <c r="O23" i="3"/>
  <c r="N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V68" i="2"/>
  <c r="X39" i="2"/>
  <c r="W39" i="2"/>
  <c r="V39" i="2"/>
  <c r="X38" i="2"/>
  <c r="W38" i="2"/>
  <c r="V38" i="2"/>
  <c r="X37" i="2"/>
  <c r="W37" i="2"/>
  <c r="V37" i="2"/>
  <c r="X36" i="2"/>
  <c r="W36" i="2"/>
  <c r="V36" i="2"/>
  <c r="X35" i="2"/>
  <c r="W35" i="2"/>
  <c r="V35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V8" i="2"/>
  <c r="X7" i="2"/>
  <c r="W7" i="2"/>
  <c r="V7" i="2"/>
  <c r="V11" i="2" s="1"/>
  <c r="X6" i="2"/>
  <c r="W6" i="2"/>
  <c r="V6" i="2"/>
  <c r="H8" i="10" l="1"/>
  <c r="N34" i="9"/>
  <c r="I8" i="10" s="1"/>
  <c r="H7" i="10"/>
  <c r="N27" i="9"/>
  <c r="I7" i="10" s="1"/>
  <c r="H6" i="10"/>
  <c r="N20" i="9"/>
  <c r="I6" i="10" s="1"/>
  <c r="H5" i="10"/>
  <c r="N13" i="9"/>
  <c r="I5" i="10" s="1"/>
  <c r="N6" i="9"/>
  <c r="K21" i="10"/>
  <c r="X40" i="2"/>
  <c r="H4" i="10"/>
  <c r="K4" i="10"/>
  <c r="K5" i="10"/>
  <c r="K6" i="10"/>
  <c r="K7" i="10"/>
  <c r="K8" i="10"/>
  <c r="H21" i="10"/>
  <c r="N27" i="7"/>
  <c r="I7" i="8" s="1"/>
  <c r="H7" i="8"/>
  <c r="H6" i="8"/>
  <c r="N20" i="7"/>
  <c r="I6" i="8" s="1"/>
  <c r="H5" i="8"/>
  <c r="N13" i="7"/>
  <c r="I5" i="8" s="1"/>
  <c r="W40" i="2"/>
  <c r="K6" i="8"/>
  <c r="H4" i="8"/>
  <c r="K4" i="8"/>
  <c r="K5" i="8"/>
  <c r="K21" i="8"/>
  <c r="K7" i="8"/>
  <c r="N6" i="7"/>
  <c r="K8" i="8"/>
  <c r="H21" i="8"/>
  <c r="N27" i="5"/>
  <c r="I7" i="6" s="1"/>
  <c r="H7" i="6"/>
  <c r="N20" i="5"/>
  <c r="I6" i="6" s="1"/>
  <c r="H6" i="6"/>
  <c r="H5" i="6"/>
  <c r="N13" i="5"/>
  <c r="I5" i="6" s="1"/>
  <c r="N9" i="5"/>
  <c r="P9" i="5"/>
  <c r="P8" i="5"/>
  <c r="N8" i="5"/>
  <c r="N7" i="5"/>
  <c r="P7" i="5"/>
  <c r="P6" i="5"/>
  <c r="H4" i="6"/>
  <c r="K21" i="6"/>
  <c r="H21" i="6"/>
  <c r="K8" i="6"/>
  <c r="K4" i="6"/>
  <c r="K5" i="6"/>
  <c r="V40" i="2"/>
  <c r="K7" i="6"/>
  <c r="K6" i="6"/>
  <c r="N6" i="5"/>
  <c r="N35" i="3"/>
  <c r="P35" i="3"/>
  <c r="P34" i="3"/>
  <c r="N34" i="3"/>
  <c r="P33" i="3"/>
  <c r="N33" i="3"/>
  <c r="P32" i="3"/>
  <c r="N32" i="3"/>
  <c r="P31" i="3"/>
  <c r="N31" i="3"/>
  <c r="P30" i="3"/>
  <c r="N30" i="3"/>
  <c r="N29" i="3"/>
  <c r="P29" i="3"/>
  <c r="P28" i="3"/>
  <c r="N28" i="3"/>
  <c r="N27" i="3"/>
  <c r="P27" i="3"/>
  <c r="N26" i="3"/>
  <c r="P26" i="3"/>
  <c r="N25" i="3"/>
  <c r="P25" i="3"/>
  <c r="N24" i="3"/>
  <c r="P24" i="3"/>
  <c r="N22" i="3"/>
  <c r="P22" i="3"/>
  <c r="P21" i="3"/>
  <c r="N21" i="3"/>
  <c r="P20" i="3"/>
  <c r="N20" i="3"/>
  <c r="P19" i="3"/>
  <c r="N19" i="3"/>
  <c r="P18" i="3"/>
  <c r="N18" i="3"/>
  <c r="P17" i="3"/>
  <c r="N17" i="3"/>
  <c r="P16" i="3"/>
  <c r="N16" i="3"/>
  <c r="N15" i="3"/>
  <c r="P15" i="3"/>
  <c r="N14" i="3"/>
  <c r="P14" i="3"/>
  <c r="P13" i="3"/>
  <c r="N13" i="3"/>
  <c r="P12" i="3"/>
  <c r="N12" i="3"/>
  <c r="P11" i="3"/>
  <c r="N11" i="3"/>
  <c r="P10" i="3"/>
  <c r="N10" i="3"/>
  <c r="P9" i="3"/>
  <c r="N9" i="3"/>
  <c r="N8" i="3"/>
  <c r="P8" i="3"/>
  <c r="N7" i="3"/>
  <c r="P7" i="3"/>
  <c r="P6" i="3"/>
  <c r="N6" i="3"/>
  <c r="I4" i="10" l="1"/>
  <c r="I21" i="10"/>
  <c r="I4" i="8"/>
  <c r="I21" i="8"/>
  <c r="I4" i="6"/>
  <c r="I21" i="6"/>
</calcChain>
</file>

<file path=xl/sharedStrings.xml><?xml version="1.0" encoding="utf-8"?>
<sst xmlns="http://schemas.openxmlformats.org/spreadsheetml/2006/main" count="1208" uniqueCount="558">
  <si>
    <t>TỔNG HỢP TUẦN  •  THÁNG 6/2026  •  CARASE FB &amp; STORE</t>
  </si>
  <si>
    <t>📊 Số liệu tự kéo từ DAILY — điền DAILY mỗi ngày, tab này tự cập nhật</t>
  </si>
  <si>
    <t>Tuần</t>
  </si>
  <si>
    <t>Ngày</t>
  </si>
  <si>
    <t>DT FB
(đ)</t>
  </si>
  <si>
    <t>Đơn FB</t>
  </si>
  <si>
    <t>AOV FB
(đ/đơn)</t>
  </si>
  <si>
    <t>CP Ads
(đ)</t>
  </si>
  <si>
    <t>ROAS</t>
  </si>
  <si>
    <t>DT Store
(đ)</t>
  </si>
  <si>
    <t>DT Total
(đ)</t>
  </si>
  <si>
    <t>% Target
FB</t>
  </si>
  <si>
    <t>% Target
Store</t>
  </si>
  <si>
    <t>Ghi chú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</si>
  <si>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</si>
  <si>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</si>
  <si>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</si>
  <si>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</si>
  <si>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</si>
  <si>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</si>
  <si>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</si>
  <si>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</si>
  <si>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</si>
  <si>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</si>
  <si>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</si>
  <si>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</si>
  <si>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</si>
  <si>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</si>
  <si>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</si>
  <si>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</si>
  <si>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</si>
  <si>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</si>
  <si>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</si>
  <si>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</si>
  <si>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</si>
  <si>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</si>
  <si>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</si>
  <si>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</si>
  <si>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</si>
  <si>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</si>
  <si>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</si>
  <si>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</si>
  <si>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</si>
  <si>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</si>
  <si>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</si>
  <si>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</si>
  <si>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</si>
  <si>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</si>
  <si>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</si>
  <si>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</si>
  <si>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</si>
  <si>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</si>
  <si>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</si>
  <si>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</si>
  <si>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</si>
  <si>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</si>
  <si>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</si>
  <si>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</si>
  <si>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</si>
  <si>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</si>
  <si>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</si>
  <si>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</si>
  <si>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</si>
  <si>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</si>
  <si>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</si>
  <si>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</si>
  <si>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</si>
  <si>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Doanh thu FB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</si>
  <si>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</si>
  <si>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</si>
  <si>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</si>
  <si>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</si>
  <si>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Đơn hàng FB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</si>
  <si>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</si>
  <si>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</si>
  <si>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</si>
  <si>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</si>
  <si>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AOV FB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</si>
  <si>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</si>
  <si>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</si>
  <si>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</si>
  <si>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</si>
  <si>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CMT + Inbox Vpage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</si>
  <si>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</si>
  <si>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</si>
  <si>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</si>
  <si>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</si>
  <si>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</si>
  <si>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</si>
  <si>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</si>
  <si>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</si>
  <si>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</si>
  <si>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</si>
  <si>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</si>
  <si>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</si>
  <si>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</si>
  <si>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</si>
  <si>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</si>
  <si>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</si>
  <si>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</si>
  <si>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</si>
  <si>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</si>
  <si>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</si>
  <si>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KH mới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</si>
  <si>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</si>
  <si>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</si>
  <si>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</si>
  <si>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</si>
  <si>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</si>
  <si>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</si>
  <si>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</si>
  <si>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</si>
  <si>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</si>
  <si>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</si>
  <si>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</si>
  <si>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</si>
  <si>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</si>
  <si>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</si>
  <si>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</si>
  <si>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</si>
  <si>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</si>
  <si>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</si>
  <si>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</si>
  <si>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</si>
  <si>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</si>
  <si>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</si>
  <si>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</si>
  <si>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</si>
  <si>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</si>
  <si>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</si>
  <si>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</si>
  <si>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</si>
  <si>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</si>
  <si>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% Retention FB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</si>
  <si>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</si>
  <si>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</si>
  <si>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</si>
  <si>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</si>
  <si>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</si>
  <si>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</si>
  <si>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</si>
  <si>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</si>
  <si>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</si>
  <si>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</si>
  <si>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</si>
  <si>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</si>
  <si>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</si>
  <si>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</si>
  <si>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</si>
  <si>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</si>
  <si>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</si>
  <si>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</si>
  <si>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</si>
  <si>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KH FB mua lần 3+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</si>
  <si>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</si>
  <si>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</si>
  <si>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</si>
  <si>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</si>
  <si>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</si>
  <si>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</si>
  <si>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</si>
  <si>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</si>
  <si>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</si>
  <si>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</si>
  <si>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</si>
  <si>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</si>
  <si>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</si>
  <si>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</si>
  <si>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</si>
  <si>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</si>
  <si>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</si>
  <si>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</si>
  <si>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</si>
  <si>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</si>
  <si>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</si>
  <si>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</si>
  <si>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</si>
  <si>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</si>
  <si>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</si>
  <si>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</si>
  <si>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</si>
  <si>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</si>
  <si>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</si>
  <si>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</si>
  <si>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</si>
  <si>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Đơn hàng Store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</si>
  <si>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</si>
  <si>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</si>
  <si>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</si>
  <si>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</si>
  <si>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AOV Store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</si>
  <si>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</si>
  <si>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</si>
  <si>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</si>
  <si>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</si>
  <si>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</si>
  <si>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KH mới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</si>
  <si>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</si>
  <si>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</si>
  <si>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</si>
  <si>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</si>
  <si>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</si>
  <si>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</si>
  <si>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</si>
  <si>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</si>
  <si>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</si>
  <si>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</si>
  <si>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</si>
  <si>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</si>
  <si>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</si>
  <si>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</si>
  <si>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</si>
  <si>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</si>
  <si>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</si>
  <si>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</si>
  <si>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</si>
  <si>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</si>
  <si>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</si>
  <si>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</si>
  <si>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</si>
  <si>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</si>
  <si>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% Retention Store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</si>
  <si>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</si>
  <si>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</si>
  <si>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</si>
  <si>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</si>
  <si>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</si>
  <si>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</si>
  <si>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</si>
  <si>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</si>
  <si>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</si>
  <si>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</si>
  <si>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</si>
  <si>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</si>
  <si>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</si>
  <si>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</si>
  <si>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</si>
  <si>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</si>
  <si>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</si>
  <si>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</si>
  <si>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</si>
  <si>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Store mua lần 3+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</si>
  <si>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</si>
  <si>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</si>
  <si>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</si>
  <si>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</si>
  <si>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</si>
  <si>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</si>
  <si>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</si>
  <si>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</si>
  <si>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</si>
  <si>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</si>
  <si>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</si>
  <si>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</si>
  <si>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</si>
  <si>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</si>
  <si>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</si>
  <si>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</si>
  <si>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</si>
  <si>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</si>
  <si>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</si>
  <si>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</si>
  <si>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</si>
  <si>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</si>
  <si>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DT Tổng (FB + Store)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</si>
  <si>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</si>
  <si>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</si>
  <si>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</si>
  <si>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</si>
  <si>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Số lần mua TB / KH trong tháng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</si>
  <si>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</si>
  <si>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</si>
  <si>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</si>
  <si>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</si>
  <si>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</si>
  <si>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</si>
  <si>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</si>
  <si>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</si>
  <si>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</si>
  <si>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</si>
  <si>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</si>
  <si>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</si>
  <si>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</si>
  <si>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</si>
  <si>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Tần suất mua TB (ngày/lần)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</si>
  <si>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</si>
  <si>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</si>
  <si>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</si>
  <si>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</si>
  <si>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</si>
  <si>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</si>
  <si>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</si>
  <si>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</si>
  <si>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</si>
  <si>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</si>
  <si>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</si>
  <si>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</si>
  <si>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</si>
  <si>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</si>
  <si>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</si>
  <si>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</si>
  <si>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</si>
  <si>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</si>
  <si>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</si>
  <si>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</si>
  <si>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</si>
  <si>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</si>
  <si>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</si>
  <si>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</si>
  <si>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</si>
  <si>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</si>
  <si>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</si>
  <si>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</si>
  <si>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</si>
  <si>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</si>
  <si>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</si>
  <si>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</si>
  <si>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</si>
  <si>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</si>
  <si>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</si>
  <si>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</si>
  <si>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</si>
  <si>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</si>
  <si>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</si>
  <si>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</si>
  <si>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</si>
  <si>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</si>
  <si>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</si>
  <si>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</si>
  <si>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</si>
  <si>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</si>
  <si>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</si>
  <si>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</si>
  <si>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</si>
  <si>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</si>
  <si>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</si>
  <si>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</si>
  <si>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</si>
  <si>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</si>
  <si>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</si>
  <si>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</si>
  <si>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</si>
  <si>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</si>
  <si>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</si>
  <si>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</si>
  <si>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</si>
  <si>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</si>
  <si>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</si>
  <si>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</si>
  <si>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</si>
  <si>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</si>
  <si>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</si>
  <si>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</si>
  <si>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</si>
  <si>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</si>
  <si>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</si>
  <si>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</si>
  <si>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</si>
  <si>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</si>
  <si>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</si>
  <si>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</si>
  <si>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</si>
  <si>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</si>
  <si>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đồng</t>
  </si>
  <si>
    <t>đơn</t>
  </si>
  <si>
    <t>đồng/đơn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</si>
  <si>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</si>
  <si>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</si>
  <si>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</si>
  <si>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</si>
  <si>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</si>
  <si>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</si>
  <si>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</si>
  <si>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</si>
  <si>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</si>
  <si>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</si>
  <si>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</si>
  <si>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</si>
  <si>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</si>
  <si>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</si>
  <si>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</si>
  <si>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</si>
  <si>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</si>
  <si>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</si>
  <si>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</si>
  <si>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</si>
  <si>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</si>
  <si>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</si>
  <si>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</si>
  <si>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</si>
  <si>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</si>
  <si>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</si>
  <si>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</si>
  <si>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 xml:space="preserve">  ↳ AOV lần đầu Store</t>
  </si>
  <si>
    <t>KH cũ Store mua lại (tổng tháng)</t>
  </si>
  <si>
    <t xml:space="preserve">  ↳ AOV KH cũ Store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</si>
  <si>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</si>
  <si>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</si>
  <si>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</si>
  <si>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</si>
  <si>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</si>
  <si>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</si>
  <si>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</si>
  <si>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Win-back pool (im lặng &gt;60 ngày)</t>
  </si>
  <si>
    <t>Win-back thành công tháng này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</si>
  <si>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</si>
  <si>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</si>
  <si>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</si>
  <si>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</si>
  <si>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</si>
  <si>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</si>
  <si>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</si>
  <si>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</si>
  <si>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</si>
  <si>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</si>
  <si>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</si>
  <si>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</si>
  <si>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</si>
  <si>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</si>
  <si>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</si>
  <si>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</si>
  <si>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</si>
  <si>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</si>
  <si>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T</t>
  </si>
  <si>
    <t>CMT+IB
(Vpage)</t>
  </si>
  <si>
    <t>DT NDC
(đ)</t>
  </si>
  <si>
    <t>DT PH
(đ)</t>
  </si>
  <si>
    <t>DT NGT
(đ)</t>
  </si>
  <si>
    <t>Đơn
Store</t>
  </si>
  <si>
    <t>DT O3
(đ)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</si>
  <si>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</si>
  <si>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</si>
  <si>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</si>
  <si>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</si>
  <si>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</si>
  <si>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</si>
  <si>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</si>
  <si>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</si>
  <si>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</si>
  <si>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</si>
  <si>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</si>
  <si>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</si>
  <si>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</si>
  <si>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7/2026  •  CARASE FB &amp; STORE</t>
  </si>
  <si>
    <t>TỔNG HỢP TUẦN  •  THÁNG 7/2026  •  CARASE FB &amp; STORE</t>
  </si>
  <si>
    <t>1/7–7/7</t>
  </si>
  <si>
    <t>8/7–14/7</t>
  </si>
  <si>
    <t>15/7–21/7</t>
  </si>
  <si>
    <t>22/7–28/7</t>
  </si>
  <si>
    <t>29/7–31/7</t>
  </si>
  <si>
    <t>1/7–31/7</t>
  </si>
  <si>
    <t>DAILY INPUT  •  THÁNG 8/2026  •  CARASE FB &amp; STORE</t>
  </si>
  <si>
    <t>TỔNG HỢP TUẦN  •  THÁNG 8/2026  •  CARASE FB &amp; STORE</t>
  </si>
  <si>
    <t>1/8–7/8</t>
  </si>
  <si>
    <t>8/8–14/8</t>
  </si>
  <si>
    <t>15/8–21/8</t>
  </si>
  <si>
    <t>22/8–28/8</t>
  </si>
  <si>
    <t>29/8–31/8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</si>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</sst>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9" x14ac:knownFonts="1"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FFFFFF"/>
      <name val="Arial"/>
      <family val="2"/>
    </font>
    <font>
      <sz val="9"/>
      <color rgb="FFD6E4F0"/>
      <name val="Arial"/>
      <family val="2"/>
    </font>
    <font>
      <b/>
      <sz val="9"/>
      <color rgb="FFFFFFFF"/>
      <name val="Arial"/>
      <family val="2"/>
    </font>
    <font>
      <sz val="9"/>
      <color rgb="FF1A1A1A"/>
      <name val="Arial"/>
      <family val="2"/>
    </font>
    <font>
      <b/>
      <sz val="9"/>
      <color rgb="FF006400"/>
      <name val="Arial"/>
      <family val="2"/>
    </font>
    <font>
      <b/>
      <sz val="10"/>
      <color rgb="FFFFFFFF"/>
      <name val="Arial"/>
      <family val="2"/>
    </font>
    <font>
      <b/>
      <sz val="9"/>
      <color rgb="FF1A1A1A"/>
      <name val="Arial"/>
      <family val="2"/>
    </font>
    <font>
      <sz val="8"/>
      <color rgb="FF595959"/>
      <name val="Arial"/>
      <family val="2"/>
    </font>
    <font>
      <sz val="9"/>
      <color rgb="FF333333"/>
      <name val="Arial"/>
      <family val="2"/>
    </font>
    <font>
      <sz val="9"/>
      <color rgb="FF006400"/>
      <name val="Arial"/>
      <family val="2"/>
    </font>
    <font>
      <sz val="9"/>
      <color rgb="FF888888"/>
      <name val="Arial"/>
      <family val="2"/>
    </font>
    <font>
      <sz val="8"/>
      <color rgb="FFD6E4F0"/>
      <name val="Arial"/>
      <family val="2"/>
    </font>
    <font>
      <b/>
      <sz val="13"/>
      <color rgb="FFFFFFFF"/>
      <name val="Arial"/>
      <family val="2"/>
    </font>
    <font>
      <b/>
      <sz val="8"/>
      <color rgb="FF1A1A1A"/>
      <name val="Arial"/>
      <family val="2"/>
    </font>
    <font>
      <b/>
      <sz val="9"/>
      <color rgb="FFFFEEDD"/>
      <name val="Arial"/>
      <family val="2"/>
    </font>
    <font>
      <b/>
      <sz val="8"/>
      <color rgb="FFFFFFFF"/>
      <name val="Arial"/>
      <family val="2"/>
    </font>
    <font>
      <b/>
      <sz val="8"/>
      <color rgb="FF0000CC"/>
      <name val="Arial"/>
      <family val="2"/>
    </font>
    <font>
      <sz val="10"/>
      <color rgb="FF1A1A1A"/>
      <name val="Arial"/>
      <family val="2"/>
    </font>
    <font>
      <sz val="8"/>
      <color rgb="FF0000CC"/>
      <name val="Arial"/>
      <family val="2"/>
    </font>
    <font>
      <b/>
      <sz val="8"/>
      <color rgb="FF006400"/>
      <name val="Arial"/>
      <family val="2"/>
    </font>
    <font>
      <sz val="8"/>
      <color rgb="FF1A1A1A"/>
      <name val="Arial"/>
      <family val="2"/>
    </font>
    <font>
      <b/>
      <sz val="9"/>
      <color rgb="FFDE5E00"/>
      <name val="Arial"/>
      <family val="2"/>
    </font>
    <font>
      <b/>
      <sz val="8"/>
      <color rgb="FFDE5E00"/>
      <name val="Arial"/>
      <family val="2"/>
    </font>
    <font>
      <sz val="9"/>
      <color rgb="FF7B3200"/>
      <name val="Arial"/>
      <family val="2"/>
    </font>
    <font>
      <sz val="9"/>
      <color rgb="FF1D6A7C"/>
      <name val="Arial"/>
      <family val="2"/>
    </font>
    <font>
      <sz val="9"/>
      <color rgb="FFFFFFFF"/>
      <name val="Arial"/>
      <family val="2"/>
    </font>
    <font>
      <b/>
      <sz val="9"/>
      <color rgb="FF90EE90"/>
      <name val="Arial"/>
      <family val="2"/>
    </font>
    <font>
      <b/>
      <sz val="9"/>
      <color rgb="FF0000CC"/>
      <name val="Arial"/>
      <family val="2"/>
    </font>
    <font>
      <b/>
      <sz val="9"/>
      <color rgb="FF1D6A7C"/>
      <name val="Arial"/>
      <family val="2"/>
    </font>
    <font>
      <b/>
      <sz val="11"/>
      <color rgb="FFFFFFFF"/>
      <name val="Arial"/>
      <family val="2"/>
    </font>
    <font>
      <sz val="9"/>
      <color rgb="FF595959"/>
      <name val="Arial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i/>
      <sz val="8"/>
      <color rgb="FF666666"/>
      <name val="Calibri"/>
      <family val="2"/>
    </font>
    <font>
      <b/>
      <sz val="11"/>
      <color rgb="FFFFFFFF"/>
      <name val="Calibri"/>
      <family val="2"/>
    </font>
    <font>
      <b/>
      <sz val="9"/>
      <color rgb="FF1A237E"/>
      <name val="Calibri"/>
      <family val="2"/>
    </font>
    <font>
      <b/>
      <sz val="9"/>
      <color rgb="FF212121"/>
      <name val="Calibri"/>
      <family val="2"/>
    </font>
    <font>
      <sz val="9"/>
      <color rgb="FF212121"/>
      <name val="Calibri"/>
      <family val="2"/>
    </font>
    <font>
      <sz val="9"/>
      <color rgb="FFBDBDBD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</fonts>
  <fills count="15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9EAD3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4C1A6E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E0B2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1D6A7C"/>
      </patternFill>
    </fill>
    <fill>
      <patternFill patternType="solid">
        <fgColor rgb="FFD0E8EE"/>
      </patternFill>
    </fill>
    <fill>
      <patternFill patternType="solid">
        <fgColor rgb="FF4C1A6E"/>
      </patternFill>
    </fill>
    <fill>
      <patternFill patternType="solid">
        <fgColor rgb="FFEAD1DC"/>
      </patternFill>
    </fill>
    <fill>
      <patternFill patternType="solid">
        <fgColor rgb="FF7B3200"/>
      </patternFill>
    </fill>
    <fill>
      <patternFill patternType="solid">
        <fgColor rgb="FFFCE4D6"/>
      </patternFill>
    </fill>
    <fill>
      <patternFill patternType="solid">
        <fgColor rgb="FF1A237E"/>
        <bgColor rgb="FF1A237E"/>
      </patternFill>
    </fill>
    <fill>
      <patternFill patternType="solid">
        <fgColor rgb="FF1565C0"/>
        <bgColor rgb="FF1565C0"/>
      </patternFill>
    </fill>
    <fill>
      <patternFill patternType="solid">
        <fgColor rgb="FFE0E0E0"/>
        <bgColor rgb="FFE0E0E0"/>
      </patternFill>
    </fill>
    <fill>
      <patternFill patternType="solid">
        <fgColor rgb="FF1976D2"/>
        <bgColor rgb="FF1976D2"/>
      </patternFill>
    </fill>
    <fill>
      <patternFill patternType="solid">
        <fgColor rgb="FF7B1FA2"/>
        <bgColor rgb="FF7B1FA2"/>
      </patternFill>
    </fill>
    <fill>
      <patternFill patternType="solid">
        <fgColor rgb="FF2E7D32"/>
        <bgColor rgb="FF2E7D32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6A1B9A"/>
        <bgColor rgb="FF6A1B9A"/>
      </patternFill>
    </fill>
    <fill>
      <patternFill patternType="solid">
        <fgColor rgb="FFF5F5F5"/>
        <bgColor rgb="FFF5F5F5"/>
      </patternFill>
    </fill>
    <fill>
      <patternFill patternType="solid">
        <fgColor rgb="FF37474F"/>
        <bgColor rgb="FF37474F"/>
      </patternFill>
    </fill>
    <fill>
      <patternFill patternType="solid">
        <fgColor rgb="FFFFF8E1"/>
        <bgColor rgb="FFFFF8E1"/>
      </patternFill>
    </fill>
    <fill>
      <patternFill patternType="solid">
        <fgColor rgb="FFFFFDE7"/>
        <bgColor rgb="FFFFFDE7"/>
      </patternFill>
    </fill>
    <fill>
      <patternFill patternType="solid">
        <fgColor rgb="FF1F3864"/>
        <bgColor indexed="64"/>
      </patternFill>
    </fill>
    <fill>
      <patternFill patternType="solid">
        <fgColor rgb="FF1F3864"/>
      </patternFill>
    </fill>
    <fill>
      <patternFill patternType="solid">
        <fgColor rgb="FFE8EEF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ECFF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9" fontId="41" fillId="0" borderId="0"/>
  </cellStyleXfs>
  <cellXfs count="397">
    <xf numFmtId="0" fontId="0" fillId="0" borderId="0" xfId="0" applyAlignment="1">
      <alignment vertical="center"/>
    </xf>
    <xf numFmtId="0" fontId="1" fillId="0" borderId="2" xfId="0" applyFont="1" applyBorder="1"/>
    <xf numFmtId="0" fontId="4" fillId="2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8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center" vertical="center" wrapText="1"/>
    </xf>
    <xf numFmtId="3" fontId="10" fillId="4" borderId="3" xfId="0" applyNumberFormat="1" applyFont="1" applyFill="1" applyBorder="1" applyAlignment="1">
      <alignment horizontal="right" vertical="center"/>
    </xf>
    <xf numFmtId="3" fontId="11" fillId="6" borderId="3" xfId="0" applyNumberFormat="1" applyFont="1" applyFill="1" applyBorder="1" applyAlignment="1">
      <alignment horizontal="right" vertical="center"/>
    </xf>
    <xf numFmtId="0" fontId="8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3" fontId="5" fillId="7" borderId="3" xfId="0" applyNumberFormat="1" applyFont="1" applyFill="1" applyBorder="1" applyAlignment="1">
      <alignment horizontal="right" vertical="center"/>
    </xf>
    <xf numFmtId="164" fontId="5" fillId="7" borderId="3" xfId="0" applyNumberFormat="1" applyFont="1" applyFill="1" applyBorder="1" applyAlignment="1">
      <alignment horizontal="right" vertical="center"/>
    </xf>
    <xf numFmtId="2" fontId="5" fillId="7" borderId="3" xfId="0" applyNumberFormat="1" applyFont="1" applyFill="1" applyBorder="1" applyAlignment="1">
      <alignment horizontal="right" vertical="center"/>
    </xf>
    <xf numFmtId="0" fontId="12" fillId="4" borderId="3" xfId="0" applyFont="1" applyFill="1" applyBorder="1" applyAlignment="1">
      <alignment horizontal="left" vertical="center" wrapText="1"/>
    </xf>
    <xf numFmtId="164" fontId="10" fillId="4" borderId="3" xfId="0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/>
    </xf>
    <xf numFmtId="0" fontId="1" fillId="8" borderId="3" xfId="0" applyFont="1" applyFill="1" applyBorder="1"/>
    <xf numFmtId="164" fontId="11" fillId="6" borderId="3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1" fillId="9" borderId="3" xfId="0" applyFont="1" applyFill="1" applyBorder="1"/>
    <xf numFmtId="2" fontId="10" fillId="4" borderId="3" xfId="0" applyNumberFormat="1" applyFont="1" applyFill="1" applyBorder="1" applyAlignment="1">
      <alignment horizontal="right" vertical="center"/>
    </xf>
    <xf numFmtId="165" fontId="10" fillId="4" borderId="3" xfId="0" applyNumberFormat="1" applyFont="1" applyFill="1" applyBorder="1" applyAlignment="1">
      <alignment horizontal="right" vertical="center"/>
    </xf>
    <xf numFmtId="165" fontId="5" fillId="7" borderId="3" xfId="0" applyNumberFormat="1" applyFont="1" applyFill="1" applyBorder="1" applyAlignment="1">
      <alignment horizontal="right" vertical="center"/>
    </xf>
    <xf numFmtId="0" fontId="7" fillId="10" borderId="1" xfId="0" applyFont="1" applyFill="1" applyBorder="1" applyAlignment="1">
      <alignment horizontal="left" vertical="center" wrapText="1"/>
    </xf>
    <xf numFmtId="0" fontId="1" fillId="10" borderId="3" xfId="0" applyFont="1" applyFill="1" applyBorder="1"/>
    <xf numFmtId="0" fontId="13" fillId="3" borderId="1" xfId="0" applyFont="1" applyFill="1" applyBorder="1" applyAlignment="1">
      <alignment horizontal="left" vertical="center" wrapText="1"/>
    </xf>
    <xf numFmtId="0" fontId="15" fillId="17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16" fillId="19" borderId="5" xfId="0" applyFont="1" applyFill="1" applyBorder="1" applyAlignment="1">
      <alignment horizontal="center" vertical="center" wrapText="1"/>
    </xf>
    <xf numFmtId="0" fontId="4" fillId="20" borderId="5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21" borderId="5" xfId="0" applyFont="1" applyFill="1" applyBorder="1" applyAlignment="1">
      <alignment horizontal="center" vertical="center" wrapText="1"/>
    </xf>
    <xf numFmtId="0" fontId="4" fillId="22" borderId="5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right" vertical="center" wrapText="1"/>
    </xf>
    <xf numFmtId="0" fontId="19" fillId="13" borderId="5" xfId="0" applyFont="1" applyFill="1" applyBorder="1" applyAlignment="1">
      <alignment horizontal="left" vertical="center" wrapText="1"/>
    </xf>
    <xf numFmtId="3" fontId="20" fillId="16" borderId="5" xfId="0" applyNumberFormat="1" applyFont="1" applyFill="1" applyBorder="1" applyAlignment="1">
      <alignment horizontal="right" vertical="center" wrapText="1"/>
    </xf>
    <xf numFmtId="3" fontId="21" fillId="18" borderId="5" xfId="0" applyNumberFormat="1" applyFont="1" applyFill="1" applyBorder="1" applyAlignment="1">
      <alignment horizontal="right" vertical="center" wrapText="1"/>
    </xf>
    <xf numFmtId="3" fontId="18" fillId="18" borderId="5" xfId="0" applyNumberFormat="1" applyFont="1" applyFill="1" applyBorder="1" applyAlignment="1">
      <alignment horizontal="right" vertical="center" wrapText="1"/>
    </xf>
    <xf numFmtId="0" fontId="19" fillId="18" borderId="5" xfId="0" applyFont="1" applyFill="1" applyBorder="1" applyAlignment="1">
      <alignment horizontal="left" vertical="center" wrapText="1"/>
    </xf>
    <xf numFmtId="166" fontId="5" fillId="13" borderId="5" xfId="0" applyNumberFormat="1" applyFont="1" applyFill="1" applyBorder="1" applyAlignment="1">
      <alignment horizontal="center" vertical="center"/>
    </xf>
    <xf numFmtId="0" fontId="22" fillId="13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right" vertical="center"/>
    </xf>
    <xf numFmtId="0" fontId="9" fillId="0" borderId="5" xfId="0" applyFont="1" applyBorder="1" applyAlignment="1">
      <alignment horizontal="left" vertical="center"/>
    </xf>
    <xf numFmtId="3" fontId="11" fillId="18" borderId="5" xfId="0" applyNumberFormat="1" applyFont="1" applyFill="1" applyBorder="1" applyAlignment="1">
      <alignment horizontal="right" vertical="center"/>
    </xf>
    <xf numFmtId="164" fontId="11" fillId="18" borderId="5" xfId="0" applyNumberFormat="1" applyFont="1" applyFill="1" applyBorder="1" applyAlignment="1">
      <alignment horizontal="right" vertical="center"/>
    </xf>
    <xf numFmtId="166" fontId="23" fillId="24" borderId="5" xfId="0" applyNumberFormat="1" applyFont="1" applyFill="1" applyBorder="1" applyAlignment="1">
      <alignment horizontal="center" vertical="center"/>
    </xf>
    <xf numFmtId="0" fontId="24" fillId="24" borderId="5" xfId="0" applyFont="1" applyFill="1" applyBorder="1" applyAlignment="1">
      <alignment horizontal="center" vertical="center"/>
    </xf>
    <xf numFmtId="0" fontId="4" fillId="25" borderId="6" xfId="0" applyFont="1" applyFill="1" applyBorder="1" applyAlignment="1">
      <alignment horizontal="center" vertical="center" wrapText="1"/>
    </xf>
    <xf numFmtId="0" fontId="16" fillId="27" borderId="6" xfId="0" applyFont="1" applyFill="1" applyBorder="1" applyAlignment="1">
      <alignment horizontal="center" vertical="center" wrapText="1"/>
    </xf>
    <xf numFmtId="0" fontId="4" fillId="28" borderId="6" xfId="0" applyFont="1" applyFill="1" applyBorder="1" applyAlignment="1">
      <alignment horizontal="center" vertical="center" wrapText="1"/>
    </xf>
    <xf numFmtId="0" fontId="4" fillId="29" borderId="6" xfId="0" applyFont="1" applyFill="1" applyBorder="1" applyAlignment="1">
      <alignment horizontal="center" vertical="center" wrapText="1"/>
    </xf>
    <xf numFmtId="0" fontId="4" fillId="30" borderId="6" xfId="0" applyFont="1" applyFill="1" applyBorder="1" applyAlignment="1">
      <alignment horizontal="center" vertical="center" wrapText="1"/>
    </xf>
    <xf numFmtId="0" fontId="8" fillId="31" borderId="6" xfId="0" applyFont="1" applyFill="1" applyBorder="1" applyAlignment="1">
      <alignment horizontal="center" vertical="center" wrapText="1"/>
    </xf>
    <xf numFmtId="0" fontId="9" fillId="31" borderId="6" xfId="0" applyFont="1" applyFill="1" applyBorder="1" applyAlignment="1">
      <alignment horizontal="center" vertical="center" wrapText="1"/>
    </xf>
    <xf numFmtId="3" fontId="11" fillId="32" borderId="6" xfId="0" applyNumberFormat="1" applyFont="1" applyFill="1" applyBorder="1" applyAlignment="1">
      <alignment horizontal="right" vertical="center" wrapText="1"/>
    </xf>
    <xf numFmtId="3" fontId="25" fillId="33" borderId="6" xfId="0" applyNumberFormat="1" applyFont="1" applyFill="1" applyBorder="1" applyAlignment="1">
      <alignment horizontal="right" vertical="center" wrapText="1"/>
    </xf>
    <xf numFmtId="167" fontId="25" fillId="33" borderId="6" xfId="0" applyNumberFormat="1" applyFont="1" applyFill="1" applyBorder="1" applyAlignment="1">
      <alignment horizontal="right" vertical="center" wrapText="1"/>
    </xf>
    <xf numFmtId="3" fontId="26" fillId="34" borderId="6" xfId="0" applyNumberFormat="1" applyFont="1" applyFill="1" applyBorder="1" applyAlignment="1">
      <alignment horizontal="right" vertical="center" wrapText="1"/>
    </xf>
    <xf numFmtId="3" fontId="11" fillId="35" borderId="6" xfId="0" applyNumberFormat="1" applyFont="1" applyFill="1" applyBorder="1" applyAlignment="1">
      <alignment horizontal="right" vertical="center" wrapText="1"/>
    </xf>
    <xf numFmtId="164" fontId="11" fillId="35" borderId="6" xfId="0" applyNumberFormat="1" applyFont="1" applyFill="1" applyBorder="1" applyAlignment="1">
      <alignment horizontal="right" vertical="center" wrapText="1"/>
    </xf>
    <xf numFmtId="0" fontId="19" fillId="0" borderId="6" xfId="0" applyFont="1" applyBorder="1" applyAlignment="1">
      <alignment horizontal="left" vertical="center" wrapText="1"/>
    </xf>
    <xf numFmtId="0" fontId="8" fillId="34" borderId="6" xfId="0" applyFont="1" applyFill="1" applyBorder="1" applyAlignment="1">
      <alignment horizontal="center" vertical="center" wrapText="1"/>
    </xf>
    <xf numFmtId="0" fontId="9" fillId="34" borderId="6" xfId="0" applyFont="1" applyFill="1" applyBorder="1" applyAlignment="1">
      <alignment horizontal="center" vertical="center" wrapText="1"/>
    </xf>
    <xf numFmtId="0" fontId="8" fillId="35" borderId="6" xfId="0" applyFont="1" applyFill="1" applyBorder="1" applyAlignment="1">
      <alignment horizontal="center" vertical="center" wrapText="1"/>
    </xf>
    <xf numFmtId="0" fontId="9" fillId="35" borderId="6" xfId="0" applyFont="1" applyFill="1" applyBorder="1" applyAlignment="1">
      <alignment horizontal="center" vertical="center" wrapText="1"/>
    </xf>
    <xf numFmtId="0" fontId="8" fillId="36" borderId="6" xfId="0" applyFont="1" applyFill="1" applyBorder="1" applyAlignment="1">
      <alignment horizontal="center" vertical="center" wrapText="1"/>
    </xf>
    <xf numFmtId="0" fontId="9" fillId="36" borderId="6" xfId="0" applyFont="1" applyFill="1" applyBorder="1" applyAlignment="1">
      <alignment horizontal="center" vertical="center" wrapText="1"/>
    </xf>
    <xf numFmtId="0" fontId="8" fillId="37" borderId="6" xfId="0" applyFont="1" applyFill="1" applyBorder="1" applyAlignment="1">
      <alignment horizontal="center" vertical="center" wrapText="1"/>
    </xf>
    <xf numFmtId="0" fontId="9" fillId="37" borderId="6" xfId="0" applyFont="1" applyFill="1" applyBorder="1" applyAlignment="1">
      <alignment horizontal="center" vertical="center" wrapText="1"/>
    </xf>
    <xf numFmtId="0" fontId="19" fillId="25" borderId="6" xfId="0" applyFont="1" applyFill="1" applyBorder="1" applyAlignment="1">
      <alignment horizontal="left" vertical="center" wrapText="1"/>
    </xf>
    <xf numFmtId="0" fontId="7" fillId="25" borderId="6" xfId="0" applyFont="1" applyFill="1" applyBorder="1" applyAlignment="1">
      <alignment horizontal="center" vertical="center" wrapText="1"/>
    </xf>
    <xf numFmtId="0" fontId="27" fillId="25" borderId="6" xfId="0" applyFont="1" applyFill="1" applyBorder="1" applyAlignment="1">
      <alignment horizontal="center" vertical="center" wrapText="1"/>
    </xf>
    <xf numFmtId="3" fontId="4" fillId="25" borderId="6" xfId="0" applyNumberFormat="1" applyFont="1" applyFill="1" applyBorder="1" applyAlignment="1">
      <alignment horizontal="right" vertical="center" wrapText="1"/>
    </xf>
    <xf numFmtId="167" fontId="4" fillId="25" borderId="6" xfId="0" applyNumberFormat="1" applyFont="1" applyFill="1" applyBorder="1" applyAlignment="1">
      <alignment horizontal="right" vertical="center" wrapText="1"/>
    </xf>
    <xf numFmtId="164" fontId="28" fillId="25" borderId="6" xfId="0" applyNumberFormat="1" applyFont="1" applyFill="1" applyBorder="1" applyAlignment="1">
      <alignment horizontal="right" vertical="center" wrapText="1"/>
    </xf>
    <xf numFmtId="3" fontId="29" fillId="31" borderId="6" xfId="0" applyNumberFormat="1" applyFont="1" applyFill="1" applyBorder="1" applyAlignment="1">
      <alignment horizontal="right" vertical="center" wrapText="1"/>
    </xf>
    <xf numFmtId="0" fontId="19" fillId="38" borderId="6" xfId="0" applyFont="1" applyFill="1" applyBorder="1" applyAlignment="1">
      <alignment horizontal="left" vertical="center" wrapText="1"/>
    </xf>
    <xf numFmtId="3" fontId="30" fillId="34" borderId="6" xfId="0" applyNumberFormat="1" applyFont="1" applyFill="1" applyBorder="1" applyAlignment="1">
      <alignment horizontal="right" vertical="center" wrapText="1"/>
    </xf>
    <xf numFmtId="3" fontId="6" fillId="35" borderId="6" xfId="0" applyNumberFormat="1" applyFont="1" applyFill="1" applyBorder="1" applyAlignment="1">
      <alignment horizontal="right" vertical="center" wrapText="1"/>
    </xf>
    <xf numFmtId="0" fontId="15" fillId="45" borderId="7" xfId="0" applyFont="1" applyFill="1" applyBorder="1" applyAlignment="1">
      <alignment horizontal="center" vertical="center"/>
    </xf>
    <xf numFmtId="0" fontId="15" fillId="41" borderId="7" xfId="0" applyFont="1" applyFill="1" applyBorder="1" applyAlignment="1">
      <alignment horizontal="center" vertical="center"/>
    </xf>
    <xf numFmtId="0" fontId="15" fillId="46" borderId="7" xfId="0" applyFont="1" applyFill="1" applyBorder="1" applyAlignment="1">
      <alignment horizontal="center" vertical="center"/>
    </xf>
    <xf numFmtId="0" fontId="4" fillId="40" borderId="7" xfId="0" applyFont="1" applyFill="1" applyBorder="1" applyAlignment="1">
      <alignment horizontal="center" vertical="center" wrapText="1"/>
    </xf>
    <xf numFmtId="0" fontId="4" fillId="39" borderId="7" xfId="0" applyFont="1" applyFill="1" applyBorder="1" applyAlignment="1">
      <alignment horizontal="center" vertical="center" wrapText="1"/>
    </xf>
    <xf numFmtId="0" fontId="16" fillId="47" borderId="7" xfId="0" applyFont="1" applyFill="1" applyBorder="1" applyAlignment="1">
      <alignment horizontal="center" vertical="center" wrapText="1"/>
    </xf>
    <xf numFmtId="0" fontId="4" fillId="48" borderId="7" xfId="0" applyFont="1" applyFill="1" applyBorder="1" applyAlignment="1">
      <alignment horizontal="center" vertical="center" wrapText="1"/>
    </xf>
    <xf numFmtId="0" fontId="4" fillId="47" borderId="7" xfId="0" applyFont="1" applyFill="1" applyBorder="1" applyAlignment="1">
      <alignment horizontal="center" vertical="center" wrapText="1"/>
    </xf>
    <xf numFmtId="0" fontId="4" fillId="49" borderId="7" xfId="0" applyFont="1" applyFill="1" applyBorder="1" applyAlignment="1">
      <alignment horizontal="center" vertical="center" wrapText="1"/>
    </xf>
    <xf numFmtId="0" fontId="4" fillId="50" borderId="7" xfId="0" applyFont="1" applyFill="1" applyBorder="1" applyAlignment="1">
      <alignment horizontal="center" vertical="center" wrapText="1"/>
    </xf>
    <xf numFmtId="3" fontId="18" fillId="42" borderId="7" xfId="0" applyNumberFormat="1" applyFont="1" applyFill="1" applyBorder="1" applyAlignment="1">
      <alignment horizontal="right" vertical="center" wrapText="1"/>
    </xf>
    <xf numFmtId="0" fontId="19" fillId="41" borderId="7" xfId="0" applyFont="1" applyFill="1" applyBorder="1" applyAlignment="1">
      <alignment horizontal="left" vertical="center" wrapText="1"/>
    </xf>
    <xf numFmtId="3" fontId="20" fillId="44" borderId="7" xfId="0" applyNumberFormat="1" applyFont="1" applyFill="1" applyBorder="1" applyAlignment="1">
      <alignment horizontal="right" vertical="center" wrapText="1"/>
    </xf>
    <xf numFmtId="3" fontId="21" fillId="46" borderId="7" xfId="0" applyNumberFormat="1" applyFont="1" applyFill="1" applyBorder="1" applyAlignment="1">
      <alignment horizontal="right" vertical="center" wrapText="1"/>
    </xf>
    <xf numFmtId="3" fontId="18" fillId="46" borderId="7" xfId="0" applyNumberFormat="1" applyFont="1" applyFill="1" applyBorder="1" applyAlignment="1">
      <alignment horizontal="right" vertical="center" wrapText="1"/>
    </xf>
    <xf numFmtId="0" fontId="19" fillId="46" borderId="7" xfId="0" applyFont="1" applyFill="1" applyBorder="1" applyAlignment="1">
      <alignment horizontal="left" vertical="center" wrapText="1"/>
    </xf>
    <xf numFmtId="166" fontId="5" fillId="41" borderId="7" xfId="0" applyNumberFormat="1" applyFont="1" applyFill="1" applyBorder="1" applyAlignment="1">
      <alignment horizontal="center" vertical="center"/>
    </xf>
    <xf numFmtId="0" fontId="22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3" fontId="11" fillId="46" borderId="7" xfId="0" applyNumberFormat="1" applyFont="1" applyFill="1" applyBorder="1" applyAlignment="1">
      <alignment horizontal="right" vertical="center"/>
    </xf>
    <xf numFmtId="164" fontId="11" fillId="46" borderId="7" xfId="0" applyNumberFormat="1" applyFont="1" applyFill="1" applyBorder="1" applyAlignment="1">
      <alignment horizontal="right" vertical="center"/>
    </xf>
    <xf numFmtId="166" fontId="23" fillId="52" borderId="7" xfId="0" applyNumberFormat="1" applyFont="1" applyFill="1" applyBorder="1" applyAlignment="1">
      <alignment horizontal="center" vertical="center"/>
    </xf>
    <xf numFmtId="0" fontId="24" fillId="52" borderId="7" xfId="0" applyFont="1" applyFill="1" applyBorder="1" applyAlignment="1">
      <alignment horizontal="center" vertical="center"/>
    </xf>
    <xf numFmtId="0" fontId="4" fillId="53" borderId="8" xfId="0" applyFont="1" applyFill="1" applyBorder="1" applyAlignment="1">
      <alignment horizontal="center" vertical="center" wrapText="1"/>
    </xf>
    <xf numFmtId="0" fontId="16" fillId="55" borderId="8" xfId="0" applyFont="1" applyFill="1" applyBorder="1" applyAlignment="1">
      <alignment horizontal="center" vertical="center" wrapText="1"/>
    </xf>
    <xf numFmtId="0" fontId="4" fillId="56" borderId="8" xfId="0" applyFont="1" applyFill="1" applyBorder="1" applyAlignment="1">
      <alignment horizontal="center" vertical="center" wrapText="1"/>
    </xf>
    <xf numFmtId="0" fontId="4" fillId="57" borderId="8" xfId="0" applyFont="1" applyFill="1" applyBorder="1" applyAlignment="1">
      <alignment horizontal="center" vertical="center" wrapText="1"/>
    </xf>
    <xf numFmtId="0" fontId="4" fillId="58" borderId="8" xfId="0" applyFont="1" applyFill="1" applyBorder="1" applyAlignment="1">
      <alignment horizontal="center" vertical="center" wrapText="1"/>
    </xf>
    <xf numFmtId="0" fontId="8" fillId="59" borderId="8" xfId="0" applyFont="1" applyFill="1" applyBorder="1" applyAlignment="1">
      <alignment horizontal="center" vertical="center" wrapText="1"/>
    </xf>
    <xf numFmtId="0" fontId="9" fillId="59" borderId="8" xfId="0" applyFont="1" applyFill="1" applyBorder="1" applyAlignment="1">
      <alignment horizontal="center" vertical="center" wrapText="1"/>
    </xf>
    <xf numFmtId="3" fontId="11" fillId="60" borderId="8" xfId="0" applyNumberFormat="1" applyFont="1" applyFill="1" applyBorder="1" applyAlignment="1">
      <alignment horizontal="right" vertical="center" wrapText="1"/>
    </xf>
    <xf numFmtId="3" fontId="25" fillId="61" borderId="8" xfId="0" applyNumberFormat="1" applyFont="1" applyFill="1" applyBorder="1" applyAlignment="1">
      <alignment horizontal="right" vertical="center" wrapText="1"/>
    </xf>
    <xf numFmtId="167" fontId="25" fillId="61" borderId="8" xfId="0" applyNumberFormat="1" applyFont="1" applyFill="1" applyBorder="1" applyAlignment="1">
      <alignment horizontal="right" vertical="center" wrapText="1"/>
    </xf>
    <xf numFmtId="3" fontId="26" fillId="62" borderId="8" xfId="0" applyNumberFormat="1" applyFont="1" applyFill="1" applyBorder="1" applyAlignment="1">
      <alignment horizontal="right" vertical="center" wrapText="1"/>
    </xf>
    <xf numFmtId="3" fontId="11" fillId="63" borderId="8" xfId="0" applyNumberFormat="1" applyFont="1" applyFill="1" applyBorder="1" applyAlignment="1">
      <alignment horizontal="right" vertical="center" wrapText="1"/>
    </xf>
    <xf numFmtId="164" fontId="11" fillId="63" borderId="8" xfId="0" applyNumberFormat="1" applyFont="1" applyFill="1" applyBorder="1" applyAlignment="1">
      <alignment horizontal="right" vertical="center" wrapText="1"/>
    </xf>
    <xf numFmtId="0" fontId="19" fillId="0" borderId="8" xfId="0" applyFont="1" applyBorder="1" applyAlignment="1">
      <alignment horizontal="left" vertical="center" wrapText="1"/>
    </xf>
    <xf numFmtId="0" fontId="8" fillId="62" borderId="8" xfId="0" applyFont="1" applyFill="1" applyBorder="1" applyAlignment="1">
      <alignment horizontal="center" vertical="center" wrapText="1"/>
    </xf>
    <xf numFmtId="0" fontId="9" fillId="62" borderId="8" xfId="0" applyFont="1" applyFill="1" applyBorder="1" applyAlignment="1">
      <alignment horizontal="center" vertical="center" wrapText="1"/>
    </xf>
    <xf numFmtId="0" fontId="8" fillId="63" borderId="8" xfId="0" applyFont="1" applyFill="1" applyBorder="1" applyAlignment="1">
      <alignment horizontal="center" vertical="center" wrapText="1"/>
    </xf>
    <xf numFmtId="0" fontId="9" fillId="63" borderId="8" xfId="0" applyFont="1" applyFill="1" applyBorder="1" applyAlignment="1">
      <alignment horizontal="center" vertical="center" wrapText="1"/>
    </xf>
    <xf numFmtId="0" fontId="8" fillId="64" borderId="8" xfId="0" applyFont="1" applyFill="1" applyBorder="1" applyAlignment="1">
      <alignment horizontal="center" vertical="center" wrapText="1"/>
    </xf>
    <xf numFmtId="0" fontId="9" fillId="64" borderId="8" xfId="0" applyFont="1" applyFill="1" applyBorder="1" applyAlignment="1">
      <alignment horizontal="center" vertical="center" wrapText="1"/>
    </xf>
    <xf numFmtId="0" fontId="8" fillId="65" borderId="8" xfId="0" applyFont="1" applyFill="1" applyBorder="1" applyAlignment="1">
      <alignment horizontal="center" vertical="center" wrapText="1"/>
    </xf>
    <xf numFmtId="0" fontId="9" fillId="65" borderId="8" xfId="0" applyFont="1" applyFill="1" applyBorder="1" applyAlignment="1">
      <alignment horizontal="center" vertical="center" wrapText="1"/>
    </xf>
    <xf numFmtId="0" fontId="19" fillId="53" borderId="8" xfId="0" applyFont="1" applyFill="1" applyBorder="1" applyAlignment="1">
      <alignment horizontal="left" vertical="center" wrapText="1"/>
    </xf>
    <xf numFmtId="0" fontId="7" fillId="53" borderId="8" xfId="0" applyFont="1" applyFill="1" applyBorder="1" applyAlignment="1">
      <alignment horizontal="center" vertical="center" wrapText="1"/>
    </xf>
    <xf numFmtId="0" fontId="27" fillId="53" borderId="8" xfId="0" applyFont="1" applyFill="1" applyBorder="1" applyAlignment="1">
      <alignment horizontal="center" vertical="center" wrapText="1"/>
    </xf>
    <xf numFmtId="3" fontId="4" fillId="53" borderId="8" xfId="0" applyNumberFormat="1" applyFont="1" applyFill="1" applyBorder="1" applyAlignment="1">
      <alignment horizontal="right" vertical="center" wrapText="1"/>
    </xf>
    <xf numFmtId="167" fontId="4" fillId="53" borderId="8" xfId="0" applyNumberFormat="1" applyFont="1" applyFill="1" applyBorder="1" applyAlignment="1">
      <alignment horizontal="right" vertical="center" wrapText="1"/>
    </xf>
    <xf numFmtId="164" fontId="28" fillId="53" borderId="8" xfId="0" applyNumberFormat="1" applyFont="1" applyFill="1" applyBorder="1" applyAlignment="1">
      <alignment horizontal="right" vertical="center" wrapText="1"/>
    </xf>
    <xf numFmtId="3" fontId="29" fillId="59" borderId="8" xfId="0" applyNumberFormat="1" applyFont="1" applyFill="1" applyBorder="1" applyAlignment="1">
      <alignment horizontal="right" vertical="center" wrapText="1"/>
    </xf>
    <xf numFmtId="0" fontId="19" fillId="66" borderId="8" xfId="0" applyFont="1" applyFill="1" applyBorder="1" applyAlignment="1">
      <alignment horizontal="left" vertical="center" wrapText="1"/>
    </xf>
    <xf numFmtId="3" fontId="30" fillId="62" borderId="8" xfId="0" applyNumberFormat="1" applyFont="1" applyFill="1" applyBorder="1" applyAlignment="1">
      <alignment horizontal="right" vertical="center" wrapText="1"/>
    </xf>
    <xf numFmtId="3" fontId="6" fillId="63" borderId="8" xfId="0" applyNumberFormat="1" applyFont="1" applyFill="1" applyBorder="1" applyAlignment="1">
      <alignment horizontal="right" vertical="center" wrapText="1"/>
    </xf>
    <xf numFmtId="0" fontId="15" fillId="73" borderId="9" xfId="0" applyFont="1" applyFill="1" applyBorder="1" applyAlignment="1">
      <alignment horizontal="center" vertical="center"/>
    </xf>
    <xf numFmtId="0" fontId="15" fillId="69" borderId="9" xfId="0" applyFont="1" applyFill="1" applyBorder="1" applyAlignment="1">
      <alignment horizontal="center" vertical="center"/>
    </xf>
    <xf numFmtId="0" fontId="15" fillId="74" borderId="9" xfId="0" applyFont="1" applyFill="1" applyBorder="1" applyAlignment="1">
      <alignment horizontal="center" vertical="center"/>
    </xf>
    <xf numFmtId="0" fontId="4" fillId="68" borderId="9" xfId="0" applyFont="1" applyFill="1" applyBorder="1" applyAlignment="1">
      <alignment horizontal="center" vertical="center" wrapText="1"/>
    </xf>
    <xf numFmtId="0" fontId="4" fillId="67" borderId="9" xfId="0" applyFont="1" applyFill="1" applyBorder="1" applyAlignment="1">
      <alignment horizontal="center" vertical="center" wrapText="1"/>
    </xf>
    <xf numFmtId="0" fontId="16" fillId="75" borderId="9" xfId="0" applyFont="1" applyFill="1" applyBorder="1" applyAlignment="1">
      <alignment horizontal="center" vertical="center" wrapText="1"/>
    </xf>
    <xf numFmtId="0" fontId="4" fillId="76" borderId="9" xfId="0" applyFont="1" applyFill="1" applyBorder="1" applyAlignment="1">
      <alignment horizontal="center" vertical="center" wrapText="1"/>
    </xf>
    <xf numFmtId="0" fontId="4" fillId="75" borderId="9" xfId="0" applyFont="1" applyFill="1" applyBorder="1" applyAlignment="1">
      <alignment horizontal="center" vertical="center" wrapText="1"/>
    </xf>
    <xf numFmtId="0" fontId="4" fillId="77" borderId="9" xfId="0" applyFont="1" applyFill="1" applyBorder="1" applyAlignment="1">
      <alignment horizontal="center" vertical="center" wrapText="1"/>
    </xf>
    <xf numFmtId="0" fontId="4" fillId="78" borderId="9" xfId="0" applyFont="1" applyFill="1" applyBorder="1" applyAlignment="1">
      <alignment horizontal="center" vertical="center" wrapText="1"/>
    </xf>
    <xf numFmtId="3" fontId="18" fillId="70" borderId="9" xfId="0" applyNumberFormat="1" applyFont="1" applyFill="1" applyBorder="1" applyAlignment="1">
      <alignment horizontal="right" vertical="center" wrapText="1"/>
    </xf>
    <xf numFmtId="0" fontId="19" fillId="69" borderId="9" xfId="0" applyFont="1" applyFill="1" applyBorder="1" applyAlignment="1">
      <alignment horizontal="left" vertical="center" wrapText="1"/>
    </xf>
    <xf numFmtId="3" fontId="20" fillId="72" borderId="9" xfId="0" applyNumberFormat="1" applyFont="1" applyFill="1" applyBorder="1" applyAlignment="1">
      <alignment horizontal="right" vertical="center" wrapText="1"/>
    </xf>
    <xf numFmtId="3" fontId="21" fillId="74" borderId="9" xfId="0" applyNumberFormat="1" applyFont="1" applyFill="1" applyBorder="1" applyAlignment="1">
      <alignment horizontal="right" vertical="center" wrapText="1"/>
    </xf>
    <xf numFmtId="3" fontId="18" fillId="74" borderId="9" xfId="0" applyNumberFormat="1" applyFont="1" applyFill="1" applyBorder="1" applyAlignment="1">
      <alignment horizontal="right" vertical="center" wrapText="1"/>
    </xf>
    <xf numFmtId="0" fontId="19" fillId="74" borderId="9" xfId="0" applyFont="1" applyFill="1" applyBorder="1" applyAlignment="1">
      <alignment horizontal="left" vertical="center" wrapText="1"/>
    </xf>
    <xf numFmtId="166" fontId="23" fillId="79" borderId="9" xfId="0" applyNumberFormat="1" applyFont="1" applyFill="1" applyBorder="1" applyAlignment="1">
      <alignment horizontal="center" vertical="center"/>
    </xf>
    <xf numFmtId="0" fontId="24" fillId="79" borderId="9" xfId="0" applyFont="1" applyFill="1" applyBorder="1" applyAlignment="1">
      <alignment horizontal="center" vertical="center"/>
    </xf>
    <xf numFmtId="0" fontId="5" fillId="80" borderId="9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left" vertical="center"/>
    </xf>
    <xf numFmtId="3" fontId="11" fillId="74" borderId="9" xfId="0" applyNumberFormat="1" applyFont="1" applyFill="1" applyBorder="1" applyAlignment="1">
      <alignment horizontal="right" vertical="center"/>
    </xf>
    <xf numFmtId="164" fontId="11" fillId="74" borderId="9" xfId="0" applyNumberFormat="1" applyFont="1" applyFill="1" applyBorder="1" applyAlignment="1">
      <alignment horizontal="right" vertical="center"/>
    </xf>
    <xf numFmtId="166" fontId="5" fillId="69" borderId="9" xfId="0" applyNumberFormat="1" applyFont="1" applyFill="1" applyBorder="1" applyAlignment="1">
      <alignment horizontal="center" vertical="center"/>
    </xf>
    <xf numFmtId="0" fontId="22" fillId="69" borderId="9" xfId="0" applyFont="1" applyFill="1" applyBorder="1" applyAlignment="1">
      <alignment horizontal="center" vertical="center"/>
    </xf>
    <xf numFmtId="0" fontId="4" fillId="81" borderId="10" xfId="0" applyFont="1" applyFill="1" applyBorder="1" applyAlignment="1">
      <alignment horizontal="center" vertical="center" wrapText="1"/>
    </xf>
    <xf numFmtId="0" fontId="16" fillId="83" borderId="10" xfId="0" applyFont="1" applyFill="1" applyBorder="1" applyAlignment="1">
      <alignment horizontal="center" vertical="center" wrapText="1"/>
    </xf>
    <xf numFmtId="0" fontId="4" fillId="84" borderId="10" xfId="0" applyFont="1" applyFill="1" applyBorder="1" applyAlignment="1">
      <alignment horizontal="center" vertical="center" wrapText="1"/>
    </xf>
    <xf numFmtId="0" fontId="4" fillId="85" borderId="10" xfId="0" applyFont="1" applyFill="1" applyBorder="1" applyAlignment="1">
      <alignment horizontal="center" vertical="center" wrapText="1"/>
    </xf>
    <xf numFmtId="0" fontId="4" fillId="86" borderId="10" xfId="0" applyFont="1" applyFill="1" applyBorder="1" applyAlignment="1">
      <alignment horizontal="center" vertical="center" wrapText="1"/>
    </xf>
    <xf numFmtId="0" fontId="8" fillId="87" borderId="10" xfId="0" applyFont="1" applyFill="1" applyBorder="1" applyAlignment="1">
      <alignment horizontal="center" vertical="center" wrapText="1"/>
    </xf>
    <xf numFmtId="0" fontId="9" fillId="87" borderId="10" xfId="0" applyFont="1" applyFill="1" applyBorder="1" applyAlignment="1">
      <alignment horizontal="center" vertical="center" wrapText="1"/>
    </xf>
    <xf numFmtId="3" fontId="11" fillId="88" borderId="10" xfId="0" applyNumberFormat="1" applyFont="1" applyFill="1" applyBorder="1" applyAlignment="1">
      <alignment horizontal="right" vertical="center" wrapText="1"/>
    </xf>
    <xf numFmtId="3" fontId="25" fillId="89" borderId="10" xfId="0" applyNumberFormat="1" applyFont="1" applyFill="1" applyBorder="1" applyAlignment="1">
      <alignment horizontal="right" vertical="center" wrapText="1"/>
    </xf>
    <xf numFmtId="167" fontId="25" fillId="89" borderId="10" xfId="0" applyNumberFormat="1" applyFont="1" applyFill="1" applyBorder="1" applyAlignment="1">
      <alignment horizontal="right" vertical="center" wrapText="1"/>
    </xf>
    <xf numFmtId="3" fontId="26" fillId="90" borderId="10" xfId="0" applyNumberFormat="1" applyFont="1" applyFill="1" applyBorder="1" applyAlignment="1">
      <alignment horizontal="right" vertical="center" wrapText="1"/>
    </xf>
    <xf numFmtId="3" fontId="11" fillId="91" borderId="10" xfId="0" applyNumberFormat="1" applyFont="1" applyFill="1" applyBorder="1" applyAlignment="1">
      <alignment horizontal="right" vertical="center" wrapText="1"/>
    </xf>
    <xf numFmtId="164" fontId="11" fillId="91" borderId="10" xfId="0" applyNumberFormat="1" applyFont="1" applyFill="1" applyBorder="1" applyAlignment="1">
      <alignment horizontal="right" vertical="center" wrapText="1"/>
    </xf>
    <xf numFmtId="0" fontId="19" fillId="0" borderId="10" xfId="0" applyFont="1" applyBorder="1" applyAlignment="1">
      <alignment horizontal="left" vertical="center" wrapText="1"/>
    </xf>
    <xf numFmtId="0" fontId="8" fillId="90" borderId="10" xfId="0" applyFont="1" applyFill="1" applyBorder="1" applyAlignment="1">
      <alignment horizontal="center" vertical="center" wrapText="1"/>
    </xf>
    <xf numFmtId="0" fontId="9" fillId="90" borderId="10" xfId="0" applyFont="1" applyFill="1" applyBorder="1" applyAlignment="1">
      <alignment horizontal="center" vertical="center" wrapText="1"/>
    </xf>
    <xf numFmtId="0" fontId="8" fillId="91" borderId="10" xfId="0" applyFont="1" applyFill="1" applyBorder="1" applyAlignment="1">
      <alignment horizontal="center" vertical="center" wrapText="1"/>
    </xf>
    <xf numFmtId="0" fontId="9" fillId="91" borderId="10" xfId="0" applyFont="1" applyFill="1" applyBorder="1" applyAlignment="1">
      <alignment horizontal="center" vertical="center" wrapText="1"/>
    </xf>
    <xf numFmtId="0" fontId="8" fillId="92" borderId="10" xfId="0" applyFont="1" applyFill="1" applyBorder="1" applyAlignment="1">
      <alignment horizontal="center" vertical="center" wrapText="1"/>
    </xf>
    <xf numFmtId="0" fontId="9" fillId="92" borderId="10" xfId="0" applyFont="1" applyFill="1" applyBorder="1" applyAlignment="1">
      <alignment horizontal="center" vertical="center" wrapText="1"/>
    </xf>
    <xf numFmtId="0" fontId="8" fillId="93" borderId="10" xfId="0" applyFont="1" applyFill="1" applyBorder="1" applyAlignment="1">
      <alignment horizontal="center" vertical="center" wrapText="1"/>
    </xf>
    <xf numFmtId="0" fontId="9" fillId="93" borderId="10" xfId="0" applyFont="1" applyFill="1" applyBorder="1" applyAlignment="1">
      <alignment horizontal="center" vertical="center" wrapText="1"/>
    </xf>
    <xf numFmtId="0" fontId="19" fillId="81" borderId="10" xfId="0" applyFont="1" applyFill="1" applyBorder="1" applyAlignment="1">
      <alignment horizontal="left" vertical="center" wrapText="1"/>
    </xf>
    <xf numFmtId="0" fontId="7" fillId="81" borderId="10" xfId="0" applyFont="1" applyFill="1" applyBorder="1" applyAlignment="1">
      <alignment horizontal="center" vertical="center" wrapText="1"/>
    </xf>
    <xf numFmtId="0" fontId="27" fillId="81" borderId="10" xfId="0" applyFont="1" applyFill="1" applyBorder="1" applyAlignment="1">
      <alignment horizontal="center" vertical="center" wrapText="1"/>
    </xf>
    <xf numFmtId="3" fontId="4" fillId="81" borderId="10" xfId="0" applyNumberFormat="1" applyFont="1" applyFill="1" applyBorder="1" applyAlignment="1">
      <alignment horizontal="right" vertical="center" wrapText="1"/>
    </xf>
    <xf numFmtId="167" fontId="4" fillId="81" borderId="10" xfId="0" applyNumberFormat="1" applyFont="1" applyFill="1" applyBorder="1" applyAlignment="1">
      <alignment horizontal="right" vertical="center" wrapText="1"/>
    </xf>
    <xf numFmtId="164" fontId="28" fillId="81" borderId="10" xfId="0" applyNumberFormat="1" applyFont="1" applyFill="1" applyBorder="1" applyAlignment="1">
      <alignment horizontal="right" vertical="center" wrapText="1"/>
    </xf>
    <xf numFmtId="3" fontId="29" fillId="87" borderId="10" xfId="0" applyNumberFormat="1" applyFont="1" applyFill="1" applyBorder="1" applyAlignment="1">
      <alignment horizontal="right" vertical="center" wrapText="1"/>
    </xf>
    <xf numFmtId="0" fontId="19" fillId="94" borderId="10" xfId="0" applyFont="1" applyFill="1" applyBorder="1" applyAlignment="1">
      <alignment horizontal="left" vertical="center" wrapText="1"/>
    </xf>
    <xf numFmtId="3" fontId="30" fillId="90" borderId="10" xfId="0" applyNumberFormat="1" applyFont="1" applyFill="1" applyBorder="1" applyAlignment="1">
      <alignment horizontal="right" vertical="center" wrapText="1"/>
    </xf>
    <xf numFmtId="3" fontId="6" fillId="91" borderId="10" xfId="0" applyNumberFormat="1" applyFont="1" applyFill="1" applyBorder="1" applyAlignment="1">
      <alignment horizontal="right" vertical="center" wrapText="1"/>
    </xf>
    <xf numFmtId="0" fontId="15" fillId="101" borderId="11" xfId="0" applyFont="1" applyFill="1" applyBorder="1" applyAlignment="1">
      <alignment horizontal="center" vertical="center"/>
    </xf>
    <xf numFmtId="0" fontId="15" fillId="97" borderId="11" xfId="0" applyFont="1" applyFill="1" applyBorder="1" applyAlignment="1">
      <alignment horizontal="center" vertical="center"/>
    </xf>
    <xf numFmtId="0" fontId="15" fillId="102" borderId="11" xfId="0" applyFont="1" applyFill="1" applyBorder="1" applyAlignment="1">
      <alignment horizontal="center" vertical="center"/>
    </xf>
    <xf numFmtId="0" fontId="4" fillId="96" borderId="11" xfId="0" applyFont="1" applyFill="1" applyBorder="1" applyAlignment="1">
      <alignment horizontal="center" vertical="center" wrapText="1"/>
    </xf>
    <xf numFmtId="0" fontId="4" fillId="95" borderId="11" xfId="0" applyFont="1" applyFill="1" applyBorder="1" applyAlignment="1">
      <alignment horizontal="center" vertical="center" wrapText="1"/>
    </xf>
    <xf numFmtId="0" fontId="16" fillId="103" borderId="11" xfId="0" applyFont="1" applyFill="1" applyBorder="1" applyAlignment="1">
      <alignment horizontal="center" vertical="center" wrapText="1"/>
    </xf>
    <xf numFmtId="0" fontId="4" fillId="104" borderId="11" xfId="0" applyFont="1" applyFill="1" applyBorder="1" applyAlignment="1">
      <alignment horizontal="center" vertical="center" wrapText="1"/>
    </xf>
    <xf numFmtId="0" fontId="4" fillId="103" borderId="11" xfId="0" applyFont="1" applyFill="1" applyBorder="1" applyAlignment="1">
      <alignment horizontal="center" vertical="center" wrapText="1"/>
    </xf>
    <xf numFmtId="0" fontId="4" fillId="105" borderId="11" xfId="0" applyFont="1" applyFill="1" applyBorder="1" applyAlignment="1">
      <alignment horizontal="center" vertical="center" wrapText="1"/>
    </xf>
    <xf numFmtId="0" fontId="4" fillId="106" borderId="11" xfId="0" applyFont="1" applyFill="1" applyBorder="1" applyAlignment="1">
      <alignment horizontal="center" vertical="center" wrapText="1"/>
    </xf>
    <xf numFmtId="3" fontId="18" fillId="98" borderId="11" xfId="0" applyNumberFormat="1" applyFont="1" applyFill="1" applyBorder="1" applyAlignment="1">
      <alignment horizontal="right" vertical="center" wrapText="1"/>
    </xf>
    <xf numFmtId="0" fontId="19" fillId="97" borderId="11" xfId="0" applyFont="1" applyFill="1" applyBorder="1" applyAlignment="1">
      <alignment horizontal="left" vertical="center" wrapText="1"/>
    </xf>
    <xf numFmtId="3" fontId="20" fillId="100" borderId="11" xfId="0" applyNumberFormat="1" applyFont="1" applyFill="1" applyBorder="1" applyAlignment="1">
      <alignment horizontal="right" vertical="center" wrapText="1"/>
    </xf>
    <xf numFmtId="3" fontId="21" fillId="102" borderId="11" xfId="0" applyNumberFormat="1" applyFont="1" applyFill="1" applyBorder="1" applyAlignment="1">
      <alignment horizontal="right" vertical="center" wrapText="1"/>
    </xf>
    <xf numFmtId="3" fontId="18" fillId="102" borderId="11" xfId="0" applyNumberFormat="1" applyFont="1" applyFill="1" applyBorder="1" applyAlignment="1">
      <alignment horizontal="right" vertical="center" wrapText="1"/>
    </xf>
    <xf numFmtId="0" fontId="19" fillId="102" borderId="11" xfId="0" applyFont="1" applyFill="1" applyBorder="1" applyAlignment="1">
      <alignment horizontal="left" vertical="center" wrapText="1"/>
    </xf>
    <xf numFmtId="166" fontId="5" fillId="97" borderId="11" xfId="0" applyNumberFormat="1" applyFont="1" applyFill="1" applyBorder="1" applyAlignment="1">
      <alignment horizontal="center" vertical="center"/>
    </xf>
    <xf numFmtId="0" fontId="22" fillId="97" borderId="11" xfId="0" applyFont="1" applyFill="1" applyBorder="1" applyAlignment="1">
      <alignment horizontal="center" vertical="center"/>
    </xf>
    <xf numFmtId="0" fontId="5" fillId="107" borderId="11" xfId="0" applyFont="1" applyFill="1" applyBorder="1" applyAlignment="1">
      <alignment horizontal="right" vertical="center"/>
    </xf>
    <xf numFmtId="0" fontId="9" fillId="0" borderId="11" xfId="0" applyFont="1" applyBorder="1" applyAlignment="1">
      <alignment horizontal="left" vertical="center"/>
    </xf>
    <xf numFmtId="3" fontId="11" fillId="102" borderId="11" xfId="0" applyNumberFormat="1" applyFont="1" applyFill="1" applyBorder="1" applyAlignment="1">
      <alignment horizontal="right" vertical="center"/>
    </xf>
    <xf numFmtId="164" fontId="11" fillId="102" borderId="11" xfId="0" applyNumberFormat="1" applyFont="1" applyFill="1" applyBorder="1" applyAlignment="1">
      <alignment horizontal="right" vertical="center"/>
    </xf>
    <xf numFmtId="166" fontId="23" fillId="108" borderId="11" xfId="0" applyNumberFormat="1" applyFont="1" applyFill="1" applyBorder="1" applyAlignment="1">
      <alignment horizontal="center" vertical="center"/>
    </xf>
    <xf numFmtId="0" fontId="24" fillId="108" borderId="11" xfId="0" applyFont="1" applyFill="1" applyBorder="1" applyAlignment="1">
      <alignment horizontal="center" vertical="center"/>
    </xf>
    <xf numFmtId="0" fontId="4" fillId="109" borderId="12" xfId="0" applyFont="1" applyFill="1" applyBorder="1" applyAlignment="1">
      <alignment horizontal="center" vertical="center" wrapText="1"/>
    </xf>
    <xf numFmtId="0" fontId="16" fillId="111" borderId="12" xfId="0" applyFont="1" applyFill="1" applyBorder="1" applyAlignment="1">
      <alignment horizontal="center" vertical="center" wrapText="1"/>
    </xf>
    <xf numFmtId="0" fontId="4" fillId="112" borderId="12" xfId="0" applyFont="1" applyFill="1" applyBorder="1" applyAlignment="1">
      <alignment horizontal="center" vertical="center" wrapText="1"/>
    </xf>
    <xf numFmtId="0" fontId="4" fillId="113" borderId="12" xfId="0" applyFont="1" applyFill="1" applyBorder="1" applyAlignment="1">
      <alignment horizontal="center" vertical="center" wrapText="1"/>
    </xf>
    <xf numFmtId="0" fontId="4" fillId="114" borderId="12" xfId="0" applyFont="1" applyFill="1" applyBorder="1" applyAlignment="1">
      <alignment horizontal="center" vertical="center" wrapText="1"/>
    </xf>
    <xf numFmtId="0" fontId="8" fillId="115" borderId="12" xfId="0" applyFont="1" applyFill="1" applyBorder="1" applyAlignment="1">
      <alignment horizontal="center" vertical="center" wrapText="1"/>
    </xf>
    <xf numFmtId="0" fontId="9" fillId="115" borderId="12" xfId="0" applyFont="1" applyFill="1" applyBorder="1" applyAlignment="1">
      <alignment horizontal="center" vertical="center" wrapText="1"/>
    </xf>
    <xf numFmtId="3" fontId="11" fillId="116" borderId="12" xfId="0" applyNumberFormat="1" applyFont="1" applyFill="1" applyBorder="1" applyAlignment="1">
      <alignment horizontal="right" vertical="center" wrapText="1"/>
    </xf>
    <xf numFmtId="3" fontId="25" fillId="117" borderId="12" xfId="0" applyNumberFormat="1" applyFont="1" applyFill="1" applyBorder="1" applyAlignment="1">
      <alignment horizontal="right" vertical="center" wrapText="1"/>
    </xf>
    <xf numFmtId="167" fontId="25" fillId="117" borderId="12" xfId="0" applyNumberFormat="1" applyFont="1" applyFill="1" applyBorder="1" applyAlignment="1">
      <alignment horizontal="right" vertical="center" wrapText="1"/>
    </xf>
    <xf numFmtId="3" fontId="26" fillId="118" borderId="12" xfId="0" applyNumberFormat="1" applyFont="1" applyFill="1" applyBorder="1" applyAlignment="1">
      <alignment horizontal="right" vertical="center" wrapText="1"/>
    </xf>
    <xf numFmtId="3" fontId="11" fillId="119" borderId="12" xfId="0" applyNumberFormat="1" applyFont="1" applyFill="1" applyBorder="1" applyAlignment="1">
      <alignment horizontal="right" vertical="center" wrapText="1"/>
    </xf>
    <xf numFmtId="164" fontId="11" fillId="119" borderId="12" xfId="0" applyNumberFormat="1" applyFont="1" applyFill="1" applyBorder="1" applyAlignment="1">
      <alignment horizontal="right" vertical="center" wrapText="1"/>
    </xf>
    <xf numFmtId="0" fontId="19" fillId="0" borderId="12" xfId="0" applyFont="1" applyBorder="1" applyAlignment="1">
      <alignment horizontal="left" vertical="center" wrapText="1"/>
    </xf>
    <xf numFmtId="0" fontId="8" fillId="118" borderId="12" xfId="0" applyFont="1" applyFill="1" applyBorder="1" applyAlignment="1">
      <alignment horizontal="center" vertical="center" wrapText="1"/>
    </xf>
    <xf numFmtId="0" fontId="9" fillId="118" borderId="12" xfId="0" applyFont="1" applyFill="1" applyBorder="1" applyAlignment="1">
      <alignment horizontal="center" vertical="center" wrapText="1"/>
    </xf>
    <xf numFmtId="0" fontId="8" fillId="119" borderId="12" xfId="0" applyFont="1" applyFill="1" applyBorder="1" applyAlignment="1">
      <alignment horizontal="center" vertical="center" wrapText="1"/>
    </xf>
    <xf numFmtId="0" fontId="9" fillId="119" borderId="12" xfId="0" applyFont="1" applyFill="1" applyBorder="1" applyAlignment="1">
      <alignment horizontal="center" vertical="center" wrapText="1"/>
    </xf>
    <xf numFmtId="0" fontId="8" fillId="120" borderId="12" xfId="0" applyFont="1" applyFill="1" applyBorder="1" applyAlignment="1">
      <alignment horizontal="center" vertical="center" wrapText="1"/>
    </xf>
    <xf numFmtId="0" fontId="9" fillId="120" borderId="12" xfId="0" applyFont="1" applyFill="1" applyBorder="1" applyAlignment="1">
      <alignment horizontal="center" vertical="center" wrapText="1"/>
    </xf>
    <xf numFmtId="0" fontId="8" fillId="121" borderId="12" xfId="0" applyFont="1" applyFill="1" applyBorder="1" applyAlignment="1">
      <alignment horizontal="center" vertical="center" wrapText="1"/>
    </xf>
    <xf numFmtId="0" fontId="9" fillId="121" borderId="12" xfId="0" applyFont="1" applyFill="1" applyBorder="1" applyAlignment="1">
      <alignment horizontal="center" vertical="center" wrapText="1"/>
    </xf>
    <xf numFmtId="0" fontId="19" fillId="109" borderId="12" xfId="0" applyFont="1" applyFill="1" applyBorder="1" applyAlignment="1">
      <alignment horizontal="left" vertical="center" wrapText="1"/>
    </xf>
    <xf numFmtId="0" fontId="7" fillId="109" borderId="12" xfId="0" applyFont="1" applyFill="1" applyBorder="1" applyAlignment="1">
      <alignment horizontal="center" vertical="center" wrapText="1"/>
    </xf>
    <xf numFmtId="0" fontId="27" fillId="109" borderId="12" xfId="0" applyFont="1" applyFill="1" applyBorder="1" applyAlignment="1">
      <alignment horizontal="center" vertical="center" wrapText="1"/>
    </xf>
    <xf numFmtId="3" fontId="4" fillId="109" borderId="12" xfId="0" applyNumberFormat="1" applyFont="1" applyFill="1" applyBorder="1" applyAlignment="1">
      <alignment horizontal="right" vertical="center" wrapText="1"/>
    </xf>
    <xf numFmtId="167" fontId="4" fillId="109" borderId="12" xfId="0" applyNumberFormat="1" applyFont="1" applyFill="1" applyBorder="1" applyAlignment="1">
      <alignment horizontal="right" vertical="center" wrapText="1"/>
    </xf>
    <xf numFmtId="164" fontId="28" fillId="109" borderId="12" xfId="0" applyNumberFormat="1" applyFont="1" applyFill="1" applyBorder="1" applyAlignment="1">
      <alignment horizontal="right" vertical="center" wrapText="1"/>
    </xf>
    <xf numFmtId="3" fontId="29" fillId="115" borderId="12" xfId="0" applyNumberFormat="1" applyFont="1" applyFill="1" applyBorder="1" applyAlignment="1">
      <alignment horizontal="right" vertical="center" wrapText="1"/>
    </xf>
    <xf numFmtId="0" fontId="19" fillId="122" borderId="12" xfId="0" applyFont="1" applyFill="1" applyBorder="1" applyAlignment="1">
      <alignment horizontal="left" vertical="center" wrapText="1"/>
    </xf>
    <xf numFmtId="3" fontId="30" fillId="118" borderId="12" xfId="0" applyNumberFormat="1" applyFont="1" applyFill="1" applyBorder="1" applyAlignment="1">
      <alignment horizontal="right" vertical="center" wrapText="1"/>
    </xf>
    <xf numFmtId="3" fontId="6" fillId="119" borderId="12" xfId="0" applyNumberFormat="1" applyFont="1" applyFill="1" applyBorder="1" applyAlignment="1">
      <alignment horizontal="right" vertical="center" wrapText="1"/>
    </xf>
    <xf numFmtId="0" fontId="19" fillId="124" borderId="15" xfId="0" applyFont="1" applyFill="1" applyBorder="1" applyAlignment="1">
      <alignment horizontal="left" vertical="center" wrapText="1"/>
    </xf>
    <xf numFmtId="0" fontId="8" fillId="124" borderId="15" xfId="0" applyFont="1" applyFill="1" applyBorder="1" applyAlignment="1">
      <alignment horizontal="left" vertical="center" wrapText="1"/>
    </xf>
    <xf numFmtId="0" fontId="32" fillId="124" borderId="15" xfId="0" applyFont="1" applyFill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center" wrapText="1"/>
    </xf>
    <xf numFmtId="0" fontId="32" fillId="0" borderId="15" xfId="0" applyFont="1" applyBorder="1" applyAlignment="1">
      <alignment horizontal="left" vertical="center" wrapText="1"/>
    </xf>
    <xf numFmtId="0" fontId="19" fillId="126" borderId="15" xfId="0" applyFont="1" applyFill="1" applyBorder="1" applyAlignment="1">
      <alignment horizontal="left" vertical="center" wrapText="1"/>
    </xf>
    <xf numFmtId="0" fontId="8" fillId="126" borderId="15" xfId="0" applyFont="1" applyFill="1" applyBorder="1" applyAlignment="1">
      <alignment horizontal="left" vertical="center" wrapText="1"/>
    </xf>
    <xf numFmtId="0" fontId="32" fillId="126" borderId="15" xfId="0" applyFont="1" applyFill="1" applyBorder="1" applyAlignment="1">
      <alignment horizontal="left" vertical="center" wrapText="1"/>
    </xf>
    <xf numFmtId="0" fontId="19" fillId="128" borderId="15" xfId="0" applyFont="1" applyFill="1" applyBorder="1" applyAlignment="1">
      <alignment horizontal="left" vertical="center" wrapText="1"/>
    </xf>
    <xf numFmtId="0" fontId="8" fillId="128" borderId="15" xfId="0" applyFont="1" applyFill="1" applyBorder="1" applyAlignment="1">
      <alignment horizontal="left" vertical="center" wrapText="1"/>
    </xf>
    <xf numFmtId="0" fontId="32" fillId="128" borderId="15" xfId="0" applyFont="1" applyFill="1" applyBorder="1" applyAlignment="1">
      <alignment horizontal="left" vertical="center" wrapText="1"/>
    </xf>
    <xf numFmtId="0" fontId="19" fillId="130" borderId="15" xfId="0" applyFont="1" applyFill="1" applyBorder="1" applyAlignment="1">
      <alignment horizontal="left" vertical="center" wrapText="1"/>
    </xf>
    <xf numFmtId="0" fontId="8" fillId="130" borderId="15" xfId="0" applyFont="1" applyFill="1" applyBorder="1" applyAlignment="1">
      <alignment horizontal="left" vertical="center" wrapText="1"/>
    </xf>
    <xf numFmtId="0" fontId="32" fillId="130" borderId="15" xfId="0" applyFont="1" applyFill="1" applyBorder="1" applyAlignment="1">
      <alignment horizontal="left" vertical="center" wrapText="1"/>
    </xf>
    <xf numFmtId="0" fontId="0" fillId="0" borderId="0" xfId="0"/>
    <xf numFmtId="0" fontId="0" fillId="133" borderId="0" xfId="0" applyFill="1"/>
    <xf numFmtId="0" fontId="34" fillId="142" borderId="16" xfId="0" applyFont="1" applyFill="1" applyBorder="1" applyAlignment="1">
      <alignment horizontal="center" vertical="center" wrapText="1"/>
    </xf>
    <xf numFmtId="0" fontId="37" fillId="137" borderId="17" xfId="0" applyFont="1" applyFill="1" applyBorder="1" applyAlignment="1">
      <alignment horizontal="center" vertical="center" wrapText="1"/>
    </xf>
    <xf numFmtId="0" fontId="38" fillId="143" borderId="17" xfId="0" applyFont="1" applyFill="1" applyBorder="1" applyAlignment="1">
      <alignment horizontal="right" vertical="center"/>
    </xf>
    <xf numFmtId="0" fontId="39" fillId="144" borderId="17" xfId="0" applyFont="1" applyFill="1" applyBorder="1" applyAlignment="1">
      <alignment horizontal="right" vertical="center"/>
    </xf>
    <xf numFmtId="0" fontId="39" fillId="138" borderId="17" xfId="0" applyFont="1" applyFill="1" applyBorder="1" applyAlignment="1">
      <alignment horizontal="right" vertical="center"/>
    </xf>
    <xf numFmtId="0" fontId="34" fillId="134" borderId="17" xfId="0" applyFont="1" applyFill="1" applyBorder="1" applyAlignment="1">
      <alignment horizontal="left" vertical="center" wrapText="1"/>
    </xf>
    <xf numFmtId="0" fontId="40" fillId="139" borderId="17" xfId="0" applyFont="1" applyFill="1" applyBorder="1" applyAlignment="1">
      <alignment horizontal="right" vertical="center"/>
    </xf>
    <xf numFmtId="0" fontId="34" fillId="135" borderId="17" xfId="0" applyFont="1" applyFill="1" applyBorder="1" applyAlignment="1">
      <alignment horizontal="left" vertical="center" wrapText="1"/>
    </xf>
    <xf numFmtId="0" fontId="34" fillId="136" borderId="17" xfId="0" applyFont="1" applyFill="1" applyBorder="1" applyAlignment="1">
      <alignment horizontal="left" vertical="center" wrapText="1"/>
    </xf>
    <xf numFmtId="0" fontId="0" fillId="0" borderId="19" xfId="0" applyBorder="1"/>
    <xf numFmtId="0" fontId="0" fillId="0" borderId="19" xfId="0" applyBorder="1" applyAlignment="1">
      <alignment horizontal="center"/>
    </xf>
    <xf numFmtId="0" fontId="42" fillId="0" borderId="19" xfId="0" applyFont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vertical="center" wrapText="1"/>
    </xf>
    <xf numFmtId="9" fontId="0" fillId="0" borderId="19" xfId="0" applyNumberFormat="1" applyBorder="1" applyAlignment="1">
      <alignment vertical="center" wrapText="1"/>
    </xf>
    <xf numFmtId="9" fontId="9" fillId="4" borderId="3" xfId="1" applyFont="1" applyFill="1" applyBorder="1" applyAlignment="1">
      <alignment horizontal="center" vertical="center" wrapText="1"/>
    </xf>
    <xf numFmtId="0" fontId="45" fillId="148" borderId="21" xfId="0" applyFont="1" applyFill="1" applyBorder="1" applyAlignment="1">
      <alignment horizontal="center" vertical="center" wrapText="1"/>
    </xf>
    <xf numFmtId="0" fontId="46" fillId="149" borderId="21" xfId="0" applyFont="1" applyFill="1" applyBorder="1" applyAlignment="1">
      <alignment horizontal="center" vertical="top" wrapText="1"/>
    </xf>
    <xf numFmtId="0" fontId="47" fillId="149" borderId="21" xfId="0" applyFont="1" applyFill="1" applyBorder="1" applyAlignment="1">
      <alignment horizontal="center" vertical="top" wrapText="1"/>
    </xf>
    <xf numFmtId="0" fontId="48" fillId="149" borderId="21" xfId="0" applyFont="1" applyFill="1" applyBorder="1" applyAlignment="1">
      <alignment horizontal="left" vertical="top" wrapText="1"/>
    </xf>
    <xf numFmtId="0" fontId="47" fillId="149" borderId="21" xfId="0" applyFont="1" applyFill="1" applyBorder="1" applyAlignment="1">
      <alignment horizontal="left" vertical="top" wrapText="1"/>
    </xf>
    <xf numFmtId="0" fontId="46" fillId="150" borderId="21" xfId="0" applyFont="1" applyFill="1" applyBorder="1" applyAlignment="1">
      <alignment horizontal="center" vertical="top" wrapText="1"/>
    </xf>
    <xf numFmtId="0" fontId="47" fillId="150" borderId="21" xfId="0" applyFont="1" applyFill="1" applyBorder="1" applyAlignment="1">
      <alignment horizontal="center" vertical="top" wrapText="1"/>
    </xf>
    <xf numFmtId="0" fontId="48" fillId="150" borderId="21" xfId="0" applyFont="1" applyFill="1" applyBorder="1" applyAlignment="1">
      <alignment horizontal="left" vertical="top" wrapText="1"/>
    </xf>
    <xf numFmtId="0" fontId="47" fillId="150" borderId="21" xfId="0" applyFont="1" applyFill="1" applyBorder="1" applyAlignment="1">
      <alignment horizontal="left" vertical="top" wrapText="1"/>
    </xf>
    <xf numFmtId="0" fontId="46" fillId="151" borderId="21" xfId="0" applyFont="1" applyFill="1" applyBorder="1" applyAlignment="1">
      <alignment horizontal="center" vertical="top" wrapText="1"/>
    </xf>
    <xf numFmtId="0" fontId="47" fillId="151" borderId="21" xfId="0" applyFont="1" applyFill="1" applyBorder="1" applyAlignment="1">
      <alignment horizontal="center" vertical="top" wrapText="1"/>
    </xf>
    <xf numFmtId="0" fontId="48" fillId="151" borderId="21" xfId="0" applyFont="1" applyFill="1" applyBorder="1" applyAlignment="1">
      <alignment horizontal="left" vertical="top" wrapText="1"/>
    </xf>
    <xf numFmtId="0" fontId="47" fillId="151" borderId="21" xfId="0" applyFont="1" applyFill="1" applyBorder="1" applyAlignment="1">
      <alignment horizontal="left" vertical="top" wrapText="1"/>
    </xf>
    <xf numFmtId="0" fontId="46" fillId="152" borderId="21" xfId="0" applyFont="1" applyFill="1" applyBorder="1" applyAlignment="1">
      <alignment horizontal="center" vertical="top" wrapText="1"/>
    </xf>
    <xf numFmtId="0" fontId="47" fillId="152" borderId="21" xfId="0" applyFont="1" applyFill="1" applyBorder="1" applyAlignment="1">
      <alignment horizontal="center" vertical="top" wrapText="1"/>
    </xf>
    <xf numFmtId="0" fontId="48" fillId="152" borderId="21" xfId="0" applyFont="1" applyFill="1" applyBorder="1" applyAlignment="1">
      <alignment horizontal="left" vertical="top" wrapText="1"/>
    </xf>
    <xf numFmtId="0" fontId="47" fillId="152" borderId="21" xfId="0" applyFont="1" applyFill="1" applyBorder="1" applyAlignment="1">
      <alignment horizontal="left" vertical="top" wrapText="1"/>
    </xf>
    <xf numFmtId="0" fontId="46" fillId="153" borderId="21" xfId="0" applyFont="1" applyFill="1" applyBorder="1" applyAlignment="1">
      <alignment horizontal="center" vertical="top" wrapText="1"/>
    </xf>
    <xf numFmtId="0" fontId="47" fillId="153" borderId="21" xfId="0" applyFont="1" applyFill="1" applyBorder="1" applyAlignment="1">
      <alignment horizontal="center" vertical="top" wrapText="1"/>
    </xf>
    <xf numFmtId="0" fontId="48" fillId="153" borderId="21" xfId="0" applyFont="1" applyFill="1" applyBorder="1" applyAlignment="1">
      <alignment horizontal="left" vertical="top" wrapText="1"/>
    </xf>
    <xf numFmtId="0" fontId="47" fillId="153" borderId="21" xfId="0" applyFont="1" applyFill="1" applyBorder="1" applyAlignment="1">
      <alignment horizontal="left" vertical="top" wrapText="1"/>
    </xf>
    <xf numFmtId="0" fontId="46" fillId="154" borderId="21" xfId="0" applyFont="1" applyFill="1" applyBorder="1" applyAlignment="1">
      <alignment horizontal="center" vertical="top" wrapText="1"/>
    </xf>
    <xf numFmtId="0" fontId="47" fillId="154" borderId="21" xfId="0" applyFont="1" applyFill="1" applyBorder="1" applyAlignment="1">
      <alignment horizontal="center" vertical="top" wrapText="1"/>
    </xf>
    <xf numFmtId="0" fontId="48" fillId="154" borderId="21" xfId="0" applyFont="1" applyFill="1" applyBorder="1" applyAlignment="1">
      <alignment horizontal="left" vertical="top" wrapText="1"/>
    </xf>
    <xf numFmtId="0" fontId="47" fillId="154" borderId="21" xfId="0" applyFont="1" applyFill="1" applyBorder="1" applyAlignment="1">
      <alignment horizontal="left" vertical="top" wrapText="1"/>
    </xf>
    <xf numFmtId="0" fontId="37" fillId="137" borderId="21" xfId="0" applyFont="1" applyFill="1" applyBorder="1" applyAlignment="1">
      <alignment horizontal="center" vertical="center" wrapText="1"/>
    </xf>
    <xf numFmtId="0" fontId="34" fillId="134" borderId="21" xfId="0" applyFont="1" applyFill="1" applyBorder="1" applyAlignment="1">
      <alignment horizontal="left" vertical="center" wrapText="1"/>
    </xf>
    <xf numFmtId="0" fontId="38" fillId="143" borderId="21" xfId="0" applyFont="1" applyFill="1" applyBorder="1" applyAlignment="1">
      <alignment horizontal="right" vertical="center"/>
    </xf>
    <xf numFmtId="0" fontId="39" fillId="144" borderId="21" xfId="0" applyFont="1" applyFill="1" applyBorder="1" applyAlignment="1">
      <alignment horizontal="right" vertical="center"/>
    </xf>
    <xf numFmtId="0" fontId="39" fillId="138" borderId="21" xfId="0" applyFont="1" applyFill="1" applyBorder="1" applyAlignment="1">
      <alignment horizontal="right" vertical="center"/>
    </xf>
    <xf numFmtId="0" fontId="34" fillId="135" borderId="21" xfId="0" applyFont="1" applyFill="1" applyBorder="1" applyAlignment="1">
      <alignment horizontal="left" vertical="center" wrapText="1"/>
    </xf>
    <xf numFmtId="0" fontId="40" fillId="139" borderId="21" xfId="0" applyFont="1" applyFill="1" applyBorder="1" applyAlignment="1">
      <alignment horizontal="right" vertical="center"/>
    </xf>
    <xf numFmtId="0" fontId="34" fillId="136" borderId="21" xfId="0" applyFont="1" applyFill="1" applyBorder="1" applyAlignment="1">
      <alignment horizontal="left" vertical="center" wrapText="1"/>
    </xf>
    <xf numFmtId="0" fontId="1" fillId="10" borderId="15" xfId="0" applyFont="1" applyFill="1" applyBorder="1"/>
    <xf numFmtId="0" fontId="0" fillId="0" borderId="14" xfId="0" applyBorder="1"/>
    <xf numFmtId="0" fontId="0" fillId="0" borderId="4" xfId="0" applyBorder="1"/>
    <xf numFmtId="0" fontId="9" fillId="4" borderId="13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left" vertical="center"/>
    </xf>
    <xf numFmtId="0" fontId="4" fillId="9" borderId="13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horizontal="center" vertical="center" wrapText="1"/>
    </xf>
    <xf numFmtId="0" fontId="1" fillId="8" borderId="15" xfId="0" applyFont="1" applyFill="1" applyBorder="1"/>
    <xf numFmtId="0" fontId="7" fillId="8" borderId="13" xfId="0" applyFont="1" applyFill="1" applyBorder="1" applyAlignment="1">
      <alignment horizontal="left" vertical="center" wrapText="1"/>
    </xf>
    <xf numFmtId="0" fontId="1" fillId="9" borderId="15" xfId="0" applyFont="1" applyFill="1" applyBorder="1"/>
    <xf numFmtId="0" fontId="4" fillId="8" borderId="13" xfId="0" applyFont="1" applyFill="1" applyBorder="1" applyAlignment="1">
      <alignment horizontal="left" vertical="center"/>
    </xf>
    <xf numFmtId="0" fontId="7" fillId="2" borderId="13" xfId="0" applyFont="1" applyFill="1" applyBorder="1" applyAlignment="1">
      <alignment horizontal="left" vertical="center" wrapText="1"/>
    </xf>
    <xf numFmtId="0" fontId="44" fillId="147" borderId="0" xfId="0" applyFont="1" applyFill="1" applyAlignment="1">
      <alignment horizontal="center" vertical="center"/>
    </xf>
    <xf numFmtId="0" fontId="0" fillId="0" borderId="0" xfId="0"/>
    <xf numFmtId="0" fontId="43" fillId="146" borderId="0" xfId="0" applyFont="1" applyFill="1" applyAlignment="1">
      <alignment horizontal="center" vertical="center"/>
    </xf>
    <xf numFmtId="0" fontId="14" fillId="11" borderId="13" xfId="0" applyFont="1" applyFill="1" applyBorder="1" applyAlignment="1">
      <alignment horizontal="center" vertical="center" wrapText="1"/>
    </xf>
    <xf numFmtId="0" fontId="15" fillId="15" borderId="13" xfId="0" applyFont="1" applyFill="1" applyBorder="1" applyAlignment="1">
      <alignment horizontal="center" vertical="center"/>
    </xf>
    <xf numFmtId="0" fontId="15" fillId="18" borderId="13" xfId="0" applyFont="1" applyFill="1" applyBorder="1" applyAlignment="1">
      <alignment horizontal="center" vertical="center"/>
    </xf>
    <xf numFmtId="0" fontId="15" fillId="16" borderId="13" xfId="0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/>
    </xf>
    <xf numFmtId="0" fontId="15" fillId="13" borderId="13" xfId="0" applyFont="1" applyFill="1" applyBorder="1" applyAlignment="1">
      <alignment horizontal="center" vertical="center"/>
    </xf>
    <xf numFmtId="0" fontId="14" fillId="145" borderId="20" xfId="0" applyFont="1" applyFill="1" applyBorder="1" applyAlignment="1">
      <alignment horizontal="center" vertical="center"/>
    </xf>
    <xf numFmtId="0" fontId="0" fillId="0" borderId="18" xfId="0" applyBorder="1"/>
    <xf numFmtId="0" fontId="3" fillId="26" borderId="13" xfId="0" applyFont="1" applyFill="1" applyBorder="1" applyAlignment="1">
      <alignment horizontal="center" vertical="center" wrapText="1"/>
    </xf>
    <xf numFmtId="0" fontId="9" fillId="38" borderId="13" xfId="0" applyFont="1" applyFill="1" applyBorder="1" applyAlignment="1">
      <alignment horizontal="left" vertical="center" wrapText="1"/>
    </xf>
    <xf numFmtId="0" fontId="14" fillId="25" borderId="13" xfId="0" applyFont="1" applyFill="1" applyBorder="1" applyAlignment="1">
      <alignment horizontal="center" vertical="center" wrapText="1"/>
    </xf>
    <xf numFmtId="0" fontId="4" fillId="26" borderId="13" xfId="0" applyFont="1" applyFill="1" applyBorder="1" applyAlignment="1">
      <alignment horizontal="left" vertical="center" wrapText="1"/>
    </xf>
    <xf numFmtId="0" fontId="14" fillId="39" borderId="13" xfId="0" applyFont="1" applyFill="1" applyBorder="1" applyAlignment="1">
      <alignment horizontal="center" vertical="center" wrapText="1"/>
    </xf>
    <xf numFmtId="0" fontId="15" fillId="43" borderId="13" xfId="0" applyFont="1" applyFill="1" applyBorder="1" applyAlignment="1">
      <alignment horizontal="center" vertical="center"/>
    </xf>
    <xf numFmtId="0" fontId="15" fillId="46" borderId="13" xfId="0" applyFont="1" applyFill="1" applyBorder="1" applyAlignment="1">
      <alignment horizontal="center" vertical="center"/>
    </xf>
    <xf numFmtId="0" fontId="15" fillId="44" borderId="13" xfId="0" applyFont="1" applyFill="1" applyBorder="1" applyAlignment="1">
      <alignment horizontal="center" vertical="center"/>
    </xf>
    <xf numFmtId="0" fontId="17" fillId="40" borderId="13" xfId="0" applyFont="1" applyFill="1" applyBorder="1" applyAlignment="1">
      <alignment horizontal="center" vertical="center" wrapText="1"/>
    </xf>
    <xf numFmtId="0" fontId="3" fillId="40" borderId="13" xfId="0" applyFont="1" applyFill="1" applyBorder="1" applyAlignment="1">
      <alignment horizontal="center" vertical="center" wrapText="1"/>
    </xf>
    <xf numFmtId="0" fontId="15" fillId="42" borderId="13" xfId="0" applyFont="1" applyFill="1" applyBorder="1" applyAlignment="1">
      <alignment horizontal="center" vertical="center"/>
    </xf>
    <xf numFmtId="0" fontId="15" fillId="41" borderId="13" xfId="0" applyFont="1" applyFill="1" applyBorder="1" applyAlignment="1">
      <alignment horizontal="center" vertical="center"/>
    </xf>
    <xf numFmtId="0" fontId="3" fillId="54" borderId="13" xfId="0" applyFont="1" applyFill="1" applyBorder="1" applyAlignment="1">
      <alignment horizontal="center" vertical="center" wrapText="1"/>
    </xf>
    <xf numFmtId="0" fontId="14" fillId="53" borderId="13" xfId="0" applyFont="1" applyFill="1" applyBorder="1" applyAlignment="1">
      <alignment horizontal="center" vertical="center" wrapText="1"/>
    </xf>
    <xf numFmtId="0" fontId="9" fillId="66" borderId="13" xfId="0" applyFont="1" applyFill="1" applyBorder="1" applyAlignment="1">
      <alignment horizontal="left" vertical="center" wrapText="1"/>
    </xf>
    <xf numFmtId="0" fontId="4" fillId="54" borderId="13" xfId="0" applyFont="1" applyFill="1" applyBorder="1" applyAlignment="1">
      <alignment horizontal="left" vertical="center" wrapText="1"/>
    </xf>
    <xf numFmtId="0" fontId="14" fillId="67" borderId="13" xfId="0" applyFont="1" applyFill="1" applyBorder="1" applyAlignment="1">
      <alignment horizontal="center" vertical="center" wrapText="1"/>
    </xf>
    <xf numFmtId="0" fontId="15" fillId="71" borderId="13" xfId="0" applyFont="1" applyFill="1" applyBorder="1" applyAlignment="1">
      <alignment horizontal="center" vertical="center"/>
    </xf>
    <xf numFmtId="0" fontId="15" fillId="74" borderId="13" xfId="0" applyFont="1" applyFill="1" applyBorder="1" applyAlignment="1">
      <alignment horizontal="center" vertical="center"/>
    </xf>
    <xf numFmtId="0" fontId="15" fillId="72" borderId="13" xfId="0" applyFont="1" applyFill="1" applyBorder="1" applyAlignment="1">
      <alignment horizontal="center" vertical="center"/>
    </xf>
    <xf numFmtId="0" fontId="17" fillId="68" borderId="13" xfId="0" applyFont="1" applyFill="1" applyBorder="1" applyAlignment="1">
      <alignment horizontal="center" vertical="center" wrapText="1"/>
    </xf>
    <xf numFmtId="0" fontId="3" fillId="68" borderId="13" xfId="0" applyFont="1" applyFill="1" applyBorder="1" applyAlignment="1">
      <alignment horizontal="center" vertical="center" wrapText="1"/>
    </xf>
    <xf numFmtId="0" fontId="15" fillId="70" borderId="13" xfId="0" applyFont="1" applyFill="1" applyBorder="1" applyAlignment="1">
      <alignment horizontal="center" vertical="center"/>
    </xf>
    <xf numFmtId="0" fontId="15" fillId="69" borderId="13" xfId="0" applyFont="1" applyFill="1" applyBorder="1" applyAlignment="1">
      <alignment horizontal="center" vertical="center"/>
    </xf>
    <xf numFmtId="0" fontId="3" fillId="82" borderId="13" xfId="0" applyFont="1" applyFill="1" applyBorder="1" applyAlignment="1">
      <alignment horizontal="center" vertical="center" wrapText="1"/>
    </xf>
    <xf numFmtId="0" fontId="14" fillId="81" borderId="13" xfId="0" applyFont="1" applyFill="1" applyBorder="1" applyAlignment="1">
      <alignment horizontal="center" vertical="center" wrapText="1"/>
    </xf>
    <xf numFmtId="0" fontId="9" fillId="94" borderId="13" xfId="0" applyFont="1" applyFill="1" applyBorder="1" applyAlignment="1">
      <alignment horizontal="left" vertical="center" wrapText="1"/>
    </xf>
    <xf numFmtId="0" fontId="4" fillId="82" borderId="13" xfId="0" applyFont="1" applyFill="1" applyBorder="1" applyAlignment="1">
      <alignment horizontal="left" vertical="center" wrapText="1"/>
    </xf>
    <xf numFmtId="0" fontId="14" fillId="95" borderId="13" xfId="0" applyFont="1" applyFill="1" applyBorder="1" applyAlignment="1">
      <alignment horizontal="center" vertical="center" wrapText="1"/>
    </xf>
    <xf numFmtId="0" fontId="15" fillId="99" borderId="13" xfId="0" applyFont="1" applyFill="1" applyBorder="1" applyAlignment="1">
      <alignment horizontal="center" vertical="center"/>
    </xf>
    <xf numFmtId="0" fontId="15" fillId="102" borderId="13" xfId="0" applyFont="1" applyFill="1" applyBorder="1" applyAlignment="1">
      <alignment horizontal="center" vertical="center"/>
    </xf>
    <xf numFmtId="0" fontId="15" fillId="100" borderId="13" xfId="0" applyFont="1" applyFill="1" applyBorder="1" applyAlignment="1">
      <alignment horizontal="center" vertical="center"/>
    </xf>
    <xf numFmtId="0" fontId="17" fillId="96" borderId="13" xfId="0" applyFont="1" applyFill="1" applyBorder="1" applyAlignment="1">
      <alignment horizontal="center" vertical="center" wrapText="1"/>
    </xf>
    <xf numFmtId="0" fontId="3" fillId="96" borderId="13" xfId="0" applyFont="1" applyFill="1" applyBorder="1" applyAlignment="1">
      <alignment horizontal="center" vertical="center" wrapText="1"/>
    </xf>
    <xf numFmtId="0" fontId="15" fillId="98" borderId="13" xfId="0" applyFont="1" applyFill="1" applyBorder="1" applyAlignment="1">
      <alignment horizontal="center" vertical="center"/>
    </xf>
    <xf numFmtId="0" fontId="15" fillId="97" borderId="13" xfId="0" applyFont="1" applyFill="1" applyBorder="1" applyAlignment="1">
      <alignment horizontal="center" vertical="center"/>
    </xf>
    <xf numFmtId="0" fontId="3" fillId="110" borderId="13" xfId="0" applyFont="1" applyFill="1" applyBorder="1" applyAlignment="1">
      <alignment horizontal="center" vertical="center" wrapText="1"/>
    </xf>
    <xf numFmtId="0" fontId="14" fillId="109" borderId="13" xfId="0" applyFont="1" applyFill="1" applyBorder="1" applyAlignment="1">
      <alignment horizontal="center" vertical="center" wrapText="1"/>
    </xf>
    <xf numFmtId="0" fontId="9" fillId="122" borderId="13" xfId="0" applyFont="1" applyFill="1" applyBorder="1" applyAlignment="1">
      <alignment horizontal="left" vertical="center" wrapText="1"/>
    </xf>
    <xf numFmtId="0" fontId="4" fillId="110" borderId="13" xfId="0" applyFont="1" applyFill="1" applyBorder="1" applyAlignment="1">
      <alignment horizontal="left" vertical="center" wrapText="1"/>
    </xf>
    <xf numFmtId="0" fontId="31" fillId="125" borderId="13" xfId="0" applyFont="1" applyFill="1" applyBorder="1" applyAlignment="1">
      <alignment horizontal="left" vertical="center" wrapText="1"/>
    </xf>
    <xf numFmtId="0" fontId="14" fillId="123" borderId="13" xfId="0" applyFont="1" applyFill="1" applyBorder="1" applyAlignment="1">
      <alignment horizontal="center" vertical="center" wrapText="1"/>
    </xf>
    <xf numFmtId="0" fontId="31" fillId="127" borderId="13" xfId="0" applyFont="1" applyFill="1" applyBorder="1" applyAlignment="1">
      <alignment horizontal="left" vertical="center" wrapText="1"/>
    </xf>
    <xf numFmtId="0" fontId="31" fillId="123" borderId="13" xfId="0" applyFont="1" applyFill="1" applyBorder="1" applyAlignment="1">
      <alignment horizontal="left" vertical="center" wrapText="1"/>
    </xf>
    <xf numFmtId="0" fontId="31" fillId="129" borderId="13" xfId="0" applyFont="1" applyFill="1" applyBorder="1" applyAlignment="1">
      <alignment horizontal="left" vertical="center" wrapText="1"/>
    </xf>
    <xf numFmtId="0" fontId="36" fillId="132" borderId="0" xfId="0" applyFont="1" applyFill="1" applyAlignment="1">
      <alignment horizontal="left" vertical="center" wrapText="1"/>
    </xf>
    <xf numFmtId="0" fontId="35" fillId="141" borderId="0" xfId="0" applyFont="1" applyFill="1" applyAlignment="1">
      <alignment horizontal="left" vertical="center" wrapText="1"/>
    </xf>
    <xf numFmtId="0" fontId="36" fillId="140" borderId="0" xfId="0" applyFont="1" applyFill="1" applyAlignment="1">
      <alignment horizontal="left" vertical="center" wrapText="1"/>
    </xf>
    <xf numFmtId="0" fontId="33" fillId="131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workbookViewId="0">
      <pane xSplit="2" ySplit="3" topLeftCell="C4" activePane="bottomRight" state="frozen"/>
      <selection sqref="A1:X1"/>
      <selection pane="topRight" sqref="A1:X1"/>
      <selection pane="bottomLeft" sqref="A1:X1"/>
      <selection pane="bottomRight" sqref="A1:X1"/>
    </sheetView>
  </sheetViews>
  <sheetFormatPr baseColWidth="10" defaultColWidth="9" defaultRowHeight="14" x14ac:dyDescent="0.2"/>
  <cols>
    <col min="1" max="1" width="22" style="270" customWidth="1"/>
    <col min="2" max="2" width="12" style="270" customWidth="1"/>
    <col min="3" max="3" width="30" style="270" customWidth="1"/>
    <col min="4" max="5" width="42" style="270" customWidth="1"/>
    <col min="6" max="6" width="50" style="270" customWidth="1"/>
    <col min="7" max="7" width="40" style="270" customWidth="1"/>
  </cols>
  <sheetData>
    <row r="1" spans="1:7" ht="30" customHeight="1" x14ac:dyDescent="0.2">
      <c r="A1" s="337" t="s">
        <v>56</v>
      </c>
      <c r="B1" s="336"/>
      <c r="C1" s="336"/>
      <c r="D1" s="336"/>
      <c r="E1" s="336"/>
      <c r="F1" s="336"/>
      <c r="G1" s="336"/>
    </row>
    <row r="2" spans="1:7" ht="18" customHeight="1" x14ac:dyDescent="0.2">
      <c r="A2" s="335" t="s">
        <v>57</v>
      </c>
      <c r="B2" s="336"/>
      <c r="C2" s="336"/>
      <c r="D2" s="336"/>
      <c r="E2" s="336"/>
      <c r="F2" s="336"/>
      <c r="G2" s="336"/>
    </row>
    <row r="3" spans="1:7" ht="30" customHeight="1" x14ac:dyDescent="0.2">
      <c r="A3" s="289" t="s">
        <v>58</v>
      </c>
      <c r="B3" s="289" t="s">
        <v>59</v>
      </c>
      <c r="C3" s="289" t="s">
        <v>60</v>
      </c>
      <c r="D3" s="289" t="s">
        <v>61</v>
      </c>
      <c r="E3" s="289" t="s">
        <v>62</v>
      </c>
      <c r="F3" s="289" t="s">
        <v>63</v>
      </c>
      <c r="G3" s="289" t="s">
        <v>64</v>
      </c>
    </row>
    <row r="4" spans="1:7" ht="70" customHeight="1" x14ac:dyDescent="0.2">
      <c r="A4" s="290" t="s">
        <v>65</v>
      </c>
      <c r="B4" s="291" t="s">
        <v>66</v>
      </c>
      <c r="C4" s="292" t="s">
        <v>67</v>
      </c>
      <c r="D4" s="293" t="s">
        <v>68</v>
      </c>
      <c r="E4" s="293" t="s">
        <v>69</v>
      </c>
      <c r="F4" s="293" t="s">
        <v>70</v>
      </c>
      <c r="G4" s="293" t="s">
        <v>71</v>
      </c>
    </row>
    <row r="5" spans="1:7" ht="70" customHeight="1" x14ac:dyDescent="0.2">
      <c r="A5" s="290" t="s">
        <v>65</v>
      </c>
      <c r="B5" s="291" t="s">
        <v>66</v>
      </c>
      <c r="C5" s="292" t="s">
        <v>72</v>
      </c>
      <c r="D5" s="293" t="s">
        <v>73</v>
      </c>
      <c r="E5" s="293" t="s">
        <v>74</v>
      </c>
      <c r="F5" s="293" t="s">
        <v>75</v>
      </c>
      <c r="G5" s="293" t="s">
        <v>76</v>
      </c>
    </row>
    <row r="6" spans="1:7" ht="70" customHeight="1" x14ac:dyDescent="0.2">
      <c r="A6" s="290" t="s">
        <v>65</v>
      </c>
      <c r="B6" s="291" t="s">
        <v>66</v>
      </c>
      <c r="C6" s="292" t="s">
        <v>77</v>
      </c>
      <c r="D6" s="293" t="s">
        <v>78</v>
      </c>
      <c r="E6" s="293" t="s">
        <v>79</v>
      </c>
      <c r="F6" s="293" t="s">
        <v>80</v>
      </c>
      <c r="G6" s="293" t="s">
        <v>81</v>
      </c>
    </row>
    <row r="7" spans="1:7" ht="70" customHeight="1" x14ac:dyDescent="0.2">
      <c r="A7" s="290" t="s">
        <v>65</v>
      </c>
      <c r="B7" s="291" t="s">
        <v>66</v>
      </c>
      <c r="C7" s="292" t="s">
        <v>82</v>
      </c>
      <c r="D7" s="293" t="s">
        <v>83</v>
      </c>
      <c r="E7" s="293" t="s">
        <v>84</v>
      </c>
      <c r="F7" s="293" t="s">
        <v>85</v>
      </c>
      <c r="G7" s="293" t="s">
        <v>86</v>
      </c>
    </row>
    <row r="8" spans="1:7" ht="70" customHeight="1" x14ac:dyDescent="0.2">
      <c r="A8" s="290" t="s">
        <v>65</v>
      </c>
      <c r="B8" s="291" t="s">
        <v>66</v>
      </c>
      <c r="C8" s="292" t="s">
        <v>87</v>
      </c>
      <c r="D8" s="293" t="s">
        <v>88</v>
      </c>
      <c r="E8" s="293" t="s">
        <v>89</v>
      </c>
      <c r="F8" s="293" t="s">
        <v>90</v>
      </c>
      <c r="G8" s="293" t="s">
        <v>91</v>
      </c>
    </row>
    <row r="9" spans="1:7" ht="70" customHeight="1" x14ac:dyDescent="0.2">
      <c r="A9" s="290" t="s">
        <v>65</v>
      </c>
      <c r="B9" s="291" t="s">
        <v>66</v>
      </c>
      <c r="C9" s="292" t="s">
        <v>92</v>
      </c>
      <c r="D9" s="293" t="s">
        <v>93</v>
      </c>
      <c r="E9" s="293" t="s">
        <v>94</v>
      </c>
      <c r="F9" s="293" t="s">
        <v>95</v>
      </c>
      <c r="G9" s="293" t="s">
        <v>96</v>
      </c>
    </row>
    <row r="10" spans="1:7" ht="70" customHeight="1" x14ac:dyDescent="0.2">
      <c r="A10" s="290" t="s">
        <v>65</v>
      </c>
      <c r="B10" s="291" t="s">
        <v>66</v>
      </c>
      <c r="C10" s="292" t="s">
        <v>97</v>
      </c>
      <c r="D10" s="293" t="s">
        <v>98</v>
      </c>
      <c r="E10" s="293" t="s">
        <v>99</v>
      </c>
      <c r="F10" s="293" t="s">
        <v>100</v>
      </c>
      <c r="G10" s="293" t="s">
        <v>101</v>
      </c>
    </row>
    <row r="11" spans="1:7" ht="70" customHeight="1" x14ac:dyDescent="0.2">
      <c r="A11" s="290" t="s">
        <v>102</v>
      </c>
      <c r="B11" s="291" t="s">
        <v>66</v>
      </c>
      <c r="C11" s="292" t="s">
        <v>103</v>
      </c>
      <c r="D11" s="293" t="s">
        <v>104</v>
      </c>
      <c r="E11" s="293" t="s">
        <v>105</v>
      </c>
      <c r="F11" s="293" t="s">
        <v>106</v>
      </c>
      <c r="G11" s="293" t="s">
        <v>107</v>
      </c>
    </row>
    <row r="12" spans="1:7" ht="70" customHeight="1" x14ac:dyDescent="0.2">
      <c r="A12" s="290" t="s">
        <v>102</v>
      </c>
      <c r="B12" s="291" t="s">
        <v>66</v>
      </c>
      <c r="C12" s="292" t="s">
        <v>108</v>
      </c>
      <c r="D12" s="293" t="s">
        <v>109</v>
      </c>
      <c r="E12" s="293" t="s">
        <v>110</v>
      </c>
      <c r="F12" s="293" t="s">
        <v>111</v>
      </c>
      <c r="G12" s="293" t="s">
        <v>112</v>
      </c>
    </row>
    <row r="13" spans="1:7" ht="70" customHeight="1" x14ac:dyDescent="0.2">
      <c r="A13" s="290" t="s">
        <v>102</v>
      </c>
      <c r="B13" s="291" t="s">
        <v>66</v>
      </c>
      <c r="C13" s="292" t="s">
        <v>113</v>
      </c>
      <c r="D13" s="293" t="s">
        <v>114</v>
      </c>
      <c r="E13" s="293" t="s">
        <v>115</v>
      </c>
      <c r="F13" s="293" t="s">
        <v>116</v>
      </c>
      <c r="G13" s="293" t="s">
        <v>117</v>
      </c>
    </row>
    <row r="14" spans="1:7" ht="70" customHeight="1" x14ac:dyDescent="0.2">
      <c r="A14" s="290" t="s">
        <v>102</v>
      </c>
      <c r="B14" s="291" t="s">
        <v>66</v>
      </c>
      <c r="C14" s="292" t="s">
        <v>118</v>
      </c>
      <c r="D14" s="293" t="s">
        <v>119</v>
      </c>
      <c r="E14" s="293" t="s">
        <v>120</v>
      </c>
      <c r="F14" s="293" t="s">
        <v>121</v>
      </c>
      <c r="G14" s="293" t="s">
        <v>122</v>
      </c>
    </row>
    <row r="15" spans="1:7" ht="70" customHeight="1" x14ac:dyDescent="0.2">
      <c r="A15" s="290" t="s">
        <v>102</v>
      </c>
      <c r="B15" s="291" t="s">
        <v>66</v>
      </c>
      <c r="C15" s="292" t="s">
        <v>123</v>
      </c>
      <c r="D15" s="293" t="s">
        <v>124</v>
      </c>
      <c r="E15" s="293" t="s">
        <v>125</v>
      </c>
      <c r="F15" s="293" t="s">
        <v>126</v>
      </c>
      <c r="G15" s="293" t="s">
        <v>127</v>
      </c>
    </row>
    <row r="16" spans="1:7" ht="70" customHeight="1" x14ac:dyDescent="0.2">
      <c r="A16" s="290" t="s">
        <v>102</v>
      </c>
      <c r="B16" s="291" t="s">
        <v>66</v>
      </c>
      <c r="C16" s="292" t="s">
        <v>128</v>
      </c>
      <c r="D16" s="293" t="s">
        <v>129</v>
      </c>
      <c r="E16" s="293" t="s">
        <v>130</v>
      </c>
      <c r="F16" s="293" t="s">
        <v>131</v>
      </c>
      <c r="G16" s="293" t="s">
        <v>132</v>
      </c>
    </row>
    <row r="17" spans="1:7" ht="70" customHeight="1" x14ac:dyDescent="0.2">
      <c r="A17" s="290" t="s">
        <v>102</v>
      </c>
      <c r="B17" s="291" t="s">
        <v>66</v>
      </c>
      <c r="C17" s="292" t="s">
        <v>133</v>
      </c>
      <c r="D17" s="293" t="s">
        <v>134</v>
      </c>
      <c r="E17" s="293" t="s">
        <v>135</v>
      </c>
      <c r="F17" s="293" t="s">
        <v>136</v>
      </c>
      <c r="G17" s="293" t="s">
        <v>137</v>
      </c>
    </row>
    <row r="18" spans="1:7" ht="70" customHeight="1" x14ac:dyDescent="0.2">
      <c r="A18" s="290" t="s">
        <v>102</v>
      </c>
      <c r="B18" s="291" t="s">
        <v>66</v>
      </c>
      <c r="C18" s="292" t="s">
        <v>138</v>
      </c>
      <c r="D18" s="293" t="s">
        <v>139</v>
      </c>
      <c r="E18" s="293" t="s">
        <v>140</v>
      </c>
      <c r="F18" s="293" t="s">
        <v>141</v>
      </c>
      <c r="G18" s="293" t="s">
        <v>142</v>
      </c>
    </row>
    <row r="19" spans="1:7" ht="70" customHeight="1" x14ac:dyDescent="0.2">
      <c r="A19" s="290" t="s">
        <v>102</v>
      </c>
      <c r="B19" s="291" t="s">
        <v>66</v>
      </c>
      <c r="C19" s="292" t="s">
        <v>143</v>
      </c>
      <c r="D19" s="293" t="s">
        <v>144</v>
      </c>
      <c r="E19" s="293" t="s">
        <v>145</v>
      </c>
      <c r="F19" s="293" t="s">
        <v>146</v>
      </c>
      <c r="G19" s="293" t="s">
        <v>147</v>
      </c>
    </row>
    <row r="20" spans="1:7" ht="70" customHeight="1" x14ac:dyDescent="0.2">
      <c r="A20" s="290" t="s">
        <v>102</v>
      </c>
      <c r="B20" s="291" t="s">
        <v>66</v>
      </c>
      <c r="C20" s="292" t="s">
        <v>148</v>
      </c>
      <c r="D20" s="293" t="s">
        <v>149</v>
      </c>
      <c r="E20" s="293" t="s">
        <v>150</v>
      </c>
      <c r="F20" s="293" t="s">
        <v>151</v>
      </c>
      <c r="G20" s="293" t="s">
        <v>152</v>
      </c>
    </row>
    <row r="21" spans="1:7" ht="70" customHeight="1" x14ac:dyDescent="0.2">
      <c r="A21" s="290" t="s">
        <v>102</v>
      </c>
      <c r="B21" s="291" t="s">
        <v>66</v>
      </c>
      <c r="C21" s="292" t="s">
        <v>153</v>
      </c>
      <c r="D21" s="293" t="s">
        <v>154</v>
      </c>
      <c r="E21" s="293" t="s">
        <v>155</v>
      </c>
      <c r="F21" s="293" t="s">
        <v>156</v>
      </c>
      <c r="G21" s="293" t="s">
        <v>157</v>
      </c>
    </row>
    <row r="22" spans="1:7" ht="70" customHeight="1" x14ac:dyDescent="0.2">
      <c r="A22" s="290" t="s">
        <v>102</v>
      </c>
      <c r="B22" s="291" t="s">
        <v>66</v>
      </c>
      <c r="C22" s="292" t="s">
        <v>158</v>
      </c>
      <c r="D22" s="293" t="s">
        <v>159</v>
      </c>
      <c r="E22" s="293" t="s">
        <v>160</v>
      </c>
      <c r="F22" s="293" t="s">
        <v>161</v>
      </c>
      <c r="G22" s="293" t="s">
        <v>162</v>
      </c>
    </row>
    <row r="23" spans="1:7" ht="70" customHeight="1" x14ac:dyDescent="0.2">
      <c r="A23" s="294" t="s">
        <v>163</v>
      </c>
      <c r="B23" s="295" t="s">
        <v>164</v>
      </c>
      <c r="C23" s="296" t="s">
        <v>165</v>
      </c>
      <c r="D23" s="297" t="s">
        <v>166</v>
      </c>
      <c r="E23" s="297" t="s">
        <v>167</v>
      </c>
      <c r="F23" s="297" t="s">
        <v>168</v>
      </c>
      <c r="G23" s="297" t="s">
        <v>169</v>
      </c>
    </row>
    <row r="24" spans="1:7" ht="70" customHeight="1" x14ac:dyDescent="0.2">
      <c r="A24" s="294" t="s">
        <v>163</v>
      </c>
      <c r="B24" s="295" t="s">
        <v>164</v>
      </c>
      <c r="C24" s="296" t="s">
        <v>170</v>
      </c>
      <c r="D24" s="297" t="s">
        <v>171</v>
      </c>
      <c r="E24" s="297" t="s">
        <v>172</v>
      </c>
      <c r="F24" s="297" t="s">
        <v>173</v>
      </c>
      <c r="G24" s="297" t="s">
        <v>174</v>
      </c>
    </row>
    <row r="25" spans="1:7" ht="70" customHeight="1" x14ac:dyDescent="0.2">
      <c r="A25" s="294" t="s">
        <v>163</v>
      </c>
      <c r="B25" s="295" t="s">
        <v>164</v>
      </c>
      <c r="C25" s="296" t="s">
        <v>175</v>
      </c>
      <c r="D25" s="297" t="s">
        <v>176</v>
      </c>
      <c r="E25" s="297" t="s">
        <v>177</v>
      </c>
      <c r="F25" s="297" t="s">
        <v>178</v>
      </c>
      <c r="G25" s="297" t="s">
        <v>179</v>
      </c>
    </row>
    <row r="26" spans="1:7" ht="70" customHeight="1" x14ac:dyDescent="0.2">
      <c r="A26" s="294" t="s">
        <v>163</v>
      </c>
      <c r="B26" s="295" t="s">
        <v>164</v>
      </c>
      <c r="C26" s="296" t="s">
        <v>180</v>
      </c>
      <c r="D26" s="297" t="s">
        <v>181</v>
      </c>
      <c r="E26" s="297" t="s">
        <v>182</v>
      </c>
      <c r="F26" s="297" t="s">
        <v>183</v>
      </c>
      <c r="G26" s="297" t="s">
        <v>184</v>
      </c>
    </row>
    <row r="27" spans="1:7" ht="70" customHeight="1" x14ac:dyDescent="0.2">
      <c r="A27" s="294" t="s">
        <v>163</v>
      </c>
      <c r="B27" s="295" t="s">
        <v>164</v>
      </c>
      <c r="C27" s="296" t="s">
        <v>185</v>
      </c>
      <c r="D27" s="297" t="s">
        <v>186</v>
      </c>
      <c r="E27" s="297" t="s">
        <v>187</v>
      </c>
      <c r="F27" s="297" t="s">
        <v>188</v>
      </c>
      <c r="G27" s="297" t="s">
        <v>189</v>
      </c>
    </row>
    <row r="28" spans="1:7" ht="70" customHeight="1" x14ac:dyDescent="0.2">
      <c r="A28" s="294" t="s">
        <v>163</v>
      </c>
      <c r="B28" s="295" t="s">
        <v>164</v>
      </c>
      <c r="C28" s="296" t="s">
        <v>190</v>
      </c>
      <c r="D28" s="297" t="s">
        <v>191</v>
      </c>
      <c r="E28" s="297" t="s">
        <v>192</v>
      </c>
      <c r="F28" s="297" t="s">
        <v>193</v>
      </c>
      <c r="G28" s="297" t="s">
        <v>194</v>
      </c>
    </row>
    <row r="29" spans="1:7" ht="70" customHeight="1" x14ac:dyDescent="0.2">
      <c r="A29" s="294" t="s">
        <v>195</v>
      </c>
      <c r="B29" s="295" t="s">
        <v>164</v>
      </c>
      <c r="C29" s="296" t="s">
        <v>196</v>
      </c>
      <c r="D29" s="297" t="s">
        <v>197</v>
      </c>
      <c r="E29" s="297" t="s">
        <v>198</v>
      </c>
      <c r="F29" s="297" t="s">
        <v>199</v>
      </c>
      <c r="G29" s="297" t="s">
        <v>200</v>
      </c>
    </row>
    <row r="30" spans="1:7" ht="70" customHeight="1" x14ac:dyDescent="0.2">
      <c r="A30" s="294" t="s">
        <v>195</v>
      </c>
      <c r="B30" s="295" t="s">
        <v>164</v>
      </c>
      <c r="C30" s="296" t="s">
        <v>201</v>
      </c>
      <c r="D30" s="297" t="s">
        <v>202</v>
      </c>
      <c r="E30" s="297" t="s">
        <v>203</v>
      </c>
      <c r="F30" s="297" t="s">
        <v>204</v>
      </c>
      <c r="G30" s="297" t="s">
        <v>205</v>
      </c>
    </row>
    <row r="31" spans="1:7" ht="70" customHeight="1" x14ac:dyDescent="0.2">
      <c r="A31" s="294" t="s">
        <v>195</v>
      </c>
      <c r="B31" s="295" t="s">
        <v>164</v>
      </c>
      <c r="C31" s="296" t="s">
        <v>206</v>
      </c>
      <c r="D31" s="297" t="s">
        <v>207</v>
      </c>
      <c r="E31" s="297" t="s">
        <v>208</v>
      </c>
      <c r="F31" s="297" t="s">
        <v>209</v>
      </c>
      <c r="G31" s="297" t="s">
        <v>210</v>
      </c>
    </row>
    <row r="32" spans="1:7" ht="70" customHeight="1" x14ac:dyDescent="0.2">
      <c r="A32" s="294" t="s">
        <v>195</v>
      </c>
      <c r="B32" s="295" t="s">
        <v>164</v>
      </c>
      <c r="C32" s="296" t="s">
        <v>211</v>
      </c>
      <c r="D32" s="297" t="s">
        <v>212</v>
      </c>
      <c r="E32" s="297" t="s">
        <v>213</v>
      </c>
      <c r="F32" s="297" t="s">
        <v>214</v>
      </c>
      <c r="G32" s="297" t="s">
        <v>215</v>
      </c>
    </row>
    <row r="33" spans="1:7" ht="70" customHeight="1" x14ac:dyDescent="0.2">
      <c r="A33" s="294" t="s">
        <v>195</v>
      </c>
      <c r="B33" s="295" t="s">
        <v>164</v>
      </c>
      <c r="C33" s="296" t="s">
        <v>216</v>
      </c>
      <c r="D33" s="297" t="s">
        <v>217</v>
      </c>
      <c r="E33" s="297" t="s">
        <v>218</v>
      </c>
      <c r="F33" s="297" t="s">
        <v>219</v>
      </c>
      <c r="G33" s="297" t="s">
        <v>220</v>
      </c>
    </row>
    <row r="34" spans="1:7" ht="70" customHeight="1" x14ac:dyDescent="0.2">
      <c r="A34" s="294" t="s">
        <v>195</v>
      </c>
      <c r="B34" s="295" t="s">
        <v>164</v>
      </c>
      <c r="C34" s="296" t="s">
        <v>221</v>
      </c>
      <c r="D34" s="297" t="s">
        <v>222</v>
      </c>
      <c r="E34" s="297" t="s">
        <v>223</v>
      </c>
      <c r="F34" s="297" t="s">
        <v>224</v>
      </c>
      <c r="G34" s="297" t="s">
        <v>225</v>
      </c>
    </row>
    <row r="35" spans="1:7" ht="70" customHeight="1" x14ac:dyDescent="0.2">
      <c r="A35" s="294" t="s">
        <v>195</v>
      </c>
      <c r="B35" s="295" t="s">
        <v>164</v>
      </c>
      <c r="C35" s="296" t="s">
        <v>226</v>
      </c>
      <c r="D35" s="297" t="s">
        <v>227</v>
      </c>
      <c r="E35" s="297" t="s">
        <v>228</v>
      </c>
      <c r="F35" s="297" t="s">
        <v>229</v>
      </c>
      <c r="G35" s="297" t="s">
        <v>230</v>
      </c>
    </row>
    <row r="36" spans="1:7" ht="70" customHeight="1" x14ac:dyDescent="0.2">
      <c r="A36" s="294" t="s">
        <v>195</v>
      </c>
      <c r="B36" s="295" t="s">
        <v>164</v>
      </c>
      <c r="C36" s="296" t="s">
        <v>231</v>
      </c>
      <c r="D36" s="297" t="s">
        <v>232</v>
      </c>
      <c r="E36" s="297" t="s">
        <v>233</v>
      </c>
      <c r="F36" s="297" t="s">
        <v>234</v>
      </c>
      <c r="G36" s="297" t="s">
        <v>235</v>
      </c>
    </row>
    <row r="37" spans="1:7" ht="70" customHeight="1" x14ac:dyDescent="0.2">
      <c r="A37" s="294" t="s">
        <v>195</v>
      </c>
      <c r="B37" s="295" t="s">
        <v>164</v>
      </c>
      <c r="C37" s="296" t="s">
        <v>236</v>
      </c>
      <c r="D37" s="297" t="s">
        <v>237</v>
      </c>
      <c r="E37" s="297" t="s">
        <v>238</v>
      </c>
      <c r="F37" s="297" t="s">
        <v>239</v>
      </c>
      <c r="G37" s="297" t="s">
        <v>240</v>
      </c>
    </row>
    <row r="38" spans="1:7" ht="70" customHeight="1" x14ac:dyDescent="0.2">
      <c r="A38" s="294" t="s">
        <v>195</v>
      </c>
      <c r="B38" s="295" t="s">
        <v>164</v>
      </c>
      <c r="C38" s="296" t="s">
        <v>241</v>
      </c>
      <c r="D38" s="297" t="s">
        <v>242</v>
      </c>
      <c r="E38" s="297" t="s">
        <v>243</v>
      </c>
      <c r="F38" s="297" t="s">
        <v>244</v>
      </c>
      <c r="G38" s="297" t="s">
        <v>245</v>
      </c>
    </row>
    <row r="39" spans="1:7" ht="70" customHeight="1" x14ac:dyDescent="0.2">
      <c r="A39" s="294" t="s">
        <v>195</v>
      </c>
      <c r="B39" s="295" t="s">
        <v>164</v>
      </c>
      <c r="C39" s="296" t="s">
        <v>246</v>
      </c>
      <c r="D39" s="297" t="s">
        <v>247</v>
      </c>
      <c r="E39" s="297" t="s">
        <v>248</v>
      </c>
      <c r="F39" s="297" t="s">
        <v>249</v>
      </c>
      <c r="G39" s="297" t="s">
        <v>250</v>
      </c>
    </row>
    <row r="40" spans="1:7" ht="70" customHeight="1" x14ac:dyDescent="0.2">
      <c r="A40" s="298" t="s">
        <v>251</v>
      </c>
      <c r="B40" s="299" t="s">
        <v>252</v>
      </c>
      <c r="C40" s="300" t="s">
        <v>253</v>
      </c>
      <c r="D40" s="301" t="s">
        <v>254</v>
      </c>
      <c r="E40" s="301" t="s">
        <v>255</v>
      </c>
      <c r="F40" s="301" t="s">
        <v>256</v>
      </c>
      <c r="G40" s="301" t="s">
        <v>257</v>
      </c>
    </row>
    <row r="41" spans="1:7" ht="70" customHeight="1" x14ac:dyDescent="0.2">
      <c r="A41" s="298" t="s">
        <v>251</v>
      </c>
      <c r="B41" s="299" t="s">
        <v>252</v>
      </c>
      <c r="C41" s="300" t="s">
        <v>258</v>
      </c>
      <c r="D41" s="301" t="s">
        <v>259</v>
      </c>
      <c r="E41" s="301" t="s">
        <v>260</v>
      </c>
      <c r="F41" s="301" t="s">
        <v>261</v>
      </c>
      <c r="G41" s="301" t="s">
        <v>262</v>
      </c>
    </row>
    <row r="42" spans="1:7" ht="70" customHeight="1" x14ac:dyDescent="0.2">
      <c r="A42" s="302" t="s">
        <v>263</v>
      </c>
      <c r="B42" s="303" t="s">
        <v>252</v>
      </c>
      <c r="C42" s="304" t="s">
        <v>264</v>
      </c>
      <c r="D42" s="305" t="s">
        <v>265</v>
      </c>
      <c r="E42" s="305" t="s">
        <v>266</v>
      </c>
      <c r="F42" s="305" t="s">
        <v>267</v>
      </c>
      <c r="G42" s="305" t="s">
        <v>268</v>
      </c>
    </row>
    <row r="43" spans="1:7" ht="70" customHeight="1" x14ac:dyDescent="0.2">
      <c r="A43" s="302" t="s">
        <v>263</v>
      </c>
      <c r="B43" s="303" t="s">
        <v>252</v>
      </c>
      <c r="C43" s="304" t="s">
        <v>269</v>
      </c>
      <c r="D43" s="305" t="s">
        <v>270</v>
      </c>
      <c r="E43" s="305" t="s">
        <v>271</v>
      </c>
      <c r="F43" s="305" t="s">
        <v>272</v>
      </c>
      <c r="G43" s="305" t="s">
        <v>273</v>
      </c>
    </row>
    <row r="44" spans="1:7" ht="70" customHeight="1" x14ac:dyDescent="0.2">
      <c r="A44" s="302" t="s">
        <v>263</v>
      </c>
      <c r="B44" s="303" t="s">
        <v>252</v>
      </c>
      <c r="C44" s="304" t="s">
        <v>274</v>
      </c>
      <c r="D44" s="305" t="s">
        <v>275</v>
      </c>
      <c r="E44" s="305" t="s">
        <v>276</v>
      </c>
      <c r="F44" s="305" t="s">
        <v>277</v>
      </c>
      <c r="G44" s="305" t="s">
        <v>278</v>
      </c>
    </row>
    <row r="45" spans="1:7" ht="70" customHeight="1" x14ac:dyDescent="0.2">
      <c r="A45" s="302" t="s">
        <v>263</v>
      </c>
      <c r="B45" s="303" t="s">
        <v>252</v>
      </c>
      <c r="C45" s="304" t="s">
        <v>279</v>
      </c>
      <c r="D45" s="305" t="s">
        <v>280</v>
      </c>
      <c r="E45" s="305" t="s">
        <v>281</v>
      </c>
      <c r="F45" s="305" t="s">
        <v>282</v>
      </c>
      <c r="G45" s="305" t="s">
        <v>283</v>
      </c>
    </row>
    <row r="46" spans="1:7" ht="70" customHeight="1" x14ac:dyDescent="0.2">
      <c r="A46" s="302" t="s">
        <v>263</v>
      </c>
      <c r="B46" s="303" t="s">
        <v>252</v>
      </c>
      <c r="C46" s="304" t="s">
        <v>284</v>
      </c>
      <c r="D46" s="305" t="s">
        <v>285</v>
      </c>
      <c r="E46" s="305" t="s">
        <v>286</v>
      </c>
      <c r="F46" s="305" t="s">
        <v>287</v>
      </c>
      <c r="G46" s="305" t="s">
        <v>288</v>
      </c>
    </row>
    <row r="47" spans="1:7" ht="70" customHeight="1" x14ac:dyDescent="0.2">
      <c r="A47" s="306" t="s">
        <v>289</v>
      </c>
      <c r="B47" s="307" t="s">
        <v>66</v>
      </c>
      <c r="C47" s="308" t="s">
        <v>290</v>
      </c>
      <c r="D47" s="309" t="s">
        <v>291</v>
      </c>
      <c r="E47" s="309" t="s">
        <v>292</v>
      </c>
      <c r="F47" s="309" t="s">
        <v>293</v>
      </c>
      <c r="G47" s="309" t="s">
        <v>294</v>
      </c>
    </row>
    <row r="48" spans="1:7" ht="70" customHeight="1" x14ac:dyDescent="0.2">
      <c r="A48" s="306" t="s">
        <v>289</v>
      </c>
      <c r="B48" s="307" t="s">
        <v>164</v>
      </c>
      <c r="C48" s="308" t="s">
        <v>295</v>
      </c>
      <c r="D48" s="309" t="s">
        <v>296</v>
      </c>
      <c r="E48" s="309" t="s">
        <v>297</v>
      </c>
      <c r="F48" s="309" t="s">
        <v>298</v>
      </c>
      <c r="G48" s="309" t="s">
        <v>299</v>
      </c>
    </row>
    <row r="49" spans="1:7" ht="70" customHeight="1" x14ac:dyDescent="0.2">
      <c r="A49" s="306" t="s">
        <v>289</v>
      </c>
      <c r="B49" s="307" t="s">
        <v>66</v>
      </c>
      <c r="C49" s="308" t="s">
        <v>300</v>
      </c>
      <c r="D49" s="309" t="s">
        <v>301</v>
      </c>
      <c r="E49" s="309" t="s">
        <v>302</v>
      </c>
      <c r="F49" s="309" t="s">
        <v>303</v>
      </c>
      <c r="G49" s="309" t="s">
        <v>304</v>
      </c>
    </row>
    <row r="50" spans="1:7" ht="70" customHeight="1" x14ac:dyDescent="0.2">
      <c r="A50" s="306" t="s">
        <v>289</v>
      </c>
      <c r="B50" s="307" t="s">
        <v>164</v>
      </c>
      <c r="C50" s="308" t="s">
        <v>305</v>
      </c>
      <c r="D50" s="309" t="s">
        <v>247</v>
      </c>
      <c r="E50" s="309" t="s">
        <v>306</v>
      </c>
      <c r="F50" s="309" t="s">
        <v>307</v>
      </c>
      <c r="G50" s="309" t="s">
        <v>308</v>
      </c>
    </row>
    <row r="51" spans="1:7" ht="70" customHeight="1" x14ac:dyDescent="0.2">
      <c r="A51" s="310" t="s">
        <v>309</v>
      </c>
      <c r="B51" s="311" t="s">
        <v>252</v>
      </c>
      <c r="C51" s="312" t="s">
        <v>310</v>
      </c>
      <c r="D51" s="313" t="s">
        <v>311</v>
      </c>
      <c r="E51" s="313" t="s">
        <v>312</v>
      </c>
      <c r="F51" s="313" t="s">
        <v>313</v>
      </c>
      <c r="G51" s="313" t="s">
        <v>314</v>
      </c>
    </row>
    <row r="52" spans="1:7" ht="70" customHeight="1" x14ac:dyDescent="0.2">
      <c r="A52" s="310" t="s">
        <v>309</v>
      </c>
      <c r="B52" s="311" t="s">
        <v>252</v>
      </c>
      <c r="C52" s="312" t="s">
        <v>315</v>
      </c>
      <c r="D52" s="313" t="s">
        <v>316</v>
      </c>
      <c r="E52" s="313" t="s">
        <v>317</v>
      </c>
      <c r="F52" s="313" t="s">
        <v>318</v>
      </c>
      <c r="G52" s="313" t="s">
        <v>319</v>
      </c>
    </row>
    <row r="53" spans="1:7" ht="70" customHeight="1" x14ac:dyDescent="0.2">
      <c r="A53" s="310" t="s">
        <v>309</v>
      </c>
      <c r="B53" s="311" t="s">
        <v>252</v>
      </c>
      <c r="C53" s="312" t="s">
        <v>320</v>
      </c>
      <c r="D53" s="313" t="s">
        <v>321</v>
      </c>
      <c r="E53" s="313" t="s">
        <v>322</v>
      </c>
      <c r="F53" s="313" t="s">
        <v>323</v>
      </c>
      <c r="G53" s="313" t="s">
        <v>324</v>
      </c>
    </row>
    <row r="54" spans="1:7" ht="70" customHeight="1" x14ac:dyDescent="0.2">
      <c r="A54" s="310" t="s">
        <v>309</v>
      </c>
      <c r="B54" s="311" t="s">
        <v>252</v>
      </c>
      <c r="C54" s="312" t="s">
        <v>325</v>
      </c>
      <c r="D54" s="313" t="s">
        <v>326</v>
      </c>
      <c r="E54" s="313" t="s">
        <v>327</v>
      </c>
      <c r="F54" s="313" t="s">
        <v>328</v>
      </c>
      <c r="G54" s="313" t="s">
        <v>329</v>
      </c>
    </row>
    <row r="55" spans="1:7" ht="70" customHeight="1" x14ac:dyDescent="0.2">
      <c r="A55" s="310" t="s">
        <v>309</v>
      </c>
      <c r="B55" s="311" t="s">
        <v>252</v>
      </c>
      <c r="C55" s="312" t="s">
        <v>330</v>
      </c>
      <c r="D55" s="313" t="s">
        <v>331</v>
      </c>
      <c r="E55" s="313" t="s">
        <v>332</v>
      </c>
      <c r="F55" s="313" t="s">
        <v>333</v>
      </c>
      <c r="G55" s="313" t="s">
        <v>334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200"/>
  <sheetViews>
    <sheetView topLeftCell="M1" zoomScale="140" zoomScaleNormal="140" workbookViewId="0">
      <selection activeCell="A86" sqref="A86"/>
    </sheetView>
  </sheetViews>
  <sheetFormatPr baseColWidth="10" defaultColWidth="14" defaultRowHeight="14" x14ac:dyDescent="0.2"/>
  <cols>
    <col min="1" max="1" width="35" style="270" customWidth="1"/>
    <col min="2" max="2" width="43" style="270" customWidth="1"/>
    <col min="3" max="3" width="10" style="270" customWidth="1"/>
    <col min="4" max="8" width="16" style="270" customWidth="1"/>
    <col min="9" max="9" width="14" style="270" customWidth="1"/>
    <col min="10" max="24" width="16" style="270" customWidth="1"/>
  </cols>
  <sheetData>
    <row r="1" spans="1:24" ht="38" customHeight="1" x14ac:dyDescent="0.2">
      <c r="A1" s="326" t="s">
        <v>335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  <c r="R1" s="323"/>
      <c r="S1" s="323"/>
      <c r="T1" s="323"/>
      <c r="U1" s="323"/>
      <c r="V1" s="323"/>
      <c r="W1" s="323"/>
      <c r="X1" s="323"/>
    </row>
    <row r="2" spans="1:24" ht="22" customHeight="1" x14ac:dyDescent="0.2">
      <c r="A2" s="329" t="s">
        <v>336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</row>
    <row r="3" spans="1:24" ht="29" customHeight="1" x14ac:dyDescent="0.2">
      <c r="A3" s="2" t="s">
        <v>337</v>
      </c>
      <c r="B3" s="2" t="s">
        <v>338</v>
      </c>
      <c r="C3" s="2" t="s">
        <v>339</v>
      </c>
      <c r="D3" s="3" t="s">
        <v>340</v>
      </c>
      <c r="E3" s="3" t="s">
        <v>341</v>
      </c>
      <c r="F3" s="3" t="s">
        <v>342</v>
      </c>
      <c r="G3" s="3" t="s">
        <v>343</v>
      </c>
      <c r="H3" s="3" t="s">
        <v>344</v>
      </c>
      <c r="I3" s="3" t="s">
        <v>345</v>
      </c>
      <c r="J3" s="3" t="s">
        <v>346</v>
      </c>
      <c r="K3" s="3" t="s">
        <v>347</v>
      </c>
      <c r="L3" s="3" t="s">
        <v>348</v>
      </c>
      <c r="M3" s="3" t="s">
        <v>349</v>
      </c>
      <c r="N3" s="3" t="s">
        <v>350</v>
      </c>
      <c r="O3" s="3" t="s">
        <v>351</v>
      </c>
      <c r="P3" s="3" t="s">
        <v>352</v>
      </c>
      <c r="Q3" s="3" t="s">
        <v>353</v>
      </c>
      <c r="R3" s="3" t="s">
        <v>354</v>
      </c>
      <c r="S3" s="3" t="s">
        <v>355</v>
      </c>
      <c r="T3" s="3" t="s">
        <v>356</v>
      </c>
      <c r="U3" s="4" t="s">
        <v>357</v>
      </c>
      <c r="V3" s="4" t="s">
        <v>358</v>
      </c>
      <c r="W3" s="4" t="s">
        <v>359</v>
      </c>
      <c r="X3" s="4" t="s">
        <v>360</v>
      </c>
    </row>
    <row r="4" spans="1:24" ht="26" customHeight="1" x14ac:dyDescent="0.2">
      <c r="A4" s="334" t="s">
        <v>361</v>
      </c>
      <c r="B4" s="323"/>
      <c r="C4" s="323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3"/>
      <c r="O4" s="323"/>
      <c r="P4" s="323"/>
      <c r="Q4" s="323"/>
      <c r="R4" s="323"/>
      <c r="S4" s="323"/>
      <c r="T4" s="323"/>
      <c r="U4" s="323"/>
      <c r="V4" s="323"/>
      <c r="W4" s="323"/>
      <c r="X4" s="323"/>
    </row>
    <row r="5" spans="1:24" ht="19" customHeight="1" x14ac:dyDescent="0.2">
      <c r="A5" s="327" t="s">
        <v>362</v>
      </c>
      <c r="B5" s="323"/>
      <c r="C5" s="323"/>
      <c r="D5" s="323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3"/>
      <c r="Q5" s="323"/>
      <c r="R5" s="323"/>
      <c r="S5" s="323"/>
      <c r="T5" s="323"/>
      <c r="U5" s="323"/>
      <c r="V5" s="323"/>
      <c r="W5" s="323"/>
      <c r="X5" s="323"/>
    </row>
    <row r="6" spans="1:24" ht="22" customHeight="1" x14ac:dyDescent="0.2">
      <c r="A6" s="5"/>
      <c r="B6" s="6" t="s">
        <v>67</v>
      </c>
      <c r="C6" s="7" t="s">
        <v>363</v>
      </c>
      <c r="D6" s="8">
        <v>2066121100</v>
      </c>
      <c r="E6" s="8">
        <v>1188989400</v>
      </c>
      <c r="F6" s="8">
        <v>1312859900</v>
      </c>
      <c r="G6" s="8">
        <v>1143461000</v>
      </c>
      <c r="H6" s="8">
        <v>1120777110</v>
      </c>
      <c r="I6" s="8">
        <v>1013822914</v>
      </c>
      <c r="J6" s="8">
        <v>1065005481</v>
      </c>
      <c r="K6" s="8">
        <v>1150227039</v>
      </c>
      <c r="L6" s="8">
        <v>919076055</v>
      </c>
      <c r="M6" s="8">
        <v>1107796009</v>
      </c>
      <c r="N6" s="8">
        <v>1428219997</v>
      </c>
      <c r="O6" s="8">
        <v>1515344239</v>
      </c>
      <c r="P6" s="8">
        <v>1709354641</v>
      </c>
      <c r="Q6" s="8">
        <v>1379397616</v>
      </c>
      <c r="R6" s="8">
        <v>1232733006</v>
      </c>
      <c r="S6" s="8">
        <v>1142329984</v>
      </c>
      <c r="T6" s="8">
        <v>1088024420</v>
      </c>
      <c r="U6" s="9">
        <v>1088741202</v>
      </c>
      <c r="V6" s="9">
        <f>IFERROR(SUM('📅 DAILY T7'!C$6:C$36),0)</f>
        <v>196045598</v>
      </c>
      <c r="W6" s="9">
        <f>IFERROR(SUM('📅 DAILY T8'!C$6:C$36),0)</f>
        <v>0</v>
      </c>
      <c r="X6" s="9">
        <f>IFERROR(SUM('📅 DAILY T9'!C$6:C$35),0)</f>
        <v>0</v>
      </c>
    </row>
    <row r="7" spans="1:24" ht="22" customHeight="1" x14ac:dyDescent="0.2">
      <c r="A7" s="5"/>
      <c r="B7" s="10" t="s">
        <v>72</v>
      </c>
      <c r="C7" s="11" t="s">
        <v>364</v>
      </c>
      <c r="D7" s="8">
        <v>3886</v>
      </c>
      <c r="E7" s="8">
        <v>2167</v>
      </c>
      <c r="F7" s="8">
        <v>2462</v>
      </c>
      <c r="G7" s="8">
        <v>2234</v>
      </c>
      <c r="H7" s="8">
        <v>2267</v>
      </c>
      <c r="I7" s="8">
        <v>2033</v>
      </c>
      <c r="J7" s="8">
        <v>2189</v>
      </c>
      <c r="K7" s="8">
        <v>2433</v>
      </c>
      <c r="L7" s="8">
        <v>2025</v>
      </c>
      <c r="M7" s="8">
        <v>2627</v>
      </c>
      <c r="N7" s="8">
        <v>3365</v>
      </c>
      <c r="O7" s="8">
        <v>3425</v>
      </c>
      <c r="P7" s="8">
        <v>3755</v>
      </c>
      <c r="Q7" s="8">
        <v>2953</v>
      </c>
      <c r="R7" s="8">
        <v>2701</v>
      </c>
      <c r="S7" s="8">
        <v>2499</v>
      </c>
      <c r="T7" s="8">
        <v>2401</v>
      </c>
      <c r="U7" s="9">
        <v>2471</v>
      </c>
      <c r="V7" s="9">
        <f>IFERROR(SUM('📅 DAILY T7'!D$6:D$36),0)</f>
        <v>465</v>
      </c>
      <c r="W7" s="9">
        <f>IFERROR(SUM('📅 DAILY T8'!D$6:D$36),0)</f>
        <v>0</v>
      </c>
      <c r="X7" s="9">
        <f>IFERROR(SUM('📅 DAILY T9'!D$6:D$35),0)</f>
        <v>0</v>
      </c>
    </row>
    <row r="8" spans="1:24" ht="22" customHeight="1" x14ac:dyDescent="0.2">
      <c r="A8" s="5"/>
      <c r="B8" s="6" t="s">
        <v>77</v>
      </c>
      <c r="C8" s="7" t="s">
        <v>365</v>
      </c>
      <c r="D8" s="8">
        <v>531683</v>
      </c>
      <c r="E8" s="8">
        <v>548680</v>
      </c>
      <c r="F8" s="8">
        <v>533249</v>
      </c>
      <c r="G8" s="8">
        <v>511845</v>
      </c>
      <c r="H8" s="8">
        <v>494388</v>
      </c>
      <c r="I8" s="8">
        <v>498683</v>
      </c>
      <c r="J8" s="8">
        <v>486526</v>
      </c>
      <c r="K8" s="8">
        <v>472761</v>
      </c>
      <c r="L8" s="8">
        <v>453865</v>
      </c>
      <c r="M8" s="8">
        <v>421696</v>
      </c>
      <c r="N8" s="8">
        <v>424434</v>
      </c>
      <c r="O8" s="8">
        <v>442436</v>
      </c>
      <c r="P8" s="8">
        <v>455221</v>
      </c>
      <c r="Q8" s="8">
        <v>467117</v>
      </c>
      <c r="R8" s="8">
        <v>456399</v>
      </c>
      <c r="S8" s="8">
        <v>457115</v>
      </c>
      <c r="T8" s="8">
        <v>453155</v>
      </c>
      <c r="U8" s="9">
        <v>440607</v>
      </c>
      <c r="V8" s="9">
        <f>IFERROR(SUM('📅 DAILY T7'!C$6:C$36)/SUM('📅 DAILY T7'!D$6:D$36),"")</f>
        <v>421603.43655913981</v>
      </c>
      <c r="W8" s="9" t="str">
        <f>IFERROR(SUM('📅 DAILY T8'!C$6:C$36)/SUM('📅 DAILY T8'!D$6:D$36),"")</f>
        <v/>
      </c>
      <c r="X8" s="9" t="str">
        <f>IFERROR(SUM('📅 DAILY T9'!C$6:C$35)/SUM('📅 DAILY T9'!D$6:D$35),"")</f>
        <v/>
      </c>
    </row>
    <row r="9" spans="1:24" ht="22" customHeight="1" x14ac:dyDescent="0.2">
      <c r="A9" s="5"/>
      <c r="B9" s="10" t="s">
        <v>82</v>
      </c>
      <c r="C9" s="11" t="s">
        <v>366</v>
      </c>
      <c r="D9" s="8">
        <v>9627</v>
      </c>
      <c r="E9" s="8">
        <v>6309</v>
      </c>
      <c r="F9" s="8">
        <v>6503</v>
      </c>
      <c r="G9" s="8">
        <v>6784</v>
      </c>
      <c r="H9" s="8">
        <v>6098</v>
      </c>
      <c r="I9" s="8">
        <v>5749</v>
      </c>
      <c r="J9" s="8">
        <v>6827</v>
      </c>
      <c r="K9" s="8">
        <v>6173</v>
      </c>
      <c r="L9" s="8">
        <v>5668</v>
      </c>
      <c r="M9" s="8">
        <v>6361</v>
      </c>
      <c r="N9" s="8">
        <v>6898</v>
      </c>
      <c r="O9" s="8">
        <v>7275</v>
      </c>
      <c r="P9" s="8">
        <v>9054</v>
      </c>
      <c r="Q9" s="8">
        <v>7364</v>
      </c>
      <c r="R9" s="8">
        <v>5790</v>
      </c>
      <c r="S9" s="8">
        <v>4999</v>
      </c>
      <c r="T9" s="8">
        <v>5231</v>
      </c>
      <c r="U9" s="12">
        <v>5518</v>
      </c>
      <c r="V9" s="12">
        <v>1309</v>
      </c>
      <c r="W9" s="12"/>
      <c r="X9" s="12"/>
    </row>
    <row r="10" spans="1:24" ht="22" customHeight="1" x14ac:dyDescent="0.2">
      <c r="A10" s="5"/>
      <c r="B10" s="6"/>
      <c r="C10" s="7" t="s">
        <v>363</v>
      </c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12"/>
      <c r="V10" s="12"/>
      <c r="W10" s="12"/>
      <c r="X10" s="12"/>
    </row>
    <row r="11" spans="1:24" ht="22" customHeight="1" x14ac:dyDescent="0.2">
      <c r="A11" s="5"/>
      <c r="B11" s="10" t="s">
        <v>367</v>
      </c>
      <c r="C11" s="11" t="s">
        <v>368</v>
      </c>
      <c r="D11" s="288">
        <f t="shared" ref="D11:V11" si="0">D7/D9</f>
        <v>0.40365638308922819</v>
      </c>
      <c r="E11" s="288">
        <f t="shared" si="0"/>
        <v>0.34347757172293547</v>
      </c>
      <c r="F11" s="288">
        <f t="shared" si="0"/>
        <v>0.37859449484853147</v>
      </c>
      <c r="G11" s="288">
        <f t="shared" si="0"/>
        <v>0.32930424528301888</v>
      </c>
      <c r="H11" s="288">
        <f t="shared" si="0"/>
        <v>0.37176123319121024</v>
      </c>
      <c r="I11" s="288">
        <f t="shared" si="0"/>
        <v>0.35362671769003307</v>
      </c>
      <c r="J11" s="288">
        <f t="shared" si="0"/>
        <v>0.32063864069137249</v>
      </c>
      <c r="K11" s="288">
        <f t="shared" si="0"/>
        <v>0.39413575247043575</v>
      </c>
      <c r="L11" s="288">
        <f t="shared" si="0"/>
        <v>0.35726887791107975</v>
      </c>
      <c r="M11" s="288">
        <f t="shared" si="0"/>
        <v>0.4129853796572866</v>
      </c>
      <c r="N11" s="288">
        <f t="shared" si="0"/>
        <v>0.4878225572629748</v>
      </c>
      <c r="O11" s="288">
        <f t="shared" si="0"/>
        <v>0.47079037800687284</v>
      </c>
      <c r="P11" s="288">
        <f t="shared" si="0"/>
        <v>0.41473381930638392</v>
      </c>
      <c r="Q11" s="288">
        <f t="shared" si="0"/>
        <v>0.40100488864747419</v>
      </c>
      <c r="R11" s="288">
        <f t="shared" si="0"/>
        <v>0.46649395509499136</v>
      </c>
      <c r="S11" s="288">
        <f t="shared" si="0"/>
        <v>0.49989997999599922</v>
      </c>
      <c r="T11" s="288">
        <f t="shared" si="0"/>
        <v>0.45899445612693557</v>
      </c>
      <c r="U11" s="288">
        <f t="shared" si="0"/>
        <v>0.44780717651322943</v>
      </c>
      <c r="V11" s="288">
        <f t="shared" si="0"/>
        <v>0.35523300229182581</v>
      </c>
      <c r="W11" s="13"/>
      <c r="X11" s="13"/>
    </row>
    <row r="12" spans="1:24" ht="22" customHeight="1" x14ac:dyDescent="0.2">
      <c r="A12" s="5"/>
      <c r="B12" s="6"/>
      <c r="C12" s="7" t="s">
        <v>369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14"/>
      <c r="V12" s="14"/>
      <c r="W12" s="14"/>
      <c r="X12" s="14"/>
    </row>
    <row r="13" spans="1:24" ht="19" customHeight="1" x14ac:dyDescent="0.2">
      <c r="A13" s="327" t="s">
        <v>370</v>
      </c>
      <c r="B13" s="323"/>
      <c r="C13" s="323"/>
      <c r="D13" s="323"/>
      <c r="E13" s="323"/>
      <c r="F13" s="323"/>
      <c r="G13" s="323"/>
      <c r="H13" s="323"/>
      <c r="I13" s="323"/>
      <c r="J13" s="323"/>
      <c r="K13" s="323"/>
      <c r="L13" s="323"/>
      <c r="M13" s="323"/>
      <c r="N13" s="323"/>
      <c r="O13" s="323"/>
      <c r="P13" s="323"/>
      <c r="Q13" s="323"/>
      <c r="R13" s="323"/>
      <c r="S13" s="323"/>
      <c r="T13" s="323"/>
      <c r="U13" s="323"/>
      <c r="V13" s="323"/>
      <c r="W13" s="323"/>
      <c r="X13" s="323"/>
    </row>
    <row r="14" spans="1:24" ht="19" customHeight="1" x14ac:dyDescent="0.2">
      <c r="A14" s="325" t="s">
        <v>371</v>
      </c>
      <c r="B14" s="323"/>
      <c r="C14" s="323"/>
      <c r="D14" s="323"/>
      <c r="E14" s="323"/>
      <c r="F14" s="323"/>
      <c r="G14" s="323"/>
      <c r="H14" s="323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  <c r="T14" s="323"/>
      <c r="U14" s="323"/>
      <c r="V14" s="323"/>
      <c r="W14" s="323"/>
      <c r="X14" s="323"/>
    </row>
    <row r="15" spans="1:24" ht="22" customHeight="1" x14ac:dyDescent="0.2">
      <c r="A15" s="5"/>
      <c r="B15" s="10" t="s">
        <v>103</v>
      </c>
      <c r="C15" s="11" t="s">
        <v>372</v>
      </c>
      <c r="D15" s="8">
        <v>2099</v>
      </c>
      <c r="E15" s="8">
        <v>1056</v>
      </c>
      <c r="F15" s="8">
        <v>1066</v>
      </c>
      <c r="G15" s="8">
        <v>1003</v>
      </c>
      <c r="H15" s="8">
        <v>982</v>
      </c>
      <c r="I15" s="8">
        <v>918</v>
      </c>
      <c r="J15" s="8">
        <v>940</v>
      </c>
      <c r="K15" s="8">
        <v>992</v>
      </c>
      <c r="L15" s="8">
        <v>834</v>
      </c>
      <c r="M15" s="8">
        <v>1075</v>
      </c>
      <c r="N15" s="8">
        <v>1330</v>
      </c>
      <c r="O15" s="8">
        <v>1269</v>
      </c>
      <c r="P15" s="8">
        <v>1445</v>
      </c>
      <c r="Q15" s="8">
        <v>1028</v>
      </c>
      <c r="R15" s="8">
        <v>910</v>
      </c>
      <c r="S15" s="8">
        <v>727</v>
      </c>
      <c r="T15" s="8">
        <v>642</v>
      </c>
      <c r="U15" s="12">
        <v>676</v>
      </c>
      <c r="V15" s="12">
        <v>138</v>
      </c>
      <c r="W15" s="12"/>
      <c r="X15" s="12"/>
    </row>
    <row r="16" spans="1:24" ht="22" customHeight="1" x14ac:dyDescent="0.2">
      <c r="A16" s="5"/>
      <c r="B16" s="15" t="s">
        <v>373</v>
      </c>
      <c r="C16" s="7" t="s">
        <v>365</v>
      </c>
      <c r="D16" s="8">
        <v>529357</v>
      </c>
      <c r="E16" s="8">
        <v>562632</v>
      </c>
      <c r="F16" s="8">
        <v>548814</v>
      </c>
      <c r="G16" s="8">
        <v>517837</v>
      </c>
      <c r="H16" s="8">
        <v>496341</v>
      </c>
      <c r="I16" s="8">
        <v>510097</v>
      </c>
      <c r="J16" s="8">
        <v>474672</v>
      </c>
      <c r="K16" s="8">
        <v>493429</v>
      </c>
      <c r="L16" s="8">
        <v>452535</v>
      </c>
      <c r="M16" s="8">
        <v>407414</v>
      </c>
      <c r="N16" s="8">
        <v>420104</v>
      </c>
      <c r="O16" s="8">
        <v>445144</v>
      </c>
      <c r="P16" s="8">
        <v>444231</v>
      </c>
      <c r="Q16" s="8">
        <v>456560</v>
      </c>
      <c r="R16" s="8">
        <v>468214</v>
      </c>
      <c r="S16" s="8">
        <v>447734</v>
      </c>
      <c r="T16" s="8">
        <v>439787</v>
      </c>
      <c r="U16" s="12">
        <v>410341</v>
      </c>
      <c r="V16" s="12">
        <v>395209</v>
      </c>
      <c r="W16" s="12"/>
      <c r="X16" s="12"/>
    </row>
    <row r="17" spans="1:24" ht="22" customHeight="1" x14ac:dyDescent="0.2">
      <c r="A17" s="5"/>
      <c r="B17" s="10" t="s">
        <v>374</v>
      </c>
      <c r="C17" s="11" t="s">
        <v>368</v>
      </c>
      <c r="D17" s="16">
        <v>0.191</v>
      </c>
      <c r="E17" s="16">
        <v>0.17100000000000001</v>
      </c>
      <c r="F17" s="16">
        <v>0.14199999999999999</v>
      </c>
      <c r="G17" s="16">
        <v>0.108</v>
      </c>
      <c r="H17" s="16">
        <v>0.128</v>
      </c>
      <c r="I17" s="16">
        <v>0.14899999999999999</v>
      </c>
      <c r="J17" s="16">
        <v>0.129</v>
      </c>
      <c r="K17" s="16">
        <v>0.13800000000000001</v>
      </c>
      <c r="L17" s="16">
        <v>0.11799999999999999</v>
      </c>
      <c r="M17" s="16">
        <v>0.14000000000000001</v>
      </c>
      <c r="N17" s="16">
        <v>0.157</v>
      </c>
      <c r="O17" s="16">
        <v>0.17</v>
      </c>
      <c r="P17" s="16">
        <v>0.20699999999999999</v>
      </c>
      <c r="Q17" s="16">
        <v>0.19500000000000001</v>
      </c>
      <c r="R17" s="16">
        <v>0.18</v>
      </c>
      <c r="S17" s="16">
        <v>0.16200000000000001</v>
      </c>
      <c r="T17" s="16">
        <v>0.128</v>
      </c>
      <c r="U17" s="13">
        <v>0.1676</v>
      </c>
      <c r="V17" s="13">
        <v>0.1676</v>
      </c>
      <c r="W17" s="13"/>
      <c r="X17" s="13"/>
    </row>
    <row r="18" spans="1:24" ht="22" customHeight="1" x14ac:dyDescent="0.2">
      <c r="A18" s="5"/>
      <c r="B18" s="6" t="s">
        <v>375</v>
      </c>
      <c r="C18" s="7" t="s">
        <v>368</v>
      </c>
      <c r="D18" s="16">
        <v>5.3999999999999999E-2</v>
      </c>
      <c r="E18" s="16">
        <v>3.7999999999999999E-2</v>
      </c>
      <c r="F18" s="16">
        <v>5.1999999999999998E-2</v>
      </c>
      <c r="G18" s="16">
        <v>5.5E-2</v>
      </c>
      <c r="H18" s="16">
        <v>5.8999999999999997E-2</v>
      </c>
      <c r="I18" s="16">
        <v>0.05</v>
      </c>
      <c r="J18" s="16">
        <v>0.04</v>
      </c>
      <c r="K18" s="16">
        <v>5.0999999999999997E-2</v>
      </c>
      <c r="L18" s="16">
        <v>5.0999999999999997E-2</v>
      </c>
      <c r="M18" s="16">
        <v>6.5000000000000002E-2</v>
      </c>
      <c r="N18" s="16">
        <v>6.9000000000000006E-2</v>
      </c>
      <c r="O18" s="16">
        <v>0.08</v>
      </c>
      <c r="P18" s="16">
        <v>7.1999999999999995E-2</v>
      </c>
      <c r="Q18" s="16">
        <v>5.7000000000000002E-2</v>
      </c>
      <c r="R18" s="16">
        <v>5.0999999999999997E-2</v>
      </c>
      <c r="S18" s="16">
        <v>6.4000000000000001E-2</v>
      </c>
      <c r="T18" s="16">
        <v>6.7000000000000004E-2</v>
      </c>
      <c r="U18" s="13">
        <v>8.1900000000000001E-2</v>
      </c>
      <c r="V18" s="13">
        <v>1.3299999999999999E-2</v>
      </c>
      <c r="W18" s="13"/>
      <c r="X18" s="13"/>
    </row>
    <row r="19" spans="1:24" ht="19" customHeight="1" x14ac:dyDescent="0.2">
      <c r="A19" s="325" t="s">
        <v>376</v>
      </c>
      <c r="B19" s="323"/>
      <c r="C19" s="323"/>
      <c r="D19" s="323"/>
      <c r="E19" s="323"/>
      <c r="F19" s="323"/>
      <c r="G19" s="323"/>
      <c r="H19" s="323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  <c r="T19" s="323"/>
      <c r="U19" s="323"/>
      <c r="V19" s="323"/>
      <c r="W19" s="323"/>
      <c r="X19" s="323"/>
    </row>
    <row r="20" spans="1:24" ht="22" customHeight="1" x14ac:dyDescent="0.2">
      <c r="A20" s="5"/>
      <c r="B20" s="6" t="s">
        <v>377</v>
      </c>
      <c r="C20" s="7" t="s">
        <v>372</v>
      </c>
      <c r="D20" s="8">
        <v>1609</v>
      </c>
      <c r="E20" s="8">
        <v>993</v>
      </c>
      <c r="F20" s="8">
        <v>1252</v>
      </c>
      <c r="G20" s="8">
        <v>1112</v>
      </c>
      <c r="H20" s="8">
        <v>1145</v>
      </c>
      <c r="I20" s="8">
        <v>1029</v>
      </c>
      <c r="J20" s="8">
        <v>1124</v>
      </c>
      <c r="K20" s="8">
        <v>1285</v>
      </c>
      <c r="L20" s="8">
        <v>1084</v>
      </c>
      <c r="M20" s="8">
        <v>1370</v>
      </c>
      <c r="N20" s="8">
        <v>1802</v>
      </c>
      <c r="O20" s="8">
        <v>1880</v>
      </c>
      <c r="P20" s="8">
        <v>2038</v>
      </c>
      <c r="Q20" s="8">
        <v>1758</v>
      </c>
      <c r="R20" s="8">
        <v>1578</v>
      </c>
      <c r="S20" s="8">
        <v>1553</v>
      </c>
      <c r="T20" s="8">
        <v>1561</v>
      </c>
      <c r="U20" s="12">
        <v>1584</v>
      </c>
      <c r="V20" s="12">
        <v>317</v>
      </c>
      <c r="W20" s="12"/>
      <c r="X20" s="12"/>
    </row>
    <row r="21" spans="1:24" ht="22" customHeight="1" x14ac:dyDescent="0.2">
      <c r="A21" s="5"/>
      <c r="B21" s="17" t="s">
        <v>378</v>
      </c>
      <c r="C21" s="11" t="s">
        <v>365</v>
      </c>
      <c r="D21" s="8">
        <v>593536</v>
      </c>
      <c r="E21" s="8">
        <v>599022</v>
      </c>
      <c r="F21" s="8">
        <v>581327</v>
      </c>
      <c r="G21" s="8">
        <v>561213</v>
      </c>
      <c r="H21" s="8">
        <v>553161</v>
      </c>
      <c r="I21" s="8">
        <v>530178</v>
      </c>
      <c r="J21" s="8">
        <v>550545</v>
      </c>
      <c r="K21" s="8">
        <v>514198</v>
      </c>
      <c r="L21" s="8">
        <v>499687</v>
      </c>
      <c r="M21" s="8">
        <v>488923</v>
      </c>
      <c r="N21" s="8">
        <v>482509</v>
      </c>
      <c r="O21" s="8">
        <v>505561</v>
      </c>
      <c r="P21" s="8">
        <v>523748</v>
      </c>
      <c r="Q21" s="8">
        <v>517664</v>
      </c>
      <c r="R21" s="8">
        <v>511189</v>
      </c>
      <c r="S21" s="8">
        <v>525722</v>
      </c>
      <c r="T21" s="8">
        <v>516131</v>
      </c>
      <c r="U21" s="12">
        <v>438668</v>
      </c>
      <c r="V21" s="12">
        <v>430651</v>
      </c>
      <c r="W21" s="12"/>
      <c r="X21" s="12"/>
    </row>
    <row r="22" spans="1:24" ht="22" customHeight="1" x14ac:dyDescent="0.2">
      <c r="A22" s="5"/>
      <c r="B22" s="6" t="s">
        <v>133</v>
      </c>
      <c r="C22" s="7" t="s">
        <v>368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0.69669999999999999</v>
      </c>
      <c r="W22" s="13"/>
      <c r="X22" s="13"/>
    </row>
    <row r="23" spans="1:24" ht="22" customHeight="1" x14ac:dyDescent="0.2">
      <c r="A23" s="5"/>
      <c r="B23" s="17" t="s">
        <v>379</v>
      </c>
      <c r="C23" s="11" t="s">
        <v>372</v>
      </c>
      <c r="D23" s="8">
        <v>208</v>
      </c>
      <c r="E23" s="8">
        <v>120</v>
      </c>
      <c r="F23" s="8">
        <v>136</v>
      </c>
      <c r="G23" s="8">
        <v>123</v>
      </c>
      <c r="H23" s="8">
        <v>116</v>
      </c>
      <c r="I23" s="8">
        <v>91</v>
      </c>
      <c r="J23" s="8">
        <v>95</v>
      </c>
      <c r="K23" s="8">
        <v>108</v>
      </c>
      <c r="L23" s="8">
        <v>127</v>
      </c>
      <c r="M23" s="8">
        <v>126</v>
      </c>
      <c r="N23" s="8">
        <v>204</v>
      </c>
      <c r="O23" s="8">
        <v>264</v>
      </c>
      <c r="P23" s="8">
        <v>227</v>
      </c>
      <c r="Q23" s="8">
        <v>256</v>
      </c>
      <c r="R23" s="8">
        <v>185</v>
      </c>
      <c r="S23" s="8">
        <v>203</v>
      </c>
      <c r="T23" s="8">
        <v>191</v>
      </c>
      <c r="U23" s="12">
        <v>395</v>
      </c>
      <c r="V23" s="12">
        <v>69</v>
      </c>
      <c r="W23" s="12"/>
      <c r="X23" s="12"/>
    </row>
    <row r="24" spans="1:24" ht="22" customHeight="1" x14ac:dyDescent="0.2">
      <c r="A24" s="5"/>
      <c r="B24" s="15" t="s">
        <v>380</v>
      </c>
      <c r="C24" s="7" t="s">
        <v>365</v>
      </c>
      <c r="D24" s="8">
        <v>580443</v>
      </c>
      <c r="E24" s="8">
        <v>516482</v>
      </c>
      <c r="F24" s="8">
        <v>520544</v>
      </c>
      <c r="G24" s="8">
        <v>506154</v>
      </c>
      <c r="H24" s="8">
        <v>444870</v>
      </c>
      <c r="I24" s="8">
        <v>544447</v>
      </c>
      <c r="J24" s="8">
        <v>553412</v>
      </c>
      <c r="K24" s="8">
        <v>551739</v>
      </c>
      <c r="L24" s="8">
        <v>502434</v>
      </c>
      <c r="M24" s="8">
        <v>487008</v>
      </c>
      <c r="N24" s="8">
        <v>515800</v>
      </c>
      <c r="O24" s="8">
        <v>515035</v>
      </c>
      <c r="P24" s="8">
        <v>565363</v>
      </c>
      <c r="Q24" s="8">
        <v>487576</v>
      </c>
      <c r="R24" s="8">
        <v>506915</v>
      </c>
      <c r="S24" s="8">
        <v>579616</v>
      </c>
      <c r="T24" s="8">
        <v>498816</v>
      </c>
      <c r="U24" s="12">
        <v>427919</v>
      </c>
      <c r="V24" s="12">
        <v>349368</v>
      </c>
      <c r="W24" s="12"/>
      <c r="X24" s="12"/>
    </row>
    <row r="25" spans="1:24" ht="22" customHeight="1" x14ac:dyDescent="0.2">
      <c r="A25" s="5"/>
      <c r="B25" s="17" t="s">
        <v>381</v>
      </c>
      <c r="C25" s="11" t="s">
        <v>372</v>
      </c>
      <c r="D25" s="8">
        <v>704</v>
      </c>
      <c r="E25" s="8">
        <v>459</v>
      </c>
      <c r="F25" s="8">
        <v>550</v>
      </c>
      <c r="G25" s="8">
        <v>374</v>
      </c>
      <c r="H25" s="8">
        <v>412</v>
      </c>
      <c r="I25" s="8">
        <v>338</v>
      </c>
      <c r="J25" s="8">
        <v>394</v>
      </c>
      <c r="K25" s="8">
        <v>393</v>
      </c>
      <c r="L25" s="8">
        <v>355</v>
      </c>
      <c r="M25" s="8">
        <v>478</v>
      </c>
      <c r="N25" s="8">
        <v>593</v>
      </c>
      <c r="O25" s="8">
        <v>654</v>
      </c>
      <c r="P25" s="8">
        <v>777</v>
      </c>
      <c r="Q25" s="8">
        <v>682</v>
      </c>
      <c r="R25" s="8">
        <v>681</v>
      </c>
      <c r="S25" s="8">
        <v>650</v>
      </c>
      <c r="T25" s="8">
        <v>584</v>
      </c>
      <c r="U25" s="12">
        <v>491</v>
      </c>
      <c r="V25" s="12">
        <v>101</v>
      </c>
      <c r="W25" s="12"/>
      <c r="X25" s="12"/>
    </row>
    <row r="26" spans="1:24" ht="22" customHeight="1" x14ac:dyDescent="0.2">
      <c r="A26" s="5"/>
      <c r="B26" s="15" t="s">
        <v>380</v>
      </c>
      <c r="C26" s="7" t="s">
        <v>365</v>
      </c>
      <c r="D26" s="8">
        <v>584820</v>
      </c>
      <c r="E26" s="8">
        <v>571884</v>
      </c>
      <c r="F26" s="8">
        <v>580070</v>
      </c>
      <c r="G26" s="8">
        <v>536181</v>
      </c>
      <c r="H26" s="8">
        <v>562449</v>
      </c>
      <c r="I26" s="8">
        <v>499206</v>
      </c>
      <c r="J26" s="8">
        <v>537405</v>
      </c>
      <c r="K26" s="8">
        <v>489004</v>
      </c>
      <c r="L26" s="8">
        <v>479740</v>
      </c>
      <c r="M26" s="8">
        <v>498779</v>
      </c>
      <c r="N26" s="8">
        <v>473184</v>
      </c>
      <c r="O26" s="8">
        <v>496771</v>
      </c>
      <c r="P26" s="8">
        <v>507713</v>
      </c>
      <c r="Q26" s="8">
        <v>521206</v>
      </c>
      <c r="R26" s="8">
        <v>507917</v>
      </c>
      <c r="S26" s="8">
        <v>512198</v>
      </c>
      <c r="T26" s="8">
        <v>532485</v>
      </c>
      <c r="U26" s="12">
        <v>450680</v>
      </c>
      <c r="V26" s="12">
        <v>420706</v>
      </c>
      <c r="W26" s="12"/>
      <c r="X26" s="12"/>
    </row>
    <row r="27" spans="1:24" ht="22" customHeight="1" x14ac:dyDescent="0.2">
      <c r="A27" s="5"/>
      <c r="B27" s="17" t="s">
        <v>382</v>
      </c>
      <c r="C27" s="11" t="s">
        <v>372</v>
      </c>
      <c r="D27" s="8">
        <v>697</v>
      </c>
      <c r="E27" s="8">
        <v>414</v>
      </c>
      <c r="F27" s="8">
        <v>566</v>
      </c>
      <c r="G27" s="8">
        <v>615</v>
      </c>
      <c r="H27" s="8">
        <v>617</v>
      </c>
      <c r="I27" s="8">
        <v>600</v>
      </c>
      <c r="J27" s="8">
        <v>635</v>
      </c>
      <c r="K27" s="8">
        <v>784</v>
      </c>
      <c r="L27" s="8">
        <v>602</v>
      </c>
      <c r="M27" s="8">
        <v>766</v>
      </c>
      <c r="N27" s="8">
        <v>1005</v>
      </c>
      <c r="O27" s="8">
        <v>962</v>
      </c>
      <c r="P27" s="8">
        <v>1034</v>
      </c>
      <c r="Q27" s="8">
        <v>820</v>
      </c>
      <c r="R27" s="8">
        <v>712</v>
      </c>
      <c r="S27" s="8">
        <v>700</v>
      </c>
      <c r="T27" s="8">
        <v>786</v>
      </c>
      <c r="U27" s="12">
        <v>698</v>
      </c>
      <c r="V27" s="12">
        <v>147</v>
      </c>
      <c r="W27" s="12"/>
      <c r="X27" s="12"/>
    </row>
    <row r="28" spans="1:24" ht="22" customHeight="1" x14ac:dyDescent="0.2">
      <c r="A28" s="5"/>
      <c r="B28" s="15" t="s">
        <v>380</v>
      </c>
      <c r="C28" s="7" t="s">
        <v>365</v>
      </c>
      <c r="D28" s="8">
        <v>606306</v>
      </c>
      <c r="E28" s="8">
        <v>636101</v>
      </c>
      <c r="F28" s="8">
        <v>593665</v>
      </c>
      <c r="G28" s="8">
        <v>587223</v>
      </c>
      <c r="H28" s="8">
        <v>566389</v>
      </c>
      <c r="I28" s="8">
        <v>543742</v>
      </c>
      <c r="J28" s="8">
        <v>554666</v>
      </c>
      <c r="K28" s="8">
        <v>521419</v>
      </c>
      <c r="L28" s="8">
        <v>510631</v>
      </c>
      <c r="M28" s="8">
        <v>481273</v>
      </c>
      <c r="N28" s="8">
        <v>480211</v>
      </c>
      <c r="O28" s="8">
        <v>506887</v>
      </c>
      <c r="P28" s="8">
        <v>525092</v>
      </c>
      <c r="Q28" s="8">
        <v>523625</v>
      </c>
      <c r="R28" s="8">
        <v>513235</v>
      </c>
      <c r="S28" s="8">
        <v>514169</v>
      </c>
      <c r="T28" s="8">
        <v>504044</v>
      </c>
      <c r="U28" s="12">
        <v>436911</v>
      </c>
      <c r="V28" s="12">
        <v>476429</v>
      </c>
      <c r="W28" s="12"/>
      <c r="X28" s="12"/>
    </row>
    <row r="29" spans="1:24" ht="19" customHeight="1" x14ac:dyDescent="0.2">
      <c r="A29" s="325" t="s">
        <v>383</v>
      </c>
      <c r="B29" s="323"/>
      <c r="C29" s="323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</row>
    <row r="30" spans="1:24" ht="22" customHeight="1" x14ac:dyDescent="0.2">
      <c r="A30" s="5"/>
      <c r="B30" s="6" t="s">
        <v>153</v>
      </c>
      <c r="C30" s="7" t="s">
        <v>372</v>
      </c>
      <c r="D30" s="8">
        <v>893</v>
      </c>
      <c r="E30" s="8">
        <v>635</v>
      </c>
      <c r="F30" s="8">
        <v>807</v>
      </c>
      <c r="G30" s="8">
        <v>744</v>
      </c>
      <c r="H30" s="8">
        <v>754</v>
      </c>
      <c r="I30" s="8">
        <v>670</v>
      </c>
      <c r="J30" s="8">
        <v>758</v>
      </c>
      <c r="K30" s="8">
        <v>917</v>
      </c>
      <c r="L30" s="8">
        <v>769</v>
      </c>
      <c r="M30" s="8">
        <v>970</v>
      </c>
      <c r="N30" s="8">
        <v>1295</v>
      </c>
      <c r="O30" s="8">
        <v>1335</v>
      </c>
      <c r="P30" s="8">
        <v>1434</v>
      </c>
      <c r="Q30" s="8">
        <v>1297</v>
      </c>
      <c r="R30" s="8">
        <v>1196</v>
      </c>
      <c r="S30" s="8">
        <v>1215</v>
      </c>
      <c r="T30" s="8">
        <v>1252</v>
      </c>
      <c r="U30" s="12">
        <v>1258</v>
      </c>
      <c r="V30" s="12">
        <v>251</v>
      </c>
      <c r="W30" s="12"/>
      <c r="X30" s="12"/>
    </row>
    <row r="31" spans="1:24" ht="22" customHeight="1" x14ac:dyDescent="0.2">
      <c r="A31" s="5"/>
      <c r="B31" s="17" t="s">
        <v>384</v>
      </c>
      <c r="C31" s="11" t="s">
        <v>365</v>
      </c>
      <c r="D31" s="8">
        <v>626962</v>
      </c>
      <c r="E31" s="8">
        <v>629182</v>
      </c>
      <c r="F31" s="8">
        <v>598611</v>
      </c>
      <c r="G31" s="8">
        <v>590223</v>
      </c>
      <c r="H31" s="8">
        <v>585425</v>
      </c>
      <c r="I31" s="8">
        <v>555392</v>
      </c>
      <c r="J31" s="8">
        <v>578566</v>
      </c>
      <c r="K31" s="8">
        <v>559770</v>
      </c>
      <c r="L31" s="8">
        <v>515849</v>
      </c>
      <c r="M31" s="8">
        <v>518969</v>
      </c>
      <c r="N31" s="8">
        <v>505307</v>
      </c>
      <c r="O31" s="8">
        <v>538580</v>
      </c>
      <c r="P31" s="8">
        <v>559364</v>
      </c>
      <c r="Q31" s="8">
        <v>544671</v>
      </c>
      <c r="R31" s="8">
        <v>541038</v>
      </c>
      <c r="S31" s="8">
        <v>553226</v>
      </c>
      <c r="T31" s="8">
        <v>534522</v>
      </c>
      <c r="U31" s="12">
        <v>443642</v>
      </c>
      <c r="V31" s="12">
        <v>433907</v>
      </c>
      <c r="W31" s="12"/>
      <c r="X31" s="12"/>
    </row>
    <row r="32" spans="1:24" ht="22" customHeight="1" x14ac:dyDescent="0.2">
      <c r="A32" s="5"/>
      <c r="B32" s="6" t="s">
        <v>385</v>
      </c>
      <c r="C32" s="7" t="s">
        <v>386</v>
      </c>
      <c r="D32" s="8">
        <v>720380</v>
      </c>
      <c r="E32" s="8">
        <v>736036</v>
      </c>
      <c r="F32" s="8">
        <v>755899</v>
      </c>
      <c r="G32" s="8">
        <v>767863</v>
      </c>
      <c r="H32" s="8">
        <v>780860</v>
      </c>
      <c r="I32" s="8">
        <v>773057</v>
      </c>
      <c r="J32" s="8">
        <v>767234</v>
      </c>
      <c r="K32" s="8">
        <v>758348</v>
      </c>
      <c r="L32" s="8">
        <v>751369</v>
      </c>
      <c r="M32" s="8">
        <v>745530</v>
      </c>
      <c r="N32" s="8">
        <v>746054</v>
      </c>
      <c r="O32" s="8">
        <v>751135</v>
      </c>
      <c r="P32" s="8">
        <v>748857</v>
      </c>
      <c r="Q32" s="8">
        <v>748498</v>
      </c>
      <c r="R32" s="8">
        <v>745025</v>
      </c>
      <c r="S32" s="8">
        <v>751102</v>
      </c>
      <c r="T32" s="8">
        <v>756186</v>
      </c>
      <c r="U32" s="12">
        <v>804514</v>
      </c>
      <c r="V32" s="12">
        <v>804514</v>
      </c>
      <c r="W32" s="12"/>
      <c r="X32" s="12"/>
    </row>
    <row r="33" spans="1:24" ht="26" customHeight="1" x14ac:dyDescent="0.2">
      <c r="A33" s="331" t="s">
        <v>387</v>
      </c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</row>
    <row r="34" spans="1:24" ht="19" customHeight="1" x14ac:dyDescent="0.2">
      <c r="A34" s="333" t="s">
        <v>388</v>
      </c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  <c r="T34" s="323"/>
      <c r="U34" s="323"/>
      <c r="V34" s="323"/>
      <c r="W34" s="323"/>
      <c r="X34" s="323"/>
    </row>
    <row r="35" spans="1:24" ht="22" customHeight="1" x14ac:dyDescent="0.2">
      <c r="A35" s="20"/>
      <c r="B35" s="10" t="s">
        <v>389</v>
      </c>
      <c r="C35" s="11" t="s">
        <v>363</v>
      </c>
      <c r="D35" s="8">
        <v>1089475316</v>
      </c>
      <c r="E35" s="8">
        <v>499607370</v>
      </c>
      <c r="F35" s="8">
        <v>567134028</v>
      </c>
      <c r="G35" s="8">
        <v>528594128</v>
      </c>
      <c r="H35" s="8">
        <v>498208343</v>
      </c>
      <c r="I35" s="8">
        <v>543406694</v>
      </c>
      <c r="J35" s="8">
        <v>582713951</v>
      </c>
      <c r="K35" s="8">
        <v>511104206</v>
      </c>
      <c r="L35" s="8">
        <v>450806016</v>
      </c>
      <c r="M35" s="8">
        <v>563065588</v>
      </c>
      <c r="N35" s="8">
        <v>617168731</v>
      </c>
      <c r="O35" s="8">
        <v>797994010</v>
      </c>
      <c r="P35" s="8">
        <v>925450315</v>
      </c>
      <c r="Q35" s="8">
        <v>971109989</v>
      </c>
      <c r="R35" s="8">
        <v>549533678</v>
      </c>
      <c r="S35" s="8">
        <v>582438107</v>
      </c>
      <c r="T35" s="8">
        <v>504185071</v>
      </c>
      <c r="U35" s="9">
        <v>504778392</v>
      </c>
      <c r="V35" s="9">
        <f>IFERROR(SUM('📅 DAILY T7'!G$6:I$36),0)</f>
        <v>89379044</v>
      </c>
      <c r="W35" s="9">
        <f>IFERROR(SUM('📅 DAILY T8'!G$6:I$36),0)</f>
        <v>0</v>
      </c>
      <c r="X35" s="9">
        <f>IFERROR(SUM('📅 DAILY T9'!G$6:I$35),0)</f>
        <v>0</v>
      </c>
    </row>
    <row r="36" spans="1:24" ht="22" customHeight="1" x14ac:dyDescent="0.2">
      <c r="A36" s="20"/>
      <c r="B36" s="15" t="s">
        <v>390</v>
      </c>
      <c r="C36" s="7" t="s">
        <v>363</v>
      </c>
      <c r="D36" s="8">
        <v>540944566</v>
      </c>
      <c r="E36" s="8">
        <v>268103870</v>
      </c>
      <c r="F36" s="8">
        <v>290563128</v>
      </c>
      <c r="G36" s="8">
        <v>254830500</v>
      </c>
      <c r="H36" s="8">
        <v>256470352</v>
      </c>
      <c r="I36" s="8">
        <v>260893480</v>
      </c>
      <c r="J36" s="8">
        <v>301482693</v>
      </c>
      <c r="K36" s="8">
        <v>261515520</v>
      </c>
      <c r="L36" s="8">
        <v>234853685</v>
      </c>
      <c r="M36" s="8">
        <v>292613845</v>
      </c>
      <c r="N36" s="8">
        <v>315279874</v>
      </c>
      <c r="O36" s="8">
        <v>425053629</v>
      </c>
      <c r="P36" s="8">
        <v>498976878</v>
      </c>
      <c r="Q36" s="8">
        <v>466415524</v>
      </c>
      <c r="R36" s="8">
        <v>273260815</v>
      </c>
      <c r="S36" s="8">
        <v>339489341</v>
      </c>
      <c r="T36" s="8">
        <v>266591829</v>
      </c>
      <c r="U36" s="9">
        <v>255247175</v>
      </c>
      <c r="V36" s="9">
        <f>IFERROR(SUM('📅 DAILY T7'!G$6:G$36),0)</f>
        <v>37590521</v>
      </c>
      <c r="W36" s="9">
        <f>IFERROR(SUM('📅 DAILY T8'!G$6:G$36),0)</f>
        <v>0</v>
      </c>
      <c r="X36" s="9">
        <f>IFERROR(SUM('📅 DAILY T9'!G$6:G$35),0)</f>
        <v>0</v>
      </c>
    </row>
    <row r="37" spans="1:24" ht="22" customHeight="1" x14ac:dyDescent="0.2">
      <c r="A37" s="20"/>
      <c r="B37" s="17" t="s">
        <v>391</v>
      </c>
      <c r="C37" s="11" t="s">
        <v>363</v>
      </c>
      <c r="D37" s="8">
        <v>356945800</v>
      </c>
      <c r="E37" s="8">
        <v>145126500</v>
      </c>
      <c r="F37" s="8">
        <v>172657900</v>
      </c>
      <c r="G37" s="8">
        <v>176377128</v>
      </c>
      <c r="H37" s="8">
        <v>152411750</v>
      </c>
      <c r="I37" s="8">
        <v>181624920</v>
      </c>
      <c r="J37" s="8">
        <v>159269196</v>
      </c>
      <c r="K37" s="8">
        <v>153183571</v>
      </c>
      <c r="L37" s="8">
        <v>141817617</v>
      </c>
      <c r="M37" s="8">
        <v>176059491</v>
      </c>
      <c r="N37" s="8">
        <v>178778384</v>
      </c>
      <c r="O37" s="8">
        <v>210046402</v>
      </c>
      <c r="P37" s="8">
        <v>212730879</v>
      </c>
      <c r="Q37" s="8">
        <v>299922606</v>
      </c>
      <c r="R37" s="8">
        <v>150994415</v>
      </c>
      <c r="S37" s="8">
        <v>119328315</v>
      </c>
      <c r="T37" s="8">
        <v>125042886</v>
      </c>
      <c r="U37" s="9">
        <v>125740056</v>
      </c>
      <c r="V37" s="9">
        <f>IFERROR(SUM('📅 DAILY T7'!H$6:H$36),0)</f>
        <v>29234747</v>
      </c>
      <c r="W37" s="9">
        <f>IFERROR(SUM('📅 DAILY T8'!H$6:H$36),0)</f>
        <v>0</v>
      </c>
      <c r="X37" s="9">
        <f>IFERROR(SUM('📅 DAILY T9'!H$6:H$35),0)</f>
        <v>0</v>
      </c>
    </row>
    <row r="38" spans="1:24" ht="22" customHeight="1" x14ac:dyDescent="0.2">
      <c r="A38" s="20"/>
      <c r="B38" s="15" t="s">
        <v>392</v>
      </c>
      <c r="C38" s="7" t="s">
        <v>363</v>
      </c>
      <c r="D38" s="8">
        <v>191584950</v>
      </c>
      <c r="E38" s="8">
        <v>86377000</v>
      </c>
      <c r="F38" s="8">
        <v>103913000</v>
      </c>
      <c r="G38" s="8">
        <v>97386500</v>
      </c>
      <c r="H38" s="8">
        <v>89326241</v>
      </c>
      <c r="I38" s="8">
        <v>100888294</v>
      </c>
      <c r="J38" s="8">
        <v>121962062</v>
      </c>
      <c r="K38" s="8">
        <v>96405115</v>
      </c>
      <c r="L38" s="8">
        <v>74134714</v>
      </c>
      <c r="M38" s="8">
        <v>94392252</v>
      </c>
      <c r="N38" s="8">
        <v>123110473</v>
      </c>
      <c r="O38" s="8">
        <v>162893979</v>
      </c>
      <c r="P38" s="8">
        <v>213742558</v>
      </c>
      <c r="Q38" s="8">
        <v>204771859</v>
      </c>
      <c r="R38" s="8">
        <v>125278448</v>
      </c>
      <c r="S38" s="8">
        <v>123620451</v>
      </c>
      <c r="T38" s="8">
        <v>112550356</v>
      </c>
      <c r="U38" s="9">
        <v>123791161</v>
      </c>
      <c r="V38" s="9">
        <f>IFERROR(SUM('📅 DAILY T7'!I$6:I$36),0)</f>
        <v>22553776</v>
      </c>
      <c r="W38" s="9">
        <f>IFERROR(SUM('📅 DAILY T8'!I$6:I$36),0)</f>
        <v>0</v>
      </c>
      <c r="X38" s="9">
        <f>IFERROR(SUM('📅 DAILY T9'!I$6:I$35),0)</f>
        <v>0</v>
      </c>
    </row>
    <row r="39" spans="1:24" ht="22" customHeight="1" x14ac:dyDescent="0.2">
      <c r="A39" s="20"/>
      <c r="B39" s="10" t="s">
        <v>185</v>
      </c>
      <c r="C39" s="11" t="s">
        <v>364</v>
      </c>
      <c r="D39" s="8">
        <v>2635</v>
      </c>
      <c r="E39" s="8">
        <v>1242</v>
      </c>
      <c r="F39" s="8">
        <v>1571</v>
      </c>
      <c r="G39" s="8">
        <v>1512</v>
      </c>
      <c r="H39" s="8">
        <v>1566</v>
      </c>
      <c r="I39" s="8">
        <v>1602</v>
      </c>
      <c r="J39" s="8">
        <v>1752</v>
      </c>
      <c r="K39" s="8">
        <v>1643</v>
      </c>
      <c r="L39" s="8">
        <v>1510</v>
      </c>
      <c r="M39" s="8">
        <v>2061</v>
      </c>
      <c r="N39" s="8">
        <v>2296</v>
      </c>
      <c r="O39" s="8">
        <v>2690</v>
      </c>
      <c r="P39" s="8">
        <v>3020</v>
      </c>
      <c r="Q39" s="8">
        <v>2950</v>
      </c>
      <c r="R39" s="8">
        <v>1851</v>
      </c>
      <c r="S39" s="8">
        <v>1843</v>
      </c>
      <c r="T39" s="8">
        <v>1718</v>
      </c>
      <c r="U39" s="9">
        <v>1642</v>
      </c>
      <c r="V39" s="9">
        <f>IFERROR(SUM('📅 DAILY T7'!J$6:J$36),0)</f>
        <v>279</v>
      </c>
      <c r="W39" s="9">
        <f>IFERROR(SUM('📅 DAILY T8'!J$6:J$36),0)</f>
        <v>0</v>
      </c>
      <c r="X39" s="9">
        <f>IFERROR(SUM('📅 DAILY T9'!J$6:J$35),0)</f>
        <v>0</v>
      </c>
    </row>
    <row r="40" spans="1:24" ht="22" customHeight="1" x14ac:dyDescent="0.2">
      <c r="A40" s="20"/>
      <c r="B40" s="6" t="s">
        <v>190</v>
      </c>
      <c r="C40" s="7" t="s">
        <v>365</v>
      </c>
      <c r="D40" s="8">
        <v>413463</v>
      </c>
      <c r="E40" s="8">
        <v>402260</v>
      </c>
      <c r="F40" s="8">
        <v>361002</v>
      </c>
      <c r="G40" s="8">
        <v>349599</v>
      </c>
      <c r="H40" s="8">
        <v>318141</v>
      </c>
      <c r="I40" s="8">
        <v>339205</v>
      </c>
      <c r="J40" s="8">
        <v>332599</v>
      </c>
      <c r="K40" s="8">
        <v>311080</v>
      </c>
      <c r="L40" s="8">
        <v>298547</v>
      </c>
      <c r="M40" s="8">
        <v>273200</v>
      </c>
      <c r="N40" s="8">
        <v>268802</v>
      </c>
      <c r="O40" s="8">
        <v>296652</v>
      </c>
      <c r="P40" s="8">
        <v>306441</v>
      </c>
      <c r="Q40" s="8">
        <v>329190</v>
      </c>
      <c r="R40" s="8">
        <v>296885</v>
      </c>
      <c r="S40" s="8">
        <v>316027</v>
      </c>
      <c r="T40" s="8">
        <v>293472</v>
      </c>
      <c r="U40" s="9">
        <v>307417</v>
      </c>
      <c r="V40" s="9">
        <f>IFERROR(SUM('📅 DAILY T7'!M$6:M$36)/SUM('📅 DAILY T7'!J$6:J$36),"")</f>
        <v>320354.99641577061</v>
      </c>
      <c r="W40" s="9" t="str">
        <f>IFERROR(SUM('📅 DAILY T8'!M$6:M$36)/SUM('📅 DAILY T8'!J$6:J$36),"")</f>
        <v/>
      </c>
      <c r="X40" s="9" t="str">
        <f>IFERROR(SUM('📅 DAILY T9'!M$6:M$35)/SUM('📅 DAILY T9'!J$6:J$35),"")</f>
        <v/>
      </c>
    </row>
    <row r="41" spans="1:24" ht="19" customHeight="1" x14ac:dyDescent="0.2">
      <c r="A41" s="330"/>
      <c r="B41" s="323"/>
      <c r="C41" s="323"/>
      <c r="D41" s="323"/>
      <c r="E41" s="323"/>
      <c r="F41" s="323"/>
      <c r="G41" s="323"/>
      <c r="H41" s="323"/>
      <c r="I41" s="323"/>
      <c r="J41" s="323"/>
      <c r="K41" s="323"/>
      <c r="L41" s="323"/>
      <c r="M41" s="323"/>
      <c r="N41" s="323"/>
      <c r="O41" s="323"/>
      <c r="P41" s="323"/>
      <c r="Q41" s="323"/>
      <c r="R41" s="323"/>
      <c r="S41" s="323"/>
      <c r="T41" s="323"/>
      <c r="U41" s="323"/>
      <c r="V41" s="323"/>
      <c r="W41" s="323"/>
      <c r="X41" s="324"/>
    </row>
    <row r="42" spans="1:24" ht="19" customHeight="1" x14ac:dyDescent="0.2">
      <c r="A42" s="330"/>
      <c r="B42" s="323"/>
      <c r="C42" s="323"/>
      <c r="D42" s="323"/>
      <c r="E42" s="323"/>
      <c r="F42" s="323"/>
      <c r="G42" s="323"/>
      <c r="H42" s="323"/>
      <c r="I42" s="323"/>
      <c r="J42" s="323"/>
      <c r="K42" s="323"/>
      <c r="L42" s="323"/>
      <c r="M42" s="323"/>
      <c r="N42" s="323"/>
      <c r="O42" s="323"/>
      <c r="P42" s="323"/>
      <c r="Q42" s="323"/>
      <c r="R42" s="323"/>
      <c r="S42" s="323"/>
      <c r="T42" s="323"/>
      <c r="U42" s="323"/>
      <c r="V42" s="323"/>
      <c r="W42" s="323"/>
      <c r="X42" s="324"/>
    </row>
    <row r="43" spans="1:24" ht="22" customHeight="1" x14ac:dyDescent="0.2">
      <c r="A43" s="20"/>
      <c r="B43" s="10" t="s">
        <v>196</v>
      </c>
      <c r="C43" s="11" t="s">
        <v>372</v>
      </c>
      <c r="D43" s="8">
        <v>1636</v>
      </c>
      <c r="E43" s="8">
        <v>686</v>
      </c>
      <c r="F43" s="8">
        <v>795</v>
      </c>
      <c r="G43" s="8">
        <v>791</v>
      </c>
      <c r="H43" s="8">
        <v>776</v>
      </c>
      <c r="I43" s="8">
        <v>779</v>
      </c>
      <c r="J43" s="8">
        <v>832</v>
      </c>
      <c r="K43" s="8">
        <v>742</v>
      </c>
      <c r="L43" s="8">
        <v>743</v>
      </c>
      <c r="M43" s="8">
        <v>962</v>
      </c>
      <c r="N43" s="8">
        <v>1092</v>
      </c>
      <c r="O43" s="8">
        <v>1200</v>
      </c>
      <c r="P43" s="8">
        <v>1361</v>
      </c>
      <c r="Q43" s="8">
        <v>1339</v>
      </c>
      <c r="R43" s="8">
        <v>787</v>
      </c>
      <c r="S43" s="8">
        <v>726</v>
      </c>
      <c r="T43" s="8">
        <v>621</v>
      </c>
      <c r="U43" s="12">
        <v>576</v>
      </c>
      <c r="V43" s="12">
        <v>104</v>
      </c>
      <c r="W43" s="12"/>
      <c r="X43" s="12"/>
    </row>
    <row r="44" spans="1:24" ht="22" customHeight="1" x14ac:dyDescent="0.2">
      <c r="A44" s="20"/>
      <c r="B44" s="15" t="s">
        <v>393</v>
      </c>
      <c r="C44" s="7" t="s">
        <v>365</v>
      </c>
      <c r="D44" s="8">
        <v>449589</v>
      </c>
      <c r="E44" s="8">
        <v>441880</v>
      </c>
      <c r="F44" s="8">
        <v>382278</v>
      </c>
      <c r="G44" s="8">
        <v>371155</v>
      </c>
      <c r="H44" s="8">
        <v>330375</v>
      </c>
      <c r="I44" s="8">
        <v>370611</v>
      </c>
      <c r="J44" s="8">
        <v>369024</v>
      </c>
      <c r="K44" s="8">
        <v>342281</v>
      </c>
      <c r="L44" s="8">
        <v>315347</v>
      </c>
      <c r="M44" s="8">
        <v>315815</v>
      </c>
      <c r="N44" s="8">
        <v>298539</v>
      </c>
      <c r="O44" s="8">
        <v>334995</v>
      </c>
      <c r="P44" s="8">
        <v>328549</v>
      </c>
      <c r="Q44" s="8">
        <v>353965</v>
      </c>
      <c r="R44" s="8">
        <v>317978</v>
      </c>
      <c r="S44" s="8">
        <v>336963</v>
      </c>
      <c r="T44" s="8">
        <v>306399</v>
      </c>
      <c r="U44" s="12">
        <v>345626</v>
      </c>
      <c r="V44" s="12">
        <v>322529</v>
      </c>
      <c r="W44" s="12"/>
      <c r="X44" s="12"/>
    </row>
    <row r="45" spans="1:24" ht="22" customHeight="1" x14ac:dyDescent="0.2">
      <c r="A45" s="20"/>
      <c r="B45" s="10" t="s">
        <v>374</v>
      </c>
      <c r="C45" s="11" t="s">
        <v>368</v>
      </c>
      <c r="D45" s="16">
        <v>0.16</v>
      </c>
      <c r="E45" s="16">
        <v>0.14599999999999999</v>
      </c>
      <c r="F45" s="16">
        <v>0.14699999999999999</v>
      </c>
      <c r="G45" s="16">
        <v>0.123</v>
      </c>
      <c r="H45" s="16">
        <v>0.14299999999999999</v>
      </c>
      <c r="I45" s="16">
        <v>0.17199999999999999</v>
      </c>
      <c r="J45" s="16">
        <v>0.17799999999999999</v>
      </c>
      <c r="K45" s="16">
        <v>0.17699999999999999</v>
      </c>
      <c r="L45" s="16">
        <v>0.19500000000000001</v>
      </c>
      <c r="M45" s="16">
        <v>0.19400000000000001</v>
      </c>
      <c r="N45" s="16">
        <v>0.216</v>
      </c>
      <c r="O45" s="16">
        <v>0.25800000000000001</v>
      </c>
      <c r="P45" s="16">
        <v>0.222</v>
      </c>
      <c r="Q45" s="16">
        <v>0.26100000000000001</v>
      </c>
      <c r="R45" s="16">
        <v>0.23899999999999999</v>
      </c>
      <c r="S45" s="16">
        <v>0.17100000000000001</v>
      </c>
      <c r="T45" s="16">
        <v>0.14799999999999999</v>
      </c>
      <c r="U45" s="13">
        <v>0.17660000000000001</v>
      </c>
      <c r="V45" s="13">
        <v>0.16639999999999999</v>
      </c>
      <c r="W45" s="13"/>
      <c r="X45" s="13"/>
    </row>
    <row r="46" spans="1:24" ht="22" customHeight="1" x14ac:dyDescent="0.2">
      <c r="A46" s="20"/>
      <c r="B46" s="6" t="s">
        <v>375</v>
      </c>
      <c r="C46" s="7" t="s">
        <v>368</v>
      </c>
      <c r="D46" s="16">
        <v>6.2E-2</v>
      </c>
      <c r="E46" s="16">
        <v>2.9000000000000001E-2</v>
      </c>
      <c r="F46" s="16">
        <v>5.1999999999999998E-2</v>
      </c>
      <c r="G46" s="16">
        <v>5.5E-2</v>
      </c>
      <c r="H46" s="16">
        <v>4.5999999999999999E-2</v>
      </c>
      <c r="I46" s="16">
        <v>6.4000000000000001E-2</v>
      </c>
      <c r="J46" s="16">
        <v>7.1999999999999995E-2</v>
      </c>
      <c r="K46" s="16">
        <v>7.6999999999999999E-2</v>
      </c>
      <c r="L46" s="16">
        <v>7.0000000000000007E-2</v>
      </c>
      <c r="M46" s="16">
        <v>9.2999999999999999E-2</v>
      </c>
      <c r="N46" s="16">
        <v>0.08</v>
      </c>
      <c r="O46" s="16">
        <v>8.2000000000000003E-2</v>
      </c>
      <c r="P46" s="16">
        <v>8.2000000000000003E-2</v>
      </c>
      <c r="Q46" s="16">
        <v>5.1999999999999998E-2</v>
      </c>
      <c r="R46" s="16">
        <v>4.5999999999999999E-2</v>
      </c>
      <c r="S46" s="16">
        <v>8.3000000000000004E-2</v>
      </c>
      <c r="T46" s="16">
        <v>6.7000000000000004E-2</v>
      </c>
      <c r="U46" s="13">
        <v>6.4399999999999999E-2</v>
      </c>
      <c r="V46" s="13">
        <v>1.04E-2</v>
      </c>
      <c r="W46" s="13"/>
      <c r="X46" s="13"/>
    </row>
    <row r="47" spans="1:24" ht="19" customHeight="1" x14ac:dyDescent="0.2">
      <c r="A47" s="325" t="s">
        <v>376</v>
      </c>
      <c r="B47" s="323"/>
      <c r="C47" s="323"/>
      <c r="D47" s="323"/>
      <c r="E47" s="323"/>
      <c r="F47" s="323"/>
      <c r="G47" s="323"/>
      <c r="H47" s="323"/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  <c r="T47" s="323"/>
      <c r="U47" s="323"/>
      <c r="V47" s="323"/>
      <c r="W47" s="323"/>
      <c r="X47" s="323"/>
    </row>
    <row r="48" spans="1:24" ht="22" customHeight="1" x14ac:dyDescent="0.2">
      <c r="A48" s="20"/>
      <c r="B48" s="6" t="s">
        <v>394</v>
      </c>
      <c r="C48" s="7" t="s">
        <v>372</v>
      </c>
      <c r="D48" s="8">
        <v>698</v>
      </c>
      <c r="E48" s="8">
        <v>360</v>
      </c>
      <c r="F48" s="8">
        <v>517</v>
      </c>
      <c r="G48" s="8">
        <v>490</v>
      </c>
      <c r="H48" s="8">
        <v>522</v>
      </c>
      <c r="I48" s="8">
        <v>571</v>
      </c>
      <c r="J48" s="8">
        <v>606</v>
      </c>
      <c r="K48" s="8">
        <v>615</v>
      </c>
      <c r="L48" s="8">
        <v>521</v>
      </c>
      <c r="M48" s="8">
        <v>687</v>
      </c>
      <c r="N48" s="8">
        <v>797</v>
      </c>
      <c r="O48" s="8">
        <v>982</v>
      </c>
      <c r="P48" s="8">
        <v>1108</v>
      </c>
      <c r="Q48" s="8">
        <v>1188</v>
      </c>
      <c r="R48" s="8">
        <v>764</v>
      </c>
      <c r="S48" s="8">
        <v>861</v>
      </c>
      <c r="T48" s="8">
        <v>809</v>
      </c>
      <c r="U48" s="12">
        <v>818</v>
      </c>
      <c r="V48" s="12">
        <v>145</v>
      </c>
      <c r="W48" s="12"/>
      <c r="X48" s="12"/>
    </row>
    <row r="49" spans="1:24" ht="22" customHeight="1" x14ac:dyDescent="0.2">
      <c r="A49" s="20"/>
      <c r="B49" s="17" t="s">
        <v>395</v>
      </c>
      <c r="C49" s="11" t="s">
        <v>365</v>
      </c>
      <c r="D49" s="8">
        <v>502669</v>
      </c>
      <c r="E49" s="8">
        <v>493986</v>
      </c>
      <c r="F49" s="8">
        <v>489091</v>
      </c>
      <c r="G49" s="8">
        <v>454087</v>
      </c>
      <c r="H49" s="8">
        <v>431867</v>
      </c>
      <c r="I49" s="8">
        <v>415129</v>
      </c>
      <c r="J49" s="8">
        <v>420144</v>
      </c>
      <c r="K49" s="8">
        <v>382586</v>
      </c>
      <c r="L49" s="8">
        <v>390207</v>
      </c>
      <c r="M49" s="8">
        <v>353715</v>
      </c>
      <c r="N49" s="8">
        <v>338830</v>
      </c>
      <c r="O49" s="8">
        <v>376777</v>
      </c>
      <c r="P49" s="8">
        <v>391634</v>
      </c>
      <c r="Q49" s="8">
        <v>402560</v>
      </c>
      <c r="R49" s="8">
        <v>369696</v>
      </c>
      <c r="S49" s="8">
        <v>381044</v>
      </c>
      <c r="T49" s="8">
        <v>366228</v>
      </c>
      <c r="U49" s="12">
        <v>327838</v>
      </c>
      <c r="V49" s="12">
        <v>318431</v>
      </c>
      <c r="W49" s="12"/>
      <c r="X49" s="12"/>
    </row>
    <row r="50" spans="1:24" ht="22" customHeight="1" x14ac:dyDescent="0.2">
      <c r="A50" s="20"/>
      <c r="B50" s="6" t="s">
        <v>221</v>
      </c>
      <c r="C50" s="7" t="s">
        <v>368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0.58230000000000004</v>
      </c>
      <c r="W50" s="13"/>
      <c r="X50" s="13"/>
    </row>
    <row r="51" spans="1:24" ht="22" customHeight="1" x14ac:dyDescent="0.2">
      <c r="A51" s="20"/>
      <c r="B51" s="17" t="s">
        <v>379</v>
      </c>
      <c r="C51" s="11" t="s">
        <v>372</v>
      </c>
      <c r="D51" s="8">
        <v>77</v>
      </c>
      <c r="E51" s="8">
        <v>66</v>
      </c>
      <c r="F51" s="8">
        <v>50</v>
      </c>
      <c r="G51" s="8">
        <v>58</v>
      </c>
      <c r="H51" s="8">
        <v>68</v>
      </c>
      <c r="I51" s="8">
        <v>81</v>
      </c>
      <c r="J51" s="8">
        <v>84</v>
      </c>
      <c r="K51" s="8">
        <v>99</v>
      </c>
      <c r="L51" s="8">
        <v>78</v>
      </c>
      <c r="M51" s="8">
        <v>91</v>
      </c>
      <c r="N51" s="8">
        <v>93</v>
      </c>
      <c r="O51" s="8">
        <v>135</v>
      </c>
      <c r="P51" s="8">
        <v>159</v>
      </c>
      <c r="Q51" s="8">
        <v>204</v>
      </c>
      <c r="R51" s="8">
        <v>85</v>
      </c>
      <c r="S51" s="8">
        <v>109</v>
      </c>
      <c r="T51" s="8">
        <v>93</v>
      </c>
      <c r="U51" s="12">
        <v>168</v>
      </c>
      <c r="V51" s="12">
        <v>30</v>
      </c>
      <c r="W51" s="12"/>
      <c r="X51" s="12"/>
    </row>
    <row r="52" spans="1:24" ht="22" customHeight="1" x14ac:dyDescent="0.2">
      <c r="A52" s="20"/>
      <c r="B52" s="15" t="s">
        <v>380</v>
      </c>
      <c r="C52" s="7" t="s">
        <v>365</v>
      </c>
      <c r="D52" s="8">
        <v>772562</v>
      </c>
      <c r="E52" s="8">
        <v>626734</v>
      </c>
      <c r="F52" s="8">
        <v>343740</v>
      </c>
      <c r="G52" s="8">
        <v>474534</v>
      </c>
      <c r="H52" s="8">
        <v>377264</v>
      </c>
      <c r="I52" s="8">
        <v>320401</v>
      </c>
      <c r="J52" s="8">
        <v>432409</v>
      </c>
      <c r="K52" s="8">
        <v>483220</v>
      </c>
      <c r="L52" s="8">
        <v>422123</v>
      </c>
      <c r="M52" s="8">
        <v>482900</v>
      </c>
      <c r="N52" s="8">
        <v>354030</v>
      </c>
      <c r="O52" s="8">
        <v>400730</v>
      </c>
      <c r="P52" s="8">
        <v>414917</v>
      </c>
      <c r="Q52" s="8">
        <v>333905</v>
      </c>
      <c r="R52" s="8">
        <v>462217</v>
      </c>
      <c r="S52" s="8">
        <v>422537</v>
      </c>
      <c r="T52" s="8">
        <v>349056</v>
      </c>
      <c r="U52" s="12">
        <v>306908</v>
      </c>
      <c r="V52" s="12">
        <v>299113</v>
      </c>
      <c r="W52" s="12"/>
      <c r="X52" s="12"/>
    </row>
    <row r="53" spans="1:24" ht="22" customHeight="1" x14ac:dyDescent="0.2">
      <c r="A53" s="20"/>
      <c r="B53" s="17" t="s">
        <v>381</v>
      </c>
      <c r="C53" s="11" t="s">
        <v>372</v>
      </c>
      <c r="D53" s="8">
        <v>286</v>
      </c>
      <c r="E53" s="8">
        <v>146</v>
      </c>
      <c r="F53" s="8">
        <v>234</v>
      </c>
      <c r="G53" s="8">
        <v>191</v>
      </c>
      <c r="H53" s="8">
        <v>182</v>
      </c>
      <c r="I53" s="8">
        <v>173</v>
      </c>
      <c r="J53" s="8">
        <v>203</v>
      </c>
      <c r="K53" s="8">
        <v>220</v>
      </c>
      <c r="L53" s="8">
        <v>198</v>
      </c>
      <c r="M53" s="8">
        <v>243</v>
      </c>
      <c r="N53" s="8">
        <v>287</v>
      </c>
      <c r="O53" s="8">
        <v>341</v>
      </c>
      <c r="P53" s="8">
        <v>406</v>
      </c>
      <c r="Q53" s="8">
        <v>413</v>
      </c>
      <c r="R53" s="8">
        <v>344</v>
      </c>
      <c r="S53" s="8">
        <v>359</v>
      </c>
      <c r="T53" s="8">
        <v>275</v>
      </c>
      <c r="U53" s="12">
        <v>252</v>
      </c>
      <c r="V53" s="12">
        <v>40</v>
      </c>
      <c r="W53" s="12"/>
      <c r="X53" s="12"/>
    </row>
    <row r="54" spans="1:24" ht="22" customHeight="1" x14ac:dyDescent="0.2">
      <c r="A54" s="20"/>
      <c r="B54" s="15" t="s">
        <v>380</v>
      </c>
      <c r="C54" s="7" t="s">
        <v>365</v>
      </c>
      <c r="D54" s="8">
        <v>448317</v>
      </c>
      <c r="E54" s="8">
        <v>416325</v>
      </c>
      <c r="F54" s="8">
        <v>430083</v>
      </c>
      <c r="G54" s="8">
        <v>413732</v>
      </c>
      <c r="H54" s="8">
        <v>349670</v>
      </c>
      <c r="I54" s="8">
        <v>328541</v>
      </c>
      <c r="J54" s="8">
        <v>341310</v>
      </c>
      <c r="K54" s="8">
        <v>328074</v>
      </c>
      <c r="L54" s="8">
        <v>336192</v>
      </c>
      <c r="M54" s="8">
        <v>304778</v>
      </c>
      <c r="N54" s="8">
        <v>282490</v>
      </c>
      <c r="O54" s="8">
        <v>326296</v>
      </c>
      <c r="P54" s="8">
        <v>340607</v>
      </c>
      <c r="Q54" s="8">
        <v>359946</v>
      </c>
      <c r="R54" s="8">
        <v>311915</v>
      </c>
      <c r="S54" s="8">
        <v>336999</v>
      </c>
      <c r="T54" s="8">
        <v>339629</v>
      </c>
      <c r="U54" s="12">
        <v>329485</v>
      </c>
      <c r="V54" s="12">
        <v>312441</v>
      </c>
      <c r="W54" s="12"/>
      <c r="X54" s="12"/>
    </row>
    <row r="55" spans="1:24" ht="22" customHeight="1" x14ac:dyDescent="0.2">
      <c r="A55" s="20"/>
      <c r="B55" s="17" t="s">
        <v>382</v>
      </c>
      <c r="C55" s="11" t="s">
        <v>372</v>
      </c>
      <c r="D55" s="8">
        <v>335</v>
      </c>
      <c r="E55" s="8">
        <v>148</v>
      </c>
      <c r="F55" s="8">
        <v>233</v>
      </c>
      <c r="G55" s="8">
        <v>241</v>
      </c>
      <c r="H55" s="8">
        <v>272</v>
      </c>
      <c r="I55" s="8">
        <v>317</v>
      </c>
      <c r="J55" s="8">
        <v>319</v>
      </c>
      <c r="K55" s="8">
        <v>296</v>
      </c>
      <c r="L55" s="8">
        <v>245</v>
      </c>
      <c r="M55" s="8">
        <v>353</v>
      </c>
      <c r="N55" s="8">
        <v>417</v>
      </c>
      <c r="O55" s="8">
        <v>506</v>
      </c>
      <c r="P55" s="8">
        <v>543</v>
      </c>
      <c r="Q55" s="8">
        <v>571</v>
      </c>
      <c r="R55" s="8">
        <v>335</v>
      </c>
      <c r="S55" s="8">
        <v>393</v>
      </c>
      <c r="T55" s="8">
        <v>441</v>
      </c>
      <c r="U55" s="12">
        <v>398</v>
      </c>
      <c r="V55" s="12">
        <v>75</v>
      </c>
      <c r="W55" s="12"/>
      <c r="X55" s="12"/>
    </row>
    <row r="56" spans="1:24" ht="22" customHeight="1" x14ac:dyDescent="0.2">
      <c r="A56" s="20"/>
      <c r="B56" s="15" t="s">
        <v>380</v>
      </c>
      <c r="C56" s="7" t="s">
        <v>365</v>
      </c>
      <c r="D56" s="8">
        <v>487036</v>
      </c>
      <c r="E56" s="8">
        <v>511400</v>
      </c>
      <c r="F56" s="8">
        <v>493220</v>
      </c>
      <c r="G56" s="8">
        <v>426108</v>
      </c>
      <c r="H56" s="8">
        <v>429441</v>
      </c>
      <c r="I56" s="8">
        <v>428227</v>
      </c>
      <c r="J56" s="8">
        <v>402582</v>
      </c>
      <c r="K56" s="8">
        <v>389444</v>
      </c>
      <c r="L56" s="8">
        <v>366995</v>
      </c>
      <c r="M56" s="8">
        <v>354100</v>
      </c>
      <c r="N56" s="8">
        <v>329327</v>
      </c>
      <c r="O56" s="8">
        <v>356382</v>
      </c>
      <c r="P56" s="8">
        <v>369487</v>
      </c>
      <c r="Q56" s="8">
        <v>393484</v>
      </c>
      <c r="R56" s="8">
        <v>346001</v>
      </c>
      <c r="S56" s="8">
        <v>373400</v>
      </c>
      <c r="T56" s="8">
        <v>335357</v>
      </c>
      <c r="U56" s="12">
        <v>336422</v>
      </c>
      <c r="V56" s="12">
        <v>329770</v>
      </c>
      <c r="W56" s="12"/>
      <c r="X56" s="12"/>
    </row>
    <row r="57" spans="1:24" ht="19" customHeight="1" x14ac:dyDescent="0.2">
      <c r="A57" s="325" t="s">
        <v>383</v>
      </c>
      <c r="B57" s="323"/>
      <c r="C57" s="323"/>
      <c r="D57" s="323"/>
      <c r="E57" s="323"/>
      <c r="F57" s="323"/>
      <c r="G57" s="323"/>
      <c r="H57" s="323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  <c r="T57" s="323"/>
      <c r="U57" s="323"/>
      <c r="V57" s="323"/>
      <c r="W57" s="323"/>
      <c r="X57" s="323"/>
    </row>
    <row r="58" spans="1:24" ht="22" customHeight="1" x14ac:dyDescent="0.2">
      <c r="A58" s="20"/>
      <c r="B58" s="6" t="s">
        <v>241</v>
      </c>
      <c r="C58" s="7" t="s">
        <v>372</v>
      </c>
      <c r="D58" s="8">
        <v>316</v>
      </c>
      <c r="E58" s="8">
        <v>174</v>
      </c>
      <c r="F58" s="8">
        <v>263</v>
      </c>
      <c r="G58" s="8">
        <v>282</v>
      </c>
      <c r="H58" s="8">
        <v>294</v>
      </c>
      <c r="I58" s="8">
        <v>326</v>
      </c>
      <c r="J58" s="8">
        <v>356</v>
      </c>
      <c r="K58" s="8">
        <v>380</v>
      </c>
      <c r="L58" s="8">
        <v>321</v>
      </c>
      <c r="M58" s="8">
        <v>423</v>
      </c>
      <c r="N58" s="8">
        <v>466</v>
      </c>
      <c r="O58" s="8">
        <v>616</v>
      </c>
      <c r="P58" s="8">
        <v>660</v>
      </c>
      <c r="Q58" s="8">
        <v>728</v>
      </c>
      <c r="R58" s="8">
        <v>487</v>
      </c>
      <c r="S58" s="8">
        <v>561</v>
      </c>
      <c r="T58" s="8">
        <v>545</v>
      </c>
      <c r="U58" s="12">
        <v>579</v>
      </c>
      <c r="V58" s="12">
        <v>105</v>
      </c>
      <c r="W58" s="12"/>
      <c r="X58" s="12"/>
    </row>
    <row r="59" spans="1:24" ht="22" customHeight="1" x14ac:dyDescent="0.2">
      <c r="A59" s="20"/>
      <c r="B59" s="17" t="s">
        <v>384</v>
      </c>
      <c r="C59" s="11" t="s">
        <v>365</v>
      </c>
      <c r="D59" s="8">
        <v>568478</v>
      </c>
      <c r="E59" s="8">
        <v>560642</v>
      </c>
      <c r="F59" s="8">
        <v>576787</v>
      </c>
      <c r="G59" s="8">
        <v>508265</v>
      </c>
      <c r="H59" s="8">
        <v>495984</v>
      </c>
      <c r="I59" s="8">
        <v>493393</v>
      </c>
      <c r="J59" s="8">
        <v>499735</v>
      </c>
      <c r="K59" s="8">
        <v>436487</v>
      </c>
      <c r="L59" s="8">
        <v>438104</v>
      </c>
      <c r="M59" s="8">
        <v>412222</v>
      </c>
      <c r="N59" s="8">
        <v>387999</v>
      </c>
      <c r="O59" s="8">
        <v>435587</v>
      </c>
      <c r="P59" s="8">
        <v>444641</v>
      </c>
      <c r="Q59" s="8">
        <v>442207</v>
      </c>
      <c r="R59" s="8">
        <v>403039</v>
      </c>
      <c r="S59" s="8">
        <v>418389</v>
      </c>
      <c r="T59" s="8">
        <v>404222</v>
      </c>
      <c r="U59" s="12">
        <v>331118</v>
      </c>
      <c r="V59" s="12">
        <v>314381</v>
      </c>
      <c r="W59" s="12"/>
      <c r="X59" s="12"/>
    </row>
    <row r="60" spans="1:24" ht="22" customHeight="1" x14ac:dyDescent="0.2">
      <c r="A60" s="20"/>
      <c r="B60" s="6" t="s">
        <v>396</v>
      </c>
      <c r="C60" s="7" t="s">
        <v>386</v>
      </c>
      <c r="D60" s="8">
        <v>641895</v>
      </c>
      <c r="E60" s="8">
        <v>643908</v>
      </c>
      <c r="F60" s="8">
        <v>646403</v>
      </c>
      <c r="G60" s="8">
        <v>646525</v>
      </c>
      <c r="H60" s="8">
        <v>643954</v>
      </c>
      <c r="I60" s="8">
        <v>625594</v>
      </c>
      <c r="J60" s="8">
        <v>609044</v>
      </c>
      <c r="K60" s="8">
        <v>592216</v>
      </c>
      <c r="L60" s="8">
        <v>577597</v>
      </c>
      <c r="M60" s="8">
        <v>560469</v>
      </c>
      <c r="N60" s="8">
        <v>543210</v>
      </c>
      <c r="O60" s="8">
        <v>533502</v>
      </c>
      <c r="P60" s="8">
        <v>518249</v>
      </c>
      <c r="Q60" s="8">
        <v>518879</v>
      </c>
      <c r="R60" s="8">
        <v>512503</v>
      </c>
      <c r="S60" s="8">
        <v>512762</v>
      </c>
      <c r="T60" s="8">
        <v>513456</v>
      </c>
      <c r="U60" s="12">
        <v>496795</v>
      </c>
      <c r="V60" s="12">
        <v>532466</v>
      </c>
      <c r="W60" s="12"/>
      <c r="X60" s="12"/>
    </row>
    <row r="61" spans="1:24" ht="50" customHeight="1" x14ac:dyDescent="0.2">
      <c r="A61" s="18" t="s">
        <v>397</v>
      </c>
    </row>
    <row r="62" spans="1:24" ht="33" customHeight="1" x14ac:dyDescent="0.2">
      <c r="A62" s="19" t="s">
        <v>398</v>
      </c>
    </row>
    <row r="63" spans="1:24" ht="22" customHeight="1" x14ac:dyDescent="0.2">
      <c r="A63" s="20"/>
      <c r="B63" s="10" t="s">
        <v>399</v>
      </c>
      <c r="C63" s="11" t="s">
        <v>363</v>
      </c>
      <c r="D63" s="8">
        <v>87240654</v>
      </c>
      <c r="E63" s="8">
        <v>65243000</v>
      </c>
      <c r="F63" s="8">
        <v>62782000</v>
      </c>
      <c r="G63" s="8">
        <v>43304000</v>
      </c>
      <c r="H63" s="8">
        <v>39079544</v>
      </c>
      <c r="I63" s="8">
        <v>52499000</v>
      </c>
      <c r="J63" s="8">
        <v>22881034</v>
      </c>
      <c r="K63" s="8">
        <v>51224832</v>
      </c>
      <c r="L63" s="8">
        <v>34352665</v>
      </c>
      <c r="M63" s="8">
        <v>77261699</v>
      </c>
      <c r="N63" s="8">
        <v>130425056</v>
      </c>
      <c r="O63" s="8">
        <v>122721120</v>
      </c>
      <c r="P63" s="8">
        <v>71258374</v>
      </c>
      <c r="Q63" s="8">
        <v>57202615</v>
      </c>
      <c r="R63" s="8">
        <v>65655752</v>
      </c>
      <c r="S63" s="8">
        <v>29404244</v>
      </c>
      <c r="T63" s="8">
        <v>22943316</v>
      </c>
      <c r="U63" s="9">
        <v>27162334</v>
      </c>
      <c r="V63" s="9">
        <v>5335139</v>
      </c>
      <c r="W63" s="9"/>
      <c r="X63" s="9"/>
    </row>
    <row r="64" spans="1:24" ht="22" customHeight="1" x14ac:dyDescent="0.2">
      <c r="A64" s="20"/>
      <c r="B64" s="10" t="s">
        <v>400</v>
      </c>
      <c r="C64" s="11" t="s">
        <v>368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2.7E-2</v>
      </c>
      <c r="Q64" s="16">
        <v>2.4299999999999999E-2</v>
      </c>
      <c r="R64" s="16">
        <v>3.6799999999999999E-2</v>
      </c>
      <c r="S64" s="16">
        <v>1.7000000000000001E-2</v>
      </c>
      <c r="T64" s="16">
        <v>1.44E-2</v>
      </c>
      <c r="U64" s="21">
        <v>1.7000000000000001E-2</v>
      </c>
      <c r="V64" s="21">
        <v>1.8700000000000001E-2</v>
      </c>
      <c r="W64" s="9"/>
      <c r="X64" s="9"/>
    </row>
    <row r="65" spans="1:24" ht="22" customHeight="1" x14ac:dyDescent="0.2"/>
    <row r="66" spans="1:24" ht="22" customHeight="1" x14ac:dyDescent="0.2">
      <c r="A66" s="22" t="s">
        <v>401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22" customHeight="1" x14ac:dyDescent="0.2">
      <c r="A67" s="23" t="s">
        <v>402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22" customHeight="1" x14ac:dyDescent="0.2">
      <c r="A68" s="24"/>
      <c r="B68" s="10" t="s">
        <v>264</v>
      </c>
      <c r="C68" s="11" t="s">
        <v>363</v>
      </c>
      <c r="D68" s="8">
        <v>3155596416</v>
      </c>
      <c r="E68" s="8">
        <v>1688596770</v>
      </c>
      <c r="F68" s="8">
        <v>1879993928</v>
      </c>
      <c r="G68" s="8">
        <v>1672055128</v>
      </c>
      <c r="H68" s="8">
        <v>1618985453</v>
      </c>
      <c r="I68" s="8">
        <v>1557229608</v>
      </c>
      <c r="J68" s="8">
        <v>1647719432</v>
      </c>
      <c r="K68" s="8">
        <v>1661331245</v>
      </c>
      <c r="L68" s="8">
        <v>1369882071</v>
      </c>
      <c r="M68" s="8">
        <v>1670861597</v>
      </c>
      <c r="N68" s="8">
        <v>2045388728</v>
      </c>
      <c r="O68" s="8">
        <v>2313338249</v>
      </c>
      <c r="P68" s="8">
        <v>2634804956</v>
      </c>
      <c r="Q68" s="8">
        <v>2350507605</v>
      </c>
      <c r="R68" s="8">
        <v>1782266684</v>
      </c>
      <c r="S68" s="8">
        <v>1724768091</v>
      </c>
      <c r="T68" s="8">
        <v>1592209491</v>
      </c>
      <c r="U68" s="9">
        <v>1593519594</v>
      </c>
      <c r="V68" s="9">
        <f>IFERROR(SUM('📅 DAILY T7'!C$6:C$36)+SUM('📅 DAILY T7'!G$6:I$36),0)</f>
        <v>285424642</v>
      </c>
      <c r="W68" s="9">
        <f>IFERROR(SUM('📅 DAILY T8'!C$6:C$36)+SUM('📅 DAILY T8'!G$6:I$36),0)</f>
        <v>0</v>
      </c>
      <c r="X68" s="9">
        <f>IFERROR(SUM('📅 DAILY T9'!C$6:C$35)+SUM('📅 DAILY T9'!G$6:I$35),0)</f>
        <v>0</v>
      </c>
    </row>
    <row r="69" spans="1:24" ht="19" customHeight="1" x14ac:dyDescent="0.2">
      <c r="A69" s="332"/>
      <c r="B69" s="323"/>
      <c r="C69" s="323"/>
      <c r="D69" s="323"/>
      <c r="E69" s="323"/>
      <c r="F69" s="323"/>
      <c r="G69" s="323"/>
      <c r="H69" s="323"/>
      <c r="I69" s="323"/>
      <c r="J69" s="323"/>
      <c r="K69" s="323"/>
      <c r="L69" s="323"/>
      <c r="M69" s="323"/>
      <c r="N69" s="323"/>
      <c r="O69" s="323"/>
      <c r="P69" s="323"/>
      <c r="Q69" s="323"/>
      <c r="R69" s="323"/>
      <c r="S69" s="323"/>
      <c r="T69" s="323"/>
      <c r="U69" s="323"/>
      <c r="V69" s="323"/>
      <c r="W69" s="323"/>
      <c r="X69" s="324"/>
    </row>
    <row r="70" spans="1:24" ht="22" customHeight="1" x14ac:dyDescent="0.2">
      <c r="A70" s="24"/>
      <c r="B70" s="10" t="s">
        <v>269</v>
      </c>
      <c r="C70" s="11" t="s">
        <v>369</v>
      </c>
      <c r="D70" s="25">
        <v>1.1000000000000001</v>
      </c>
      <c r="E70" s="25">
        <v>1.1100000000000001</v>
      </c>
      <c r="F70" s="25">
        <v>1.1299999999999999</v>
      </c>
      <c r="G70" s="25">
        <v>1.1200000000000001</v>
      </c>
      <c r="H70" s="25">
        <v>1.1299999999999999</v>
      </c>
      <c r="I70" s="25">
        <v>1.1200000000000001</v>
      </c>
      <c r="J70" s="25">
        <v>1.1299999999999999</v>
      </c>
      <c r="K70" s="25">
        <v>1.1299999999999999</v>
      </c>
      <c r="L70" s="25">
        <v>1.1200000000000001</v>
      </c>
      <c r="M70" s="25">
        <v>1.1499999999999999</v>
      </c>
      <c r="N70" s="25">
        <v>1.1399999999999999</v>
      </c>
      <c r="O70" s="25">
        <v>1.1499999999999999</v>
      </c>
      <c r="P70" s="25">
        <v>1.1299999999999999</v>
      </c>
      <c r="Q70" s="25">
        <v>1.1200000000000001</v>
      </c>
      <c r="R70" s="25">
        <v>1.1399999999999999</v>
      </c>
      <c r="S70" s="25">
        <v>1.1299999999999999</v>
      </c>
      <c r="T70" s="25">
        <v>1.1299999999999999</v>
      </c>
      <c r="U70" s="14">
        <v>1.1299999999999999</v>
      </c>
      <c r="V70" s="14">
        <v>1.06</v>
      </c>
      <c r="W70" s="14"/>
      <c r="X70" s="14"/>
    </row>
    <row r="71" spans="1:24" ht="22" customHeight="1" x14ac:dyDescent="0.2">
      <c r="A71" s="24"/>
      <c r="B71" s="6" t="s">
        <v>403</v>
      </c>
      <c r="C71" s="7" t="s">
        <v>372</v>
      </c>
      <c r="D71" s="8">
        <v>3764</v>
      </c>
      <c r="E71" s="8">
        <v>5005</v>
      </c>
      <c r="F71" s="8">
        <v>6609</v>
      </c>
      <c r="G71" s="8">
        <v>7096</v>
      </c>
      <c r="H71" s="8">
        <v>7928</v>
      </c>
      <c r="I71" s="8">
        <v>8606</v>
      </c>
      <c r="J71" s="8">
        <v>9262</v>
      </c>
      <c r="K71" s="8">
        <v>9813</v>
      </c>
      <c r="L71" s="8">
        <v>10509</v>
      </c>
      <c r="M71" s="8">
        <v>11154</v>
      </c>
      <c r="N71" s="8">
        <v>11228</v>
      </c>
      <c r="O71" s="8">
        <v>11608</v>
      </c>
      <c r="P71" s="8">
        <v>12361</v>
      </c>
      <c r="Q71" s="8">
        <v>13046</v>
      </c>
      <c r="R71" s="8">
        <v>14587</v>
      </c>
      <c r="S71" s="8">
        <v>16222</v>
      </c>
      <c r="T71" s="8">
        <v>16877</v>
      </c>
      <c r="U71" s="12">
        <v>19281</v>
      </c>
      <c r="V71" s="12">
        <v>18068</v>
      </c>
      <c r="W71" s="12"/>
      <c r="X71" s="12"/>
    </row>
    <row r="72" spans="1:24" ht="22" customHeight="1" x14ac:dyDescent="0.2">
      <c r="A72" s="24"/>
      <c r="B72" s="10" t="s">
        <v>404</v>
      </c>
      <c r="C72" s="11" t="s">
        <v>372</v>
      </c>
      <c r="D72" s="8">
        <v>0</v>
      </c>
      <c r="E72" s="8">
        <v>354</v>
      </c>
      <c r="F72" s="8">
        <v>552</v>
      </c>
      <c r="G72" s="8">
        <v>670</v>
      </c>
      <c r="H72" s="8">
        <v>628</v>
      </c>
      <c r="I72" s="8">
        <v>659</v>
      </c>
      <c r="J72" s="8">
        <v>703</v>
      </c>
      <c r="K72" s="8">
        <v>822</v>
      </c>
      <c r="L72" s="8">
        <v>640</v>
      </c>
      <c r="M72" s="8">
        <v>839</v>
      </c>
      <c r="N72" s="8">
        <v>1043</v>
      </c>
      <c r="O72" s="8">
        <v>1045</v>
      </c>
      <c r="P72" s="8">
        <v>1104</v>
      </c>
      <c r="Q72" s="8">
        <v>1117</v>
      </c>
      <c r="R72" s="8">
        <v>823</v>
      </c>
      <c r="S72" s="8">
        <v>895</v>
      </c>
      <c r="T72" s="8">
        <v>1020</v>
      </c>
      <c r="U72" s="12">
        <v>984</v>
      </c>
      <c r="V72" s="12">
        <v>224</v>
      </c>
      <c r="W72" s="12"/>
      <c r="X72" s="12"/>
    </row>
    <row r="73" spans="1:24" ht="22" customHeight="1" x14ac:dyDescent="0.2">
      <c r="A73" s="24"/>
      <c r="B73" s="6" t="s">
        <v>284</v>
      </c>
      <c r="C73" s="7" t="s">
        <v>405</v>
      </c>
      <c r="D73" s="26">
        <v>58</v>
      </c>
      <c r="E73" s="26">
        <v>60</v>
      </c>
      <c r="F73" s="26">
        <v>62</v>
      </c>
      <c r="G73" s="26">
        <v>65</v>
      </c>
      <c r="H73" s="26">
        <v>68</v>
      </c>
      <c r="I73" s="26">
        <v>71</v>
      </c>
      <c r="J73" s="26">
        <v>74</v>
      </c>
      <c r="K73" s="26">
        <v>77</v>
      </c>
      <c r="L73" s="26">
        <v>80</v>
      </c>
      <c r="M73" s="26">
        <v>83</v>
      </c>
      <c r="N73" s="26">
        <v>86</v>
      </c>
      <c r="O73" s="26">
        <v>89</v>
      </c>
      <c r="P73" s="26">
        <v>93</v>
      </c>
      <c r="Q73" s="26">
        <v>95</v>
      </c>
      <c r="R73" s="26">
        <v>96</v>
      </c>
      <c r="S73" s="26">
        <v>97</v>
      </c>
      <c r="T73" s="26">
        <v>98</v>
      </c>
      <c r="U73" s="27">
        <v>99</v>
      </c>
      <c r="V73" s="27">
        <v>101</v>
      </c>
      <c r="W73" s="27"/>
      <c r="X73" s="27"/>
    </row>
    <row r="74" spans="1:24" ht="26" customHeight="1" x14ac:dyDescent="0.2">
      <c r="A74" s="328" t="s">
        <v>406</v>
      </c>
      <c r="B74" s="323"/>
      <c r="C74" s="323"/>
      <c r="D74" s="323"/>
      <c r="E74" s="323"/>
      <c r="F74" s="323"/>
      <c r="G74" s="323"/>
      <c r="H74" s="323"/>
      <c r="I74" s="323"/>
      <c r="J74" s="323"/>
      <c r="K74" s="323"/>
      <c r="L74" s="323"/>
      <c r="M74" s="323"/>
      <c r="N74" s="323"/>
      <c r="O74" s="323"/>
      <c r="P74" s="323"/>
      <c r="Q74" s="323"/>
      <c r="R74" s="323"/>
      <c r="S74" s="323"/>
      <c r="T74" s="323"/>
      <c r="U74" s="323"/>
      <c r="V74" s="323"/>
      <c r="W74" s="323"/>
      <c r="X74" s="323"/>
    </row>
    <row r="75" spans="1:24" ht="22" customHeight="1" x14ac:dyDescent="0.2">
      <c r="A75" s="24"/>
      <c r="B75" s="15" t="s">
        <v>407</v>
      </c>
      <c r="C75" s="7" t="s">
        <v>386</v>
      </c>
      <c r="D75" s="8">
        <v>854166</v>
      </c>
      <c r="E75" s="8">
        <v>867740</v>
      </c>
      <c r="F75" s="8">
        <v>885205</v>
      </c>
      <c r="G75" s="8">
        <v>896218</v>
      </c>
      <c r="H75" s="8">
        <v>906167</v>
      </c>
      <c r="I75" s="8">
        <v>913413</v>
      </c>
      <c r="J75" s="8">
        <v>921336</v>
      </c>
      <c r="K75" s="8">
        <v>930073</v>
      </c>
      <c r="L75" s="8">
        <v>935217</v>
      </c>
      <c r="M75" s="8">
        <v>938756</v>
      </c>
      <c r="N75" s="8">
        <v>944689</v>
      </c>
      <c r="O75" s="8">
        <v>954722</v>
      </c>
      <c r="P75" s="8">
        <v>964715</v>
      </c>
      <c r="Q75" s="8">
        <v>976110</v>
      </c>
      <c r="R75" s="8">
        <v>985971</v>
      </c>
      <c r="S75" s="8">
        <v>997893</v>
      </c>
      <c r="T75" s="8">
        <v>1010217</v>
      </c>
      <c r="U75" s="12">
        <v>1014219</v>
      </c>
      <c r="V75" s="12">
        <v>1015726</v>
      </c>
      <c r="W75" s="12"/>
      <c r="X75" s="12"/>
    </row>
    <row r="76" spans="1:24" ht="22" customHeight="1" x14ac:dyDescent="0.2">
      <c r="A76" s="24"/>
      <c r="B76" s="17" t="s">
        <v>408</v>
      </c>
      <c r="C76" s="11" t="s">
        <v>386</v>
      </c>
      <c r="D76" s="8">
        <v>649776</v>
      </c>
      <c r="E76" s="8">
        <v>653034</v>
      </c>
      <c r="F76" s="8">
        <v>656527</v>
      </c>
      <c r="G76" s="8">
        <v>656372</v>
      </c>
      <c r="H76" s="8">
        <v>654539</v>
      </c>
      <c r="I76" s="8">
        <v>655579</v>
      </c>
      <c r="J76" s="8">
        <v>656930</v>
      </c>
      <c r="K76" s="8">
        <v>657134</v>
      </c>
      <c r="L76" s="8">
        <v>654379</v>
      </c>
      <c r="M76" s="8">
        <v>649380</v>
      </c>
      <c r="N76" s="8">
        <v>643032</v>
      </c>
      <c r="O76" s="8">
        <v>643077</v>
      </c>
      <c r="P76" s="8">
        <v>643489</v>
      </c>
      <c r="Q76" s="8">
        <v>647444</v>
      </c>
      <c r="R76" s="8">
        <v>648524</v>
      </c>
      <c r="S76" s="8">
        <v>652853</v>
      </c>
      <c r="T76" s="8">
        <v>656021</v>
      </c>
      <c r="U76" s="12">
        <v>647229</v>
      </c>
      <c r="V76" s="12">
        <v>693702</v>
      </c>
      <c r="W76" s="12"/>
      <c r="X76" s="12"/>
    </row>
    <row r="77" spans="1:24" ht="22" customHeight="1" x14ac:dyDescent="0.2">
      <c r="A77" s="24"/>
      <c r="B77" s="15" t="s">
        <v>409</v>
      </c>
      <c r="C77" s="7" t="s">
        <v>386</v>
      </c>
      <c r="D77" s="8">
        <v>854166</v>
      </c>
      <c r="E77" s="8">
        <v>867740</v>
      </c>
      <c r="F77" s="8">
        <v>885205</v>
      </c>
      <c r="G77" s="8">
        <v>896218</v>
      </c>
      <c r="H77" s="8">
        <v>906167</v>
      </c>
      <c r="I77" s="8">
        <v>880436</v>
      </c>
      <c r="J77" s="8">
        <v>858858</v>
      </c>
      <c r="K77" s="8">
        <v>834925</v>
      </c>
      <c r="L77" s="8">
        <v>815142</v>
      </c>
      <c r="M77" s="8">
        <v>798971</v>
      </c>
      <c r="N77" s="8">
        <v>787161</v>
      </c>
      <c r="O77" s="8">
        <v>781719</v>
      </c>
      <c r="P77" s="8">
        <v>777311</v>
      </c>
      <c r="Q77" s="8">
        <v>781068</v>
      </c>
      <c r="R77" s="8">
        <v>778576</v>
      </c>
      <c r="S77" s="8">
        <v>785070</v>
      </c>
      <c r="T77" s="8">
        <v>793187</v>
      </c>
      <c r="U77" s="12">
        <v>804514</v>
      </c>
      <c r="V77" s="12">
        <v>804514</v>
      </c>
      <c r="W77" s="12"/>
      <c r="X77" s="12"/>
    </row>
    <row r="78" spans="1:24" ht="22" customHeight="1" x14ac:dyDescent="0.2">
      <c r="A78" s="24"/>
      <c r="B78" s="17" t="s">
        <v>410</v>
      </c>
      <c r="C78" s="11" t="s">
        <v>386</v>
      </c>
      <c r="D78" s="8">
        <v>649776</v>
      </c>
      <c r="E78" s="8">
        <v>653034</v>
      </c>
      <c r="F78" s="8">
        <v>656527</v>
      </c>
      <c r="G78" s="8">
        <v>656372</v>
      </c>
      <c r="H78" s="8">
        <v>654539</v>
      </c>
      <c r="I78" s="8">
        <v>634626</v>
      </c>
      <c r="J78" s="8">
        <v>617933</v>
      </c>
      <c r="K78" s="8">
        <v>599967</v>
      </c>
      <c r="L78" s="8">
        <v>584496</v>
      </c>
      <c r="M78" s="8">
        <v>565801</v>
      </c>
      <c r="N78" s="8">
        <v>544704</v>
      </c>
      <c r="O78" s="8">
        <v>531895</v>
      </c>
      <c r="P78" s="8">
        <v>516683</v>
      </c>
      <c r="Q78" s="8">
        <v>518311</v>
      </c>
      <c r="R78" s="8">
        <v>512897</v>
      </c>
      <c r="S78" s="8">
        <v>514213</v>
      </c>
      <c r="T78" s="8">
        <v>514850</v>
      </c>
      <c r="U78" s="12">
        <v>496795</v>
      </c>
      <c r="V78" s="12">
        <v>532466</v>
      </c>
      <c r="W78" s="12"/>
      <c r="X78" s="12"/>
    </row>
    <row r="79" spans="1:24" ht="22" customHeight="1" x14ac:dyDescent="0.2">
      <c r="A79" s="28" t="s">
        <v>411</v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22" customHeight="1" x14ac:dyDescent="0.2">
      <c r="A80" s="29"/>
      <c r="B80" s="10"/>
      <c r="C80" s="11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12"/>
      <c r="V80" s="12"/>
      <c r="W80" s="12"/>
      <c r="X80" s="12"/>
    </row>
    <row r="81" spans="1:24" ht="22" customHeight="1" x14ac:dyDescent="0.2">
      <c r="A81" s="322"/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  <c r="M81" s="323"/>
      <c r="N81" s="323"/>
      <c r="O81" s="323"/>
      <c r="P81" s="323"/>
      <c r="Q81" s="323"/>
      <c r="R81" s="323"/>
      <c r="S81" s="323"/>
      <c r="T81" s="323"/>
      <c r="U81" s="323"/>
      <c r="V81" s="323"/>
      <c r="W81" s="323"/>
      <c r="X81" s="324"/>
    </row>
    <row r="82" spans="1:24" ht="19" customHeight="1" x14ac:dyDescent="0.2">
      <c r="A82" s="29"/>
      <c r="B82" s="10"/>
      <c r="C82" s="11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13"/>
      <c r="V82" s="13"/>
      <c r="W82" s="13"/>
      <c r="X82" s="13"/>
    </row>
    <row r="83" spans="1:24" ht="19" customHeight="1" x14ac:dyDescent="0.2">
      <c r="A83" s="29"/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12"/>
      <c r="V83" s="12"/>
      <c r="W83" s="12"/>
      <c r="X83" s="12"/>
    </row>
    <row r="84" spans="1:24" ht="19" customHeight="1" x14ac:dyDescent="0.2">
      <c r="A84" s="29"/>
      <c r="B84" s="10"/>
      <c r="C84" s="11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12"/>
      <c r="V84" s="12"/>
      <c r="W84" s="12"/>
      <c r="X84" s="12"/>
    </row>
    <row r="85" spans="1:24" ht="19" customHeight="1" x14ac:dyDescent="0.2">
      <c r="A85" s="29"/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12"/>
      <c r="V85" s="12"/>
      <c r="W85" s="12"/>
      <c r="X85" s="12"/>
    </row>
    <row r="86" spans="1:24" ht="100" customHeight="1" x14ac:dyDescent="0.2">
      <c r="A86" s="30" t="s">
        <v>412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9" customHeight="1" x14ac:dyDescent="0.2"/>
    <row r="88" spans="1:24" ht="19" customHeight="1" x14ac:dyDescent="0.2"/>
    <row r="89" spans="1:24" ht="19" customHeight="1" x14ac:dyDescent="0.2"/>
    <row r="90" spans="1:24" ht="19" customHeight="1" x14ac:dyDescent="0.2"/>
    <row r="91" spans="1:24" ht="19" customHeight="1" x14ac:dyDescent="0.2"/>
    <row r="92" spans="1:24" ht="19" customHeight="1" x14ac:dyDescent="0.2"/>
    <row r="93" spans="1:24" ht="19" customHeight="1" x14ac:dyDescent="0.2"/>
    <row r="94" spans="1:24" ht="19" customHeight="1" x14ac:dyDescent="0.2"/>
    <row r="95" spans="1:24" ht="19" customHeight="1" x14ac:dyDescent="0.2"/>
    <row r="96" spans="1:24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17">
    <mergeCell ref="A4:X4"/>
    <mergeCell ref="A81:X81"/>
    <mergeCell ref="A57:X57"/>
    <mergeCell ref="A47:X47"/>
    <mergeCell ref="A1:X1"/>
    <mergeCell ref="A5:X5"/>
    <mergeCell ref="A13:X13"/>
    <mergeCell ref="A14:X14"/>
    <mergeCell ref="A74:X74"/>
    <mergeCell ref="A2:X2"/>
    <mergeCell ref="A42:X42"/>
    <mergeCell ref="A41:X41"/>
    <mergeCell ref="A19:X19"/>
    <mergeCell ref="A33:X33"/>
    <mergeCell ref="A69:X69"/>
    <mergeCell ref="A34:X34"/>
    <mergeCell ref="A29:X29"/>
  </mergeCell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200"/>
  <sheetViews>
    <sheetView workbookViewId="0">
      <pane xSplit="2" ySplit="4" topLeftCell="C11" activePane="bottomRight" state="frozen"/>
      <selection pane="topRight"/>
      <selection pane="bottomLeft"/>
      <selection pane="bottomRight" activeCell="E6" sqref="E6:E3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38" t="s">
        <v>413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43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45" t="s">
        <v>415</v>
      </c>
      <c r="B3" s="323"/>
      <c r="C3" s="344" t="s">
        <v>416</v>
      </c>
      <c r="D3" s="323"/>
      <c r="E3" s="339" t="s">
        <v>417</v>
      </c>
      <c r="F3" s="323"/>
      <c r="G3" s="341" t="s">
        <v>418</v>
      </c>
      <c r="H3" s="323"/>
      <c r="I3" s="323"/>
      <c r="J3" s="323"/>
      <c r="K3" s="31" t="s">
        <v>419</v>
      </c>
      <c r="L3" s="32" t="s">
        <v>420</v>
      </c>
      <c r="M3" s="340" t="s">
        <v>421</v>
      </c>
      <c r="N3" s="323"/>
      <c r="O3" s="340" t="s">
        <v>421</v>
      </c>
      <c r="P3" s="323"/>
      <c r="Q3" s="33" t="s">
        <v>422</v>
      </c>
    </row>
    <row r="4" spans="1:17" ht="36" customHeight="1" x14ac:dyDescent="0.2">
      <c r="A4" s="34" t="s">
        <v>3</v>
      </c>
      <c r="B4" s="34" t="s">
        <v>423</v>
      </c>
      <c r="C4" s="35" t="s">
        <v>4</v>
      </c>
      <c r="D4" s="35" t="s">
        <v>5</v>
      </c>
      <c r="E4" s="36" t="s">
        <v>424</v>
      </c>
      <c r="F4" s="36" t="s">
        <v>7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13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2" customHeight="1" x14ac:dyDescent="0.2">
      <c r="A5" s="342" t="s">
        <v>435</v>
      </c>
      <c r="B5" s="323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2" customHeight="1" x14ac:dyDescent="0.2">
      <c r="A6" s="47">
        <v>46174</v>
      </c>
      <c r="B6" s="48" t="s">
        <v>436</v>
      </c>
      <c r="C6" s="49">
        <v>44886805</v>
      </c>
      <c r="D6" s="49">
        <v>97</v>
      </c>
      <c r="E6" s="49">
        <v>274</v>
      </c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51">
        <f t="shared" ref="M6:M35" si="0">IF(SUM(G6:I6)&gt;0,SUM(G6:I6),"")</f>
        <v>13250714</v>
      </c>
      <c r="N6" s="51">
        <f t="shared" ref="N6:N35" si="1">IF(N(C6)+N(M6)&gt;0,N(C6)+N(M6),"")</f>
        <v>58137519</v>
      </c>
      <c r="O6" s="51">
        <f t="shared" ref="O6:O35" si="2">IFERROR(IF(D6&gt;0,C6/D6,""),"")</f>
        <v>462750.56701030926</v>
      </c>
      <c r="P6" s="51">
        <f t="shared" ref="P6:P35" si="3">IFERROR(IF(J6&gt;0,M6/J6,""),"")</f>
        <v>301152.59090909088</v>
      </c>
      <c r="Q6" s="52">
        <f t="shared" ref="Q6:Q35" si="4">IFERROR(IF(E6&gt;0,D6/E6,""),"")</f>
        <v>0.354014598540146</v>
      </c>
    </row>
    <row r="7" spans="1:17" ht="22" customHeight="1" x14ac:dyDescent="0.2">
      <c r="A7" s="47">
        <v>46175</v>
      </c>
      <c r="B7" s="48" t="s">
        <v>437</v>
      </c>
      <c r="C7" s="49">
        <v>32214802</v>
      </c>
      <c r="D7" s="49">
        <v>65</v>
      </c>
      <c r="E7" s="49">
        <v>231</v>
      </c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51">
        <f t="shared" si="0"/>
        <v>13481512</v>
      </c>
      <c r="N7" s="51">
        <f t="shared" si="1"/>
        <v>45696314</v>
      </c>
      <c r="O7" s="51">
        <f t="shared" si="2"/>
        <v>495612.33846153849</v>
      </c>
      <c r="P7" s="51">
        <f t="shared" si="3"/>
        <v>313523.53488372092</v>
      </c>
      <c r="Q7" s="52">
        <f t="shared" si="4"/>
        <v>0.2813852813852814</v>
      </c>
    </row>
    <row r="8" spans="1:17" ht="22" customHeight="1" x14ac:dyDescent="0.2">
      <c r="A8" s="47">
        <v>46176</v>
      </c>
      <c r="B8" s="48" t="s">
        <v>438</v>
      </c>
      <c r="C8" s="49">
        <v>36473477</v>
      </c>
      <c r="D8" s="49">
        <v>87</v>
      </c>
      <c r="E8" s="49">
        <v>230</v>
      </c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51">
        <f t="shared" si="0"/>
        <v>14400015</v>
      </c>
      <c r="N8" s="51">
        <f t="shared" si="1"/>
        <v>50873492</v>
      </c>
      <c r="O8" s="51">
        <f t="shared" si="2"/>
        <v>419235.36781609198</v>
      </c>
      <c r="P8" s="51">
        <f t="shared" si="3"/>
        <v>300000.3125</v>
      </c>
      <c r="Q8" s="52">
        <f t="shared" si="4"/>
        <v>0.37826086956521737</v>
      </c>
    </row>
    <row r="9" spans="1:17" ht="22" customHeight="1" x14ac:dyDescent="0.2">
      <c r="A9" s="47">
        <v>46177</v>
      </c>
      <c r="B9" s="48" t="s">
        <v>439</v>
      </c>
      <c r="C9" s="49">
        <v>35472516</v>
      </c>
      <c r="D9" s="49">
        <v>81</v>
      </c>
      <c r="E9" s="49">
        <v>304</v>
      </c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51">
        <f t="shared" si="0"/>
        <v>19861513</v>
      </c>
      <c r="N9" s="51">
        <f t="shared" si="1"/>
        <v>55334029</v>
      </c>
      <c r="O9" s="51">
        <f t="shared" si="2"/>
        <v>437932.29629629629</v>
      </c>
      <c r="P9" s="51">
        <f t="shared" si="3"/>
        <v>331025.21666666667</v>
      </c>
      <c r="Q9" s="52">
        <f t="shared" si="4"/>
        <v>0.26644736842105265</v>
      </c>
    </row>
    <row r="10" spans="1:17" ht="22" customHeight="1" x14ac:dyDescent="0.2">
      <c r="A10" s="47">
        <v>46178</v>
      </c>
      <c r="B10" s="48" t="s">
        <v>440</v>
      </c>
      <c r="C10" s="49">
        <v>31950186</v>
      </c>
      <c r="D10" s="49">
        <v>76</v>
      </c>
      <c r="E10" s="49">
        <v>467</v>
      </c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51">
        <f t="shared" si="0"/>
        <v>21434250</v>
      </c>
      <c r="N10" s="51">
        <f t="shared" si="1"/>
        <v>53384436</v>
      </c>
      <c r="O10" s="51">
        <f t="shared" si="2"/>
        <v>420397.18421052629</v>
      </c>
      <c r="P10" s="51">
        <f t="shared" si="3"/>
        <v>310641.30434782611</v>
      </c>
      <c r="Q10" s="52">
        <f t="shared" si="4"/>
        <v>0.16274089935760172</v>
      </c>
    </row>
    <row r="11" spans="1:17" ht="22" customHeight="1" x14ac:dyDescent="0.2">
      <c r="A11" s="53">
        <v>46179</v>
      </c>
      <c r="B11" s="54" t="s">
        <v>441</v>
      </c>
      <c r="C11" s="49">
        <v>35754690</v>
      </c>
      <c r="D11" s="49">
        <v>81</v>
      </c>
      <c r="E11" s="49">
        <v>456</v>
      </c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51">
        <f t="shared" si="0"/>
        <v>20375750</v>
      </c>
      <c r="N11" s="51">
        <f t="shared" si="1"/>
        <v>56130440</v>
      </c>
      <c r="O11" s="51">
        <f t="shared" si="2"/>
        <v>441415.9259259259</v>
      </c>
      <c r="P11" s="51">
        <f t="shared" si="3"/>
        <v>275347.97297297296</v>
      </c>
      <c r="Q11" s="52">
        <f t="shared" si="4"/>
        <v>0.17763157894736842</v>
      </c>
    </row>
    <row r="12" spans="1:17" ht="22" customHeight="1" x14ac:dyDescent="0.2">
      <c r="A12" s="53">
        <v>46180</v>
      </c>
      <c r="B12" s="54" t="s">
        <v>442</v>
      </c>
      <c r="C12" s="49">
        <v>26345035</v>
      </c>
      <c r="D12" s="49">
        <v>64</v>
      </c>
      <c r="E12" s="49">
        <v>392</v>
      </c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51">
        <f t="shared" si="0"/>
        <v>22450217</v>
      </c>
      <c r="N12" s="51">
        <f t="shared" si="1"/>
        <v>48795252</v>
      </c>
      <c r="O12" s="51">
        <f t="shared" si="2"/>
        <v>411641.171875</v>
      </c>
      <c r="P12" s="51">
        <f t="shared" si="3"/>
        <v>325365.46376811597</v>
      </c>
      <c r="Q12" s="52">
        <f t="shared" si="4"/>
        <v>0.16326530612244897</v>
      </c>
    </row>
    <row r="13" spans="1:17" ht="22" customHeight="1" x14ac:dyDescent="0.2">
      <c r="A13" s="47">
        <v>46181</v>
      </c>
      <c r="B13" s="48" t="s">
        <v>436</v>
      </c>
      <c r="C13" s="49">
        <v>36505043</v>
      </c>
      <c r="D13" s="49">
        <v>74</v>
      </c>
      <c r="E13" s="49">
        <v>284</v>
      </c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51">
        <f t="shared" si="0"/>
        <v>16303750</v>
      </c>
      <c r="N13" s="51">
        <f t="shared" si="1"/>
        <v>52808793</v>
      </c>
      <c r="O13" s="51">
        <f t="shared" si="2"/>
        <v>493311.39189189189</v>
      </c>
      <c r="P13" s="51">
        <f t="shared" si="3"/>
        <v>407593.75</v>
      </c>
      <c r="Q13" s="52">
        <f t="shared" si="4"/>
        <v>0.26056338028169013</v>
      </c>
    </row>
    <row r="14" spans="1:17" ht="22" customHeight="1" x14ac:dyDescent="0.2">
      <c r="A14" s="47">
        <v>46182</v>
      </c>
      <c r="B14" s="48" t="s">
        <v>437</v>
      </c>
      <c r="C14" s="49">
        <v>31831101</v>
      </c>
      <c r="D14" s="49">
        <v>76</v>
      </c>
      <c r="E14" s="49">
        <v>186</v>
      </c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51">
        <f t="shared" si="0"/>
        <v>11574404</v>
      </c>
      <c r="N14" s="51">
        <f t="shared" si="1"/>
        <v>43405505</v>
      </c>
      <c r="O14" s="51">
        <f t="shared" si="2"/>
        <v>418830.2763157895</v>
      </c>
      <c r="P14" s="51">
        <f t="shared" si="3"/>
        <v>282302.53658536583</v>
      </c>
      <c r="Q14" s="52">
        <f t="shared" si="4"/>
        <v>0.40860215053763443</v>
      </c>
    </row>
    <row r="15" spans="1:17" ht="22" customHeight="1" x14ac:dyDescent="0.2">
      <c r="A15" s="47">
        <v>46183</v>
      </c>
      <c r="B15" s="48" t="s">
        <v>438</v>
      </c>
      <c r="C15" s="49">
        <v>32966537</v>
      </c>
      <c r="D15" s="49">
        <v>76</v>
      </c>
      <c r="E15" s="49">
        <v>240</v>
      </c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51">
        <f t="shared" si="0"/>
        <v>15994501</v>
      </c>
      <c r="N15" s="51">
        <f t="shared" si="1"/>
        <v>48961038</v>
      </c>
      <c r="O15" s="51">
        <f t="shared" si="2"/>
        <v>433770.2236842105</v>
      </c>
      <c r="P15" s="51">
        <f t="shared" si="3"/>
        <v>296194.46296296298</v>
      </c>
      <c r="Q15" s="52">
        <f t="shared" si="4"/>
        <v>0.31666666666666665</v>
      </c>
    </row>
    <row r="16" spans="1:17" ht="22" customHeight="1" x14ac:dyDescent="0.2">
      <c r="A16" s="47">
        <v>46184</v>
      </c>
      <c r="B16" s="48" t="s">
        <v>439</v>
      </c>
      <c r="C16" s="49">
        <v>38207669</v>
      </c>
      <c r="D16" s="49">
        <v>90</v>
      </c>
      <c r="E16" s="49">
        <v>261</v>
      </c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51">
        <f t="shared" si="0"/>
        <v>15193002</v>
      </c>
      <c r="N16" s="51">
        <f t="shared" si="1"/>
        <v>53400671</v>
      </c>
      <c r="O16" s="51">
        <f t="shared" si="2"/>
        <v>424529.65555555554</v>
      </c>
      <c r="P16" s="51">
        <f t="shared" si="3"/>
        <v>370561.02439024393</v>
      </c>
      <c r="Q16" s="52">
        <f t="shared" si="4"/>
        <v>0.34482758620689657</v>
      </c>
    </row>
    <row r="17" spans="1:17" ht="22" customHeight="1" x14ac:dyDescent="0.2">
      <c r="A17" s="47">
        <v>46185</v>
      </c>
      <c r="B17" s="48" t="s">
        <v>440</v>
      </c>
      <c r="C17" s="49">
        <v>37803177</v>
      </c>
      <c r="D17" s="49">
        <v>88</v>
      </c>
      <c r="E17" s="49">
        <v>285</v>
      </c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51">
        <f t="shared" si="0"/>
        <v>19203515</v>
      </c>
      <c r="N17" s="51">
        <f t="shared" si="1"/>
        <v>57006692</v>
      </c>
      <c r="O17" s="51">
        <f t="shared" si="2"/>
        <v>429581.55681818182</v>
      </c>
      <c r="P17" s="51">
        <f t="shared" si="3"/>
        <v>286619.62686567166</v>
      </c>
      <c r="Q17" s="52">
        <f t="shared" si="4"/>
        <v>0.30877192982456142</v>
      </c>
    </row>
    <row r="18" spans="1:17" ht="22" customHeight="1" x14ac:dyDescent="0.2">
      <c r="A18" s="53">
        <v>46186</v>
      </c>
      <c r="B18" s="54" t="s">
        <v>441</v>
      </c>
      <c r="C18" s="49">
        <v>31450293</v>
      </c>
      <c r="D18" s="49">
        <v>82</v>
      </c>
      <c r="E18" s="49">
        <v>262</v>
      </c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51">
        <f t="shared" si="0"/>
        <v>24697769</v>
      </c>
      <c r="N18" s="51">
        <f t="shared" si="1"/>
        <v>56148062</v>
      </c>
      <c r="O18" s="51">
        <f t="shared" si="2"/>
        <v>383540.15853658534</v>
      </c>
      <c r="P18" s="51">
        <f t="shared" si="3"/>
        <v>268454.01086956525</v>
      </c>
      <c r="Q18" s="52">
        <f t="shared" si="4"/>
        <v>0.31297709923664124</v>
      </c>
    </row>
    <row r="19" spans="1:17" ht="22" customHeight="1" x14ac:dyDescent="0.2">
      <c r="A19" s="53">
        <v>46187</v>
      </c>
      <c r="B19" s="54" t="s">
        <v>442</v>
      </c>
      <c r="C19" s="49">
        <v>27933793</v>
      </c>
      <c r="D19" s="49">
        <v>63</v>
      </c>
      <c r="E19" s="49">
        <v>275</v>
      </c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51">
        <f t="shared" si="0"/>
        <v>21950252</v>
      </c>
      <c r="N19" s="51">
        <f t="shared" si="1"/>
        <v>49884045</v>
      </c>
      <c r="O19" s="51">
        <f t="shared" si="2"/>
        <v>443393.5396825397</v>
      </c>
      <c r="P19" s="51">
        <f t="shared" si="3"/>
        <v>354036.32258064515</v>
      </c>
      <c r="Q19" s="52">
        <f t="shared" si="4"/>
        <v>0.2290909090909091</v>
      </c>
    </row>
    <row r="20" spans="1:17" ht="22" customHeight="1" x14ac:dyDescent="0.2">
      <c r="A20" s="47">
        <v>46188</v>
      </c>
      <c r="B20" s="48" t="s">
        <v>436</v>
      </c>
      <c r="C20" s="49">
        <v>42226288</v>
      </c>
      <c r="D20" s="49">
        <v>104</v>
      </c>
      <c r="E20" s="49">
        <v>358</v>
      </c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51">
        <f t="shared" si="0"/>
        <v>13227753</v>
      </c>
      <c r="N20" s="51">
        <f t="shared" si="1"/>
        <v>55454041</v>
      </c>
      <c r="O20" s="51">
        <f t="shared" si="2"/>
        <v>406022</v>
      </c>
      <c r="P20" s="51">
        <f t="shared" si="3"/>
        <v>367437.58333333331</v>
      </c>
      <c r="Q20" s="52">
        <f t="shared" si="4"/>
        <v>0.29050279329608941</v>
      </c>
    </row>
    <row r="21" spans="1:17" ht="22" customHeight="1" x14ac:dyDescent="0.2">
      <c r="A21" s="47">
        <v>46189</v>
      </c>
      <c r="B21" s="48" t="s">
        <v>437</v>
      </c>
      <c r="C21" s="49">
        <v>44253287</v>
      </c>
      <c r="D21" s="49">
        <v>108</v>
      </c>
      <c r="E21" s="49">
        <v>379</v>
      </c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51">
        <f t="shared" si="0"/>
        <v>17031503</v>
      </c>
      <c r="N21" s="51">
        <f t="shared" si="1"/>
        <v>61284790</v>
      </c>
      <c r="O21" s="51">
        <f t="shared" si="2"/>
        <v>409752.65740740742</v>
      </c>
      <c r="P21" s="51">
        <f t="shared" si="3"/>
        <v>309663.69090909092</v>
      </c>
      <c r="Q21" s="52">
        <f t="shared" si="4"/>
        <v>0.28496042216358841</v>
      </c>
    </row>
    <row r="22" spans="1:17" ht="22" customHeight="1" x14ac:dyDescent="0.2">
      <c r="A22" s="47">
        <v>46190</v>
      </c>
      <c r="B22" s="48" t="s">
        <v>438</v>
      </c>
      <c r="C22" s="49">
        <v>43337858</v>
      </c>
      <c r="D22" s="49">
        <v>99</v>
      </c>
      <c r="E22" s="49">
        <v>432</v>
      </c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51">
        <f t="shared" si="0"/>
        <v>13988702</v>
      </c>
      <c r="N22" s="51">
        <f t="shared" si="1"/>
        <v>57326560</v>
      </c>
      <c r="O22" s="51">
        <f t="shared" si="2"/>
        <v>437756.1414141414</v>
      </c>
      <c r="P22" s="51">
        <f t="shared" si="3"/>
        <v>274288.27450980392</v>
      </c>
      <c r="Q22" s="52">
        <f t="shared" si="4"/>
        <v>0.22916666666666666</v>
      </c>
    </row>
    <row r="23" spans="1:17" ht="22" customHeight="1" x14ac:dyDescent="0.2">
      <c r="A23" s="47">
        <v>46191</v>
      </c>
      <c r="B23" s="48" t="s">
        <v>439</v>
      </c>
      <c r="C23" s="49">
        <v>49976088</v>
      </c>
      <c r="D23" s="49">
        <v>114</v>
      </c>
      <c r="E23" s="49">
        <v>403</v>
      </c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51">
        <f t="shared" si="0"/>
        <v>18414758</v>
      </c>
      <c r="N23" s="51">
        <f t="shared" si="1"/>
        <v>68390846</v>
      </c>
      <c r="O23" s="51">
        <f t="shared" si="2"/>
        <v>438386.73684210528</v>
      </c>
      <c r="P23" s="51">
        <f t="shared" si="3"/>
        <v>361073.68627450982</v>
      </c>
      <c r="Q23" s="52">
        <f t="shared" si="4"/>
        <v>0.28287841191066998</v>
      </c>
    </row>
    <row r="24" spans="1:17" ht="22" customHeight="1" x14ac:dyDescent="0.2">
      <c r="A24" s="47">
        <v>46192</v>
      </c>
      <c r="B24" s="48" t="s">
        <v>440</v>
      </c>
      <c r="C24" s="49">
        <v>45923314</v>
      </c>
      <c r="D24" s="49">
        <v>102</v>
      </c>
      <c r="E24" s="49">
        <v>303</v>
      </c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51">
        <f t="shared" si="0"/>
        <v>20930249</v>
      </c>
      <c r="N24" s="51">
        <f t="shared" si="1"/>
        <v>66853563</v>
      </c>
      <c r="O24" s="51">
        <f t="shared" si="2"/>
        <v>450228.56862745096</v>
      </c>
      <c r="P24" s="51">
        <f t="shared" si="3"/>
        <v>317124.98484848486</v>
      </c>
      <c r="Q24" s="52">
        <f t="shared" si="4"/>
        <v>0.33663366336633666</v>
      </c>
    </row>
    <row r="25" spans="1:17" ht="22" customHeight="1" x14ac:dyDescent="0.2">
      <c r="A25" s="53">
        <v>46193</v>
      </c>
      <c r="B25" s="54" t="s">
        <v>441</v>
      </c>
      <c r="C25" s="49">
        <v>34642065</v>
      </c>
      <c r="D25" s="49">
        <v>78</v>
      </c>
      <c r="E25" s="49">
        <v>230</v>
      </c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51">
        <f t="shared" si="0"/>
        <v>16086258</v>
      </c>
      <c r="N25" s="51">
        <f t="shared" si="1"/>
        <v>50728323</v>
      </c>
      <c r="O25" s="51">
        <f t="shared" si="2"/>
        <v>444129.03846153844</v>
      </c>
      <c r="P25" s="51">
        <f t="shared" si="3"/>
        <v>268104.3</v>
      </c>
      <c r="Q25" s="52">
        <f t="shared" si="4"/>
        <v>0.33913043478260868</v>
      </c>
    </row>
    <row r="26" spans="1:17" ht="22" customHeight="1" x14ac:dyDescent="0.2">
      <c r="A26" s="53">
        <v>46194</v>
      </c>
      <c r="B26" s="54" t="s">
        <v>442</v>
      </c>
      <c r="C26" s="49">
        <v>34371552</v>
      </c>
      <c r="D26" s="49">
        <v>63</v>
      </c>
      <c r="E26" s="49">
        <v>197</v>
      </c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51">
        <f t="shared" si="0"/>
        <v>15508531</v>
      </c>
      <c r="N26" s="51">
        <f t="shared" si="1"/>
        <v>49880083</v>
      </c>
      <c r="O26" s="51">
        <f t="shared" si="2"/>
        <v>545580.19047619053</v>
      </c>
      <c r="P26" s="51">
        <f t="shared" si="3"/>
        <v>262856.45762711862</v>
      </c>
      <c r="Q26" s="52">
        <f t="shared" si="4"/>
        <v>0.31979695431472083</v>
      </c>
    </row>
    <row r="27" spans="1:17" ht="22" customHeight="1" x14ac:dyDescent="0.2">
      <c r="A27" s="47">
        <v>46195</v>
      </c>
      <c r="B27" s="48" t="s">
        <v>436</v>
      </c>
      <c r="C27" s="49">
        <v>45116287</v>
      </c>
      <c r="D27" s="49">
        <v>82</v>
      </c>
      <c r="E27" s="49">
        <v>210</v>
      </c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51">
        <f t="shared" si="0"/>
        <v>13034904</v>
      </c>
      <c r="N27" s="51">
        <f t="shared" si="1"/>
        <v>58151191</v>
      </c>
      <c r="O27" s="51">
        <f t="shared" si="2"/>
        <v>550198.62195121951</v>
      </c>
      <c r="P27" s="51">
        <f t="shared" si="3"/>
        <v>303137.30232558138</v>
      </c>
      <c r="Q27" s="52">
        <f t="shared" si="4"/>
        <v>0.39047619047619048</v>
      </c>
    </row>
    <row r="28" spans="1:17" ht="22" customHeight="1" x14ac:dyDescent="0.2">
      <c r="A28" s="47">
        <v>46196</v>
      </c>
      <c r="B28" s="48" t="s">
        <v>437</v>
      </c>
      <c r="C28" s="49">
        <v>32312408</v>
      </c>
      <c r="D28" s="49">
        <v>69</v>
      </c>
      <c r="E28" s="49">
        <v>337</v>
      </c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51">
        <f t="shared" si="0"/>
        <v>11771514</v>
      </c>
      <c r="N28" s="51">
        <f t="shared" si="1"/>
        <v>44083922</v>
      </c>
      <c r="O28" s="51">
        <f t="shared" si="2"/>
        <v>468295.76811594202</v>
      </c>
      <c r="P28" s="51">
        <f t="shared" si="3"/>
        <v>356712.54545454547</v>
      </c>
      <c r="Q28" s="52">
        <f t="shared" si="4"/>
        <v>0.20474777448071216</v>
      </c>
    </row>
    <row r="29" spans="1:17" ht="22" customHeight="1" x14ac:dyDescent="0.2">
      <c r="A29" s="47">
        <v>46197</v>
      </c>
      <c r="B29" s="48" t="s">
        <v>438</v>
      </c>
      <c r="C29" s="49">
        <v>32701796</v>
      </c>
      <c r="D29" s="49">
        <v>82</v>
      </c>
      <c r="E29" s="49">
        <v>278</v>
      </c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51">
        <f t="shared" si="0"/>
        <v>15231018</v>
      </c>
      <c r="N29" s="51">
        <f t="shared" si="1"/>
        <v>47932814</v>
      </c>
      <c r="O29" s="51">
        <f t="shared" si="2"/>
        <v>398802.39024390245</v>
      </c>
      <c r="P29" s="51">
        <f t="shared" si="3"/>
        <v>362643.28571428574</v>
      </c>
      <c r="Q29" s="52">
        <f t="shared" si="4"/>
        <v>0.29496402877697842</v>
      </c>
    </row>
    <row r="30" spans="1:17" ht="22" customHeight="1" x14ac:dyDescent="0.2">
      <c r="A30" s="47">
        <v>46198</v>
      </c>
      <c r="B30" s="48" t="s">
        <v>439</v>
      </c>
      <c r="C30" s="49">
        <v>39556390</v>
      </c>
      <c r="D30" s="49">
        <v>99</v>
      </c>
      <c r="E30" s="49">
        <v>404</v>
      </c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51">
        <f t="shared" si="0"/>
        <v>13689998</v>
      </c>
      <c r="N30" s="51">
        <f t="shared" si="1"/>
        <v>53246388</v>
      </c>
      <c r="O30" s="51">
        <f t="shared" si="2"/>
        <v>399559.49494949495</v>
      </c>
      <c r="P30" s="51">
        <f t="shared" si="3"/>
        <v>263269.19230769231</v>
      </c>
      <c r="Q30" s="52">
        <f t="shared" si="4"/>
        <v>0.24504950495049505</v>
      </c>
    </row>
    <row r="31" spans="1:17" ht="22" customHeight="1" x14ac:dyDescent="0.2">
      <c r="A31" s="47">
        <v>46199</v>
      </c>
      <c r="B31" s="48" t="s">
        <v>440</v>
      </c>
      <c r="C31" s="49">
        <v>34245263</v>
      </c>
      <c r="D31" s="49">
        <v>80</v>
      </c>
      <c r="E31" s="49">
        <v>283</v>
      </c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51">
        <f t="shared" si="0"/>
        <v>20551003</v>
      </c>
      <c r="N31" s="51">
        <f t="shared" si="1"/>
        <v>54796266</v>
      </c>
      <c r="O31" s="51">
        <f t="shared" si="2"/>
        <v>428065.78749999998</v>
      </c>
      <c r="P31" s="51">
        <f t="shared" si="3"/>
        <v>285430.59722222225</v>
      </c>
      <c r="Q31" s="52">
        <f t="shared" si="4"/>
        <v>0.28268551236749118</v>
      </c>
    </row>
    <row r="32" spans="1:17" ht="22" customHeight="1" x14ac:dyDescent="0.2">
      <c r="A32" s="53">
        <v>46200</v>
      </c>
      <c r="B32" s="54" t="s">
        <v>441</v>
      </c>
      <c r="C32" s="49">
        <v>31660032</v>
      </c>
      <c r="D32" s="49">
        <v>75</v>
      </c>
      <c r="E32" s="49">
        <v>226</v>
      </c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51">
        <f t="shared" si="0"/>
        <v>20102510</v>
      </c>
      <c r="N32" s="51">
        <f t="shared" si="1"/>
        <v>51762542</v>
      </c>
      <c r="O32" s="51">
        <f t="shared" si="2"/>
        <v>422133.76000000001</v>
      </c>
      <c r="P32" s="51">
        <f t="shared" si="3"/>
        <v>291340.72463768115</v>
      </c>
      <c r="Q32" s="52">
        <f t="shared" si="4"/>
        <v>0.33185840707964603</v>
      </c>
    </row>
    <row r="33" spans="1:17" ht="22" customHeight="1" x14ac:dyDescent="0.2">
      <c r="A33" s="53">
        <v>46201</v>
      </c>
      <c r="B33" s="54" t="s">
        <v>442</v>
      </c>
      <c r="C33" s="49">
        <v>28009525</v>
      </c>
      <c r="D33" s="49">
        <v>60</v>
      </c>
      <c r="E33" s="49">
        <v>236</v>
      </c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51">
        <f t="shared" si="0"/>
        <v>16678256</v>
      </c>
      <c r="N33" s="51">
        <f t="shared" si="1"/>
        <v>44687781</v>
      </c>
      <c r="O33" s="51">
        <f t="shared" si="2"/>
        <v>466825.41666666669</v>
      </c>
      <c r="P33" s="51">
        <f t="shared" si="3"/>
        <v>277970.93333333335</v>
      </c>
      <c r="Q33" s="52">
        <f t="shared" si="4"/>
        <v>0.25423728813559321</v>
      </c>
    </row>
    <row r="34" spans="1:17" ht="22" customHeight="1" x14ac:dyDescent="0.2">
      <c r="A34" s="47">
        <v>46202</v>
      </c>
      <c r="B34" s="48" t="s">
        <v>436</v>
      </c>
      <c r="C34" s="49">
        <v>35600022</v>
      </c>
      <c r="D34" s="49">
        <v>73</v>
      </c>
      <c r="E34" s="49">
        <v>282</v>
      </c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51">
        <f t="shared" si="0"/>
        <v>11992758</v>
      </c>
      <c r="N34" s="51">
        <f t="shared" si="1"/>
        <v>47592780</v>
      </c>
      <c r="O34" s="51">
        <f t="shared" si="2"/>
        <v>487671.53424657532</v>
      </c>
      <c r="P34" s="51">
        <f t="shared" si="3"/>
        <v>342650.22857142857</v>
      </c>
      <c r="Q34" s="52">
        <f t="shared" si="4"/>
        <v>0.25886524822695034</v>
      </c>
    </row>
    <row r="35" spans="1:17" ht="22" customHeight="1" x14ac:dyDescent="0.2">
      <c r="A35" s="47">
        <v>46203</v>
      </c>
      <c r="B35" s="48" t="s">
        <v>437</v>
      </c>
      <c r="C35" s="49">
        <v>35013903</v>
      </c>
      <c r="D35" s="49">
        <v>83</v>
      </c>
      <c r="E35" s="49">
        <v>261</v>
      </c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51">
        <f t="shared" si="0"/>
        <v>16367513</v>
      </c>
      <c r="N35" s="51">
        <f t="shared" si="1"/>
        <v>51381416</v>
      </c>
      <c r="O35" s="51">
        <f t="shared" si="2"/>
        <v>421854.2530120482</v>
      </c>
      <c r="P35" s="51">
        <f t="shared" si="3"/>
        <v>303102.09259259258</v>
      </c>
      <c r="Q35" s="52">
        <f t="shared" si="4"/>
        <v>0.31800766283524906</v>
      </c>
    </row>
    <row r="36" spans="1:17" ht="19" customHeight="1" x14ac:dyDescent="0.2"/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200"/>
  <sheetViews>
    <sheetView topLeftCell="A3" workbookViewId="0">
      <pane xSplit="1" topLeftCell="B1" activePane="topRight" state="frozen"/>
      <selection pane="topRight" activeCell="A35" sqref="A35:L35"/>
    </sheetView>
  </sheetViews>
  <sheetFormatPr baseColWidth="10" defaultColWidth="14" defaultRowHeight="14" x14ac:dyDescent="0.2"/>
  <cols>
    <col min="1" max="1" width="10" style="270" customWidth="1"/>
    <col min="2" max="2" width="34.59765625" style="270" bestFit="1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50" t="s">
        <v>0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48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55" t="s">
        <v>2</v>
      </c>
      <c r="B3" s="55" t="s">
        <v>3</v>
      </c>
      <c r="C3" s="55" t="s">
        <v>4</v>
      </c>
      <c r="D3" s="55" t="s">
        <v>5</v>
      </c>
      <c r="E3" s="55" t="s">
        <v>6</v>
      </c>
      <c r="F3" s="56" t="s">
        <v>7</v>
      </c>
      <c r="G3" s="56" t="s">
        <v>8</v>
      </c>
      <c r="H3" s="57" t="s">
        <v>9</v>
      </c>
      <c r="I3" s="58" t="s">
        <v>10</v>
      </c>
      <c r="J3" s="58" t="s">
        <v>11</v>
      </c>
      <c r="K3" s="58" t="s">
        <v>12</v>
      </c>
      <c r="L3" s="59" t="s">
        <v>13</v>
      </c>
    </row>
    <row r="4" spans="1:12" ht="24" customHeight="1" x14ac:dyDescent="0.2">
      <c r="A4" s="60" t="s">
        <v>14</v>
      </c>
      <c r="B4" s="61" t="s">
        <v>15</v>
      </c>
      <c r="C4" s="62">
        <v>243097511</v>
      </c>
      <c r="D4" s="62">
        <v>551</v>
      </c>
      <c r="E4" s="62">
        <v>441193</v>
      </c>
      <c r="F4" s="63"/>
      <c r="G4" s="64"/>
      <c r="H4" s="65">
        <v>125253971</v>
      </c>
      <c r="I4" s="66">
        <v>368351482</v>
      </c>
      <c r="J4" s="67">
        <v>0.1991</v>
      </c>
      <c r="K4" s="67">
        <v>0.19109999999999999</v>
      </c>
      <c r="L4" s="68"/>
    </row>
    <row r="5" spans="1:12" ht="24" customHeight="1" x14ac:dyDescent="0.2">
      <c r="A5" s="69" t="s">
        <v>16</v>
      </c>
      <c r="B5" s="70" t="s">
        <v>17</v>
      </c>
      <c r="C5" s="62">
        <v>236697613</v>
      </c>
      <c r="D5" s="62">
        <v>549</v>
      </c>
      <c r="E5" s="62">
        <v>431143</v>
      </c>
      <c r="F5" s="63"/>
      <c r="G5" s="64"/>
      <c r="H5" s="65">
        <v>124917193</v>
      </c>
      <c r="I5" s="66">
        <v>361614806</v>
      </c>
      <c r="J5" s="67">
        <v>0.39290000000000003</v>
      </c>
      <c r="K5" s="67">
        <v>0.38159999999999999</v>
      </c>
      <c r="L5" s="68"/>
    </row>
    <row r="6" spans="1:12" ht="24" customHeight="1" x14ac:dyDescent="0.2">
      <c r="A6" s="71" t="s">
        <v>18</v>
      </c>
      <c r="B6" s="72" t="s">
        <v>19</v>
      </c>
      <c r="C6" s="62">
        <v>294730452</v>
      </c>
      <c r="D6" s="62">
        <v>668</v>
      </c>
      <c r="E6" s="62">
        <v>441213</v>
      </c>
      <c r="F6" s="63"/>
      <c r="G6" s="64"/>
      <c r="H6" s="65">
        <v>115187754</v>
      </c>
      <c r="I6" s="66">
        <v>409918206</v>
      </c>
      <c r="J6" s="67">
        <v>0.63429999999999997</v>
      </c>
      <c r="K6" s="67">
        <v>0.55740000000000001</v>
      </c>
      <c r="L6" s="68"/>
    </row>
    <row r="7" spans="1:12" ht="24" customHeight="1" x14ac:dyDescent="0.2">
      <c r="A7" s="73" t="s">
        <v>20</v>
      </c>
      <c r="B7" s="74" t="s">
        <v>21</v>
      </c>
      <c r="C7" s="62">
        <v>243601701</v>
      </c>
      <c r="D7" s="62">
        <v>547</v>
      </c>
      <c r="E7" s="62">
        <v>445341</v>
      </c>
      <c r="F7" s="63"/>
      <c r="G7" s="64"/>
      <c r="H7" s="65">
        <v>111059203</v>
      </c>
      <c r="I7" s="66">
        <v>354660904</v>
      </c>
      <c r="J7" s="67">
        <v>0.83379999999999999</v>
      </c>
      <c r="K7" s="67">
        <v>0.7268</v>
      </c>
      <c r="L7" s="68"/>
    </row>
    <row r="8" spans="1:12" ht="24" customHeight="1" x14ac:dyDescent="0.2">
      <c r="A8" s="75" t="s">
        <v>22</v>
      </c>
      <c r="B8" s="76" t="s">
        <v>23</v>
      </c>
      <c r="C8" s="62">
        <v>70613925</v>
      </c>
      <c r="D8" s="62">
        <v>156</v>
      </c>
      <c r="E8" s="62">
        <v>452653</v>
      </c>
      <c r="F8" s="63"/>
      <c r="G8" s="64"/>
      <c r="H8" s="65">
        <v>28360271</v>
      </c>
      <c r="I8" s="66">
        <v>98974196</v>
      </c>
      <c r="J8" s="67">
        <v>0.89159999999999995</v>
      </c>
      <c r="K8" s="67">
        <v>0.77</v>
      </c>
      <c r="L8" s="68"/>
    </row>
    <row r="9" spans="1:12" ht="5" customHeight="1" x14ac:dyDescent="0.2">
      <c r="A9" s="77"/>
    </row>
    <row r="10" spans="1:12" ht="19" customHeight="1" x14ac:dyDescent="0.2">
      <c r="B10" s="77"/>
    </row>
    <row r="11" spans="1:12" ht="19" customHeight="1" x14ac:dyDescent="0.2">
      <c r="C11" s="77"/>
    </row>
    <row r="12" spans="1:12" ht="19" customHeight="1" x14ac:dyDescent="0.2">
      <c r="D12" s="77"/>
    </row>
    <row r="13" spans="1:12" ht="19" customHeight="1" x14ac:dyDescent="0.2">
      <c r="E13" s="77"/>
    </row>
    <row r="14" spans="1:12" ht="19" customHeight="1" x14ac:dyDescent="0.2">
      <c r="F14" s="77"/>
    </row>
    <row r="15" spans="1:12" ht="19" customHeight="1" x14ac:dyDescent="0.2">
      <c r="G15" s="77"/>
    </row>
    <row r="16" spans="1:12" ht="19" customHeight="1" x14ac:dyDescent="0.2">
      <c r="H16" s="77"/>
    </row>
    <row r="17" spans="1:20" ht="19" customHeight="1" x14ac:dyDescent="0.2">
      <c r="I17" s="77"/>
    </row>
    <row r="18" spans="1:20" ht="19" customHeight="1" x14ac:dyDescent="0.2">
      <c r="J18" s="77"/>
    </row>
    <row r="19" spans="1:20" ht="19" customHeight="1" x14ac:dyDescent="0.2">
      <c r="K19" s="77"/>
    </row>
    <row r="20" spans="1:20" ht="19" customHeight="1" x14ac:dyDescent="0.2">
      <c r="L20" s="77"/>
    </row>
    <row r="21" spans="1:20" ht="26" customHeight="1" x14ac:dyDescent="0.2">
      <c r="A21" s="78" t="s">
        <v>24</v>
      </c>
      <c r="B21" s="79" t="s">
        <v>25</v>
      </c>
      <c r="C21" s="80">
        <v>1088741202</v>
      </c>
      <c r="D21" s="80">
        <v>2471</v>
      </c>
      <c r="E21" s="80">
        <v>440608</v>
      </c>
      <c r="F21" s="80"/>
      <c r="G21" s="81"/>
      <c r="H21" s="80">
        <v>504778392</v>
      </c>
      <c r="I21" s="80">
        <v>1593519594</v>
      </c>
      <c r="J21" s="82">
        <v>0.89159999999999995</v>
      </c>
      <c r="K21" s="82">
        <v>0.77</v>
      </c>
      <c r="L21" s="77"/>
    </row>
    <row r="22" spans="1:20" ht="19" customHeight="1" x14ac:dyDescent="0.2"/>
    <row r="23" spans="1:20" ht="22" customHeight="1" x14ac:dyDescent="0.2">
      <c r="A23" s="351" t="s">
        <v>26</v>
      </c>
      <c r="B23" s="323"/>
      <c r="C23" s="83">
        <v>1221140305</v>
      </c>
      <c r="D23" s="84"/>
      <c r="E23" s="84"/>
      <c r="F23" s="84"/>
      <c r="G23" s="84"/>
      <c r="H23" s="85">
        <v>655527931</v>
      </c>
      <c r="I23" s="86">
        <v>1876668236</v>
      </c>
      <c r="J23" s="84"/>
      <c r="K23" s="84"/>
      <c r="L23" s="84"/>
    </row>
    <row r="24" spans="1:20" ht="19" customHeight="1" x14ac:dyDescent="0.2"/>
    <row r="25" spans="1:20" ht="19" customHeight="1" x14ac:dyDescent="0.2">
      <c r="A25" s="349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20" ht="19" customHeight="1" x14ac:dyDescent="0.2"/>
    <row r="27" spans="1:20" ht="42" customHeight="1" x14ac:dyDescent="0.2">
      <c r="A27" s="346" t="s">
        <v>28</v>
      </c>
      <c r="B27" s="323"/>
      <c r="C27" s="323"/>
      <c r="D27" s="323"/>
      <c r="E27" s="323"/>
      <c r="F27" s="323"/>
      <c r="G27" s="323"/>
      <c r="H27" s="323"/>
      <c r="I27" s="323"/>
      <c r="J27" s="323"/>
      <c r="K27" s="323"/>
      <c r="L27" s="347"/>
      <c r="M27" s="281"/>
      <c r="N27" s="281"/>
      <c r="O27" s="281"/>
      <c r="P27" s="281"/>
      <c r="Q27" s="281"/>
      <c r="R27" s="281"/>
      <c r="S27" s="281"/>
      <c r="T27" s="281"/>
    </row>
    <row r="28" spans="1:20" x14ac:dyDescent="0.2">
      <c r="A28" s="283" t="s">
        <v>29</v>
      </c>
      <c r="B28" s="283" t="s">
        <v>30</v>
      </c>
      <c r="C28" s="283" t="s">
        <v>31</v>
      </c>
      <c r="D28" s="283" t="s">
        <v>32</v>
      </c>
      <c r="E28" s="283" t="s">
        <v>33</v>
      </c>
      <c r="F28" s="283"/>
      <c r="G28" s="283"/>
      <c r="H28" s="283"/>
      <c r="I28" s="283"/>
      <c r="J28" s="283"/>
      <c r="K28" s="283"/>
      <c r="L28" s="283"/>
      <c r="M28" s="283"/>
      <c r="N28" s="283"/>
      <c r="O28" s="283"/>
      <c r="P28" s="283"/>
      <c r="Q28" s="283"/>
      <c r="R28" s="283"/>
      <c r="S28" s="283"/>
      <c r="T28" s="283"/>
    </row>
    <row r="29" spans="1:20" ht="300" customHeight="1" x14ac:dyDescent="0.2">
      <c r="A29" s="284">
        <v>1</v>
      </c>
      <c r="B29" s="286" t="s">
        <v>34</v>
      </c>
      <c r="C29" s="286" t="s">
        <v>35</v>
      </c>
      <c r="D29" s="286" t="s">
        <v>36</v>
      </c>
      <c r="E29" s="287" t="s">
        <v>37</v>
      </c>
      <c r="F29" s="285"/>
      <c r="G29" s="285"/>
      <c r="H29" s="285"/>
      <c r="I29" s="285"/>
      <c r="J29" s="285"/>
      <c r="K29" s="285"/>
      <c r="L29" s="285"/>
      <c r="M29" s="285"/>
      <c r="N29" s="285"/>
      <c r="O29" s="285"/>
      <c r="P29" s="285"/>
      <c r="Q29" s="285"/>
      <c r="R29" s="285"/>
      <c r="S29" s="285"/>
      <c r="T29" s="285"/>
    </row>
    <row r="30" spans="1:20" ht="90" customHeight="1" x14ac:dyDescent="0.2">
      <c r="A30" s="284">
        <v>2</v>
      </c>
      <c r="B30" s="286" t="s">
        <v>38</v>
      </c>
      <c r="C30" s="286" t="s">
        <v>39</v>
      </c>
      <c r="D30" s="286" t="s">
        <v>36</v>
      </c>
      <c r="E30" s="287">
        <v>0.8</v>
      </c>
      <c r="F30" s="285"/>
      <c r="G30" s="285"/>
      <c r="H30" s="285"/>
      <c r="I30" s="285"/>
      <c r="J30" s="285"/>
      <c r="K30" s="285"/>
      <c r="L30" s="285"/>
      <c r="M30" s="285"/>
      <c r="N30" s="285"/>
      <c r="O30" s="285"/>
      <c r="P30" s="285"/>
      <c r="Q30" s="285"/>
      <c r="R30" s="285"/>
      <c r="S30" s="285"/>
      <c r="T30" s="285"/>
    </row>
    <row r="31" spans="1:20" ht="135" customHeight="1" x14ac:dyDescent="0.2">
      <c r="A31" s="284">
        <v>3</v>
      </c>
      <c r="B31" s="286" t="s">
        <v>40</v>
      </c>
      <c r="C31" s="286" t="s">
        <v>41</v>
      </c>
      <c r="D31" s="286" t="s">
        <v>42</v>
      </c>
      <c r="E31" s="287">
        <v>1</v>
      </c>
      <c r="F31" s="285"/>
      <c r="G31" s="285"/>
      <c r="H31" s="285"/>
      <c r="I31" s="285"/>
      <c r="J31" s="285"/>
      <c r="K31" s="285"/>
      <c r="L31" s="285"/>
      <c r="M31" s="285"/>
      <c r="N31" s="285"/>
      <c r="O31" s="285"/>
      <c r="P31" s="285"/>
      <c r="Q31" s="285"/>
      <c r="R31" s="285"/>
      <c r="S31" s="285"/>
      <c r="T31" s="285"/>
    </row>
    <row r="32" spans="1:20" ht="150" customHeight="1" x14ac:dyDescent="0.2">
      <c r="A32" s="284">
        <v>4</v>
      </c>
      <c r="B32" s="286" t="s">
        <v>43</v>
      </c>
      <c r="C32" s="286" t="s">
        <v>44</v>
      </c>
      <c r="D32" s="286" t="s">
        <v>36</v>
      </c>
      <c r="E32" s="287">
        <v>0.85</v>
      </c>
      <c r="F32" s="285" t="s">
        <v>45</v>
      </c>
      <c r="G32" s="285"/>
      <c r="H32" s="285"/>
      <c r="I32" s="285"/>
      <c r="J32" s="285"/>
      <c r="K32" s="285"/>
      <c r="L32" s="285"/>
      <c r="M32" s="285"/>
      <c r="N32" s="285"/>
      <c r="O32" s="285"/>
      <c r="P32" s="285"/>
      <c r="Q32" s="285"/>
      <c r="R32" s="285"/>
      <c r="S32" s="285"/>
      <c r="T32" s="285"/>
    </row>
    <row r="33" spans="1:20" ht="45" customHeight="1" x14ac:dyDescent="0.2">
      <c r="A33" s="284">
        <v>5</v>
      </c>
      <c r="B33" s="286" t="s">
        <v>46</v>
      </c>
      <c r="C33" s="286"/>
      <c r="D33" s="286" t="s">
        <v>47</v>
      </c>
      <c r="E33" s="286"/>
      <c r="F33" s="285"/>
      <c r="G33" s="285"/>
      <c r="H33" s="285"/>
      <c r="I33" s="285"/>
      <c r="J33" s="285"/>
      <c r="K33" s="285"/>
      <c r="L33" s="285"/>
      <c r="M33" s="285"/>
      <c r="N33" s="285"/>
      <c r="O33" s="285"/>
      <c r="P33" s="285"/>
      <c r="Q33" s="285"/>
      <c r="R33" s="285"/>
      <c r="S33" s="285"/>
      <c r="T33" s="285"/>
    </row>
    <row r="34" spans="1:20" ht="90" customHeight="1" x14ac:dyDescent="0.2">
      <c r="A34" s="284">
        <v>6</v>
      </c>
      <c r="B34" s="286" t="s">
        <v>48</v>
      </c>
      <c r="C34" s="286" t="s">
        <v>49</v>
      </c>
      <c r="D34" s="286" t="s">
        <v>50</v>
      </c>
      <c r="E34" s="286" t="s">
        <v>51</v>
      </c>
      <c r="F34" s="285"/>
      <c r="G34" s="285"/>
      <c r="H34" s="285"/>
      <c r="I34" s="285"/>
      <c r="J34" s="285"/>
      <c r="K34" s="285"/>
      <c r="L34" s="285"/>
      <c r="M34" s="285"/>
      <c r="N34" s="285"/>
      <c r="O34" s="285"/>
      <c r="P34" s="285"/>
      <c r="Q34" s="285"/>
      <c r="R34" s="285"/>
      <c r="S34" s="285"/>
      <c r="T34" s="285"/>
    </row>
    <row r="35" spans="1:20" ht="17" customHeight="1" x14ac:dyDescent="0.2">
      <c r="A35" s="346" t="s">
        <v>52</v>
      </c>
      <c r="B35" s="323"/>
      <c r="C35" s="323"/>
      <c r="D35" s="323"/>
      <c r="E35" s="323"/>
      <c r="F35" s="323"/>
      <c r="G35" s="323"/>
      <c r="H35" s="323"/>
      <c r="I35" s="323"/>
      <c r="J35" s="323"/>
      <c r="K35" s="323"/>
      <c r="L35" s="347"/>
      <c r="M35" s="285"/>
      <c r="N35" s="285"/>
      <c r="O35" s="285"/>
      <c r="P35" s="285"/>
      <c r="Q35" s="285"/>
      <c r="R35" s="285"/>
      <c r="S35" s="285"/>
      <c r="T35" s="285"/>
    </row>
    <row r="36" spans="1:20" ht="30" customHeight="1" x14ac:dyDescent="0.2">
      <c r="A36" s="284" t="s">
        <v>29</v>
      </c>
      <c r="B36" s="286" t="s">
        <v>53</v>
      </c>
      <c r="C36" s="286" t="s">
        <v>54</v>
      </c>
      <c r="D36" s="286" t="s">
        <v>55</v>
      </c>
      <c r="E36" s="285"/>
      <c r="F36" s="285"/>
      <c r="G36" s="285"/>
      <c r="H36" s="285"/>
      <c r="I36" s="285"/>
      <c r="J36" s="285"/>
      <c r="K36" s="285"/>
      <c r="L36" s="285"/>
      <c r="M36" s="285"/>
      <c r="N36" s="285"/>
      <c r="O36" s="285"/>
      <c r="P36" s="285"/>
      <c r="Q36" s="285"/>
      <c r="R36" s="285"/>
      <c r="S36" s="285"/>
      <c r="T36" s="285"/>
    </row>
    <row r="37" spans="1:20" ht="195" customHeight="1" x14ac:dyDescent="0.2">
      <c r="A37" s="284">
        <v>1</v>
      </c>
      <c r="B37" s="286"/>
      <c r="C37" s="286"/>
      <c r="D37" s="286"/>
      <c r="E37" s="285"/>
      <c r="F37" s="285"/>
      <c r="G37" s="285"/>
      <c r="H37" s="285"/>
      <c r="I37" s="285"/>
      <c r="J37" s="285"/>
      <c r="K37" s="285"/>
      <c r="L37" s="285"/>
      <c r="M37" s="285"/>
      <c r="N37" s="285"/>
      <c r="O37" s="285"/>
      <c r="P37" s="285"/>
      <c r="Q37" s="285"/>
      <c r="R37" s="285"/>
      <c r="S37" s="285"/>
      <c r="T37" s="285"/>
    </row>
    <row r="38" spans="1:20" ht="105" customHeight="1" x14ac:dyDescent="0.2">
      <c r="A38" s="284">
        <v>2</v>
      </c>
      <c r="B38" s="286"/>
      <c r="C38" s="286"/>
      <c r="D38" s="286"/>
      <c r="E38" s="285"/>
      <c r="F38" s="285"/>
      <c r="G38" s="285"/>
      <c r="H38" s="285"/>
      <c r="I38" s="285"/>
      <c r="J38" s="285"/>
      <c r="K38" s="285"/>
      <c r="L38" s="285"/>
      <c r="M38" s="285"/>
      <c r="N38" s="285"/>
      <c r="O38" s="285"/>
      <c r="P38" s="285"/>
      <c r="Q38" s="285"/>
      <c r="R38" s="285"/>
      <c r="S38" s="285"/>
      <c r="T38" s="285"/>
    </row>
    <row r="39" spans="1:20" ht="19" customHeight="1" x14ac:dyDescent="0.2">
      <c r="A39" s="282">
        <v>3</v>
      </c>
      <c r="B39" s="281"/>
      <c r="C39" s="281"/>
      <c r="D39" s="281"/>
      <c r="E39" s="281"/>
      <c r="F39" s="281"/>
      <c r="G39" s="281"/>
      <c r="H39" s="281"/>
      <c r="I39" s="281"/>
      <c r="J39" s="281"/>
      <c r="K39" s="281"/>
      <c r="L39" s="281"/>
      <c r="M39" s="281"/>
      <c r="N39" s="281"/>
      <c r="O39" s="281"/>
      <c r="P39" s="281"/>
      <c r="Q39" s="281"/>
      <c r="R39" s="281"/>
      <c r="S39" s="281"/>
      <c r="T39" s="281"/>
    </row>
    <row r="40" spans="1:20" ht="19" customHeight="1" x14ac:dyDescent="0.2"/>
    <row r="41" spans="1:20" ht="19" customHeight="1" x14ac:dyDescent="0.2"/>
    <row r="42" spans="1:20" ht="19" customHeight="1" x14ac:dyDescent="0.2"/>
    <row r="43" spans="1:20" ht="19" customHeight="1" x14ac:dyDescent="0.2"/>
    <row r="44" spans="1:20" ht="19" customHeight="1" x14ac:dyDescent="0.2"/>
    <row r="45" spans="1:20" ht="19" customHeight="1" x14ac:dyDescent="0.2"/>
    <row r="46" spans="1:20" ht="19" customHeight="1" x14ac:dyDescent="0.2"/>
    <row r="47" spans="1:20" ht="19" customHeight="1" x14ac:dyDescent="0.2"/>
    <row r="48" spans="1:20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200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6" sqref="E6:E10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52" t="s">
        <v>443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57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59" t="s">
        <v>415</v>
      </c>
      <c r="B3" s="323"/>
      <c r="C3" s="358" t="s">
        <v>416</v>
      </c>
      <c r="D3" s="323"/>
      <c r="E3" s="353" t="s">
        <v>417</v>
      </c>
      <c r="F3" s="323"/>
      <c r="G3" s="355" t="s">
        <v>418</v>
      </c>
      <c r="H3" s="323"/>
      <c r="I3" s="323"/>
      <c r="J3" s="323"/>
      <c r="K3" s="87" t="s">
        <v>419</v>
      </c>
      <c r="L3" s="88" t="s">
        <v>420</v>
      </c>
      <c r="M3" s="354" t="s">
        <v>421</v>
      </c>
      <c r="N3" s="323"/>
      <c r="O3" s="354" t="s">
        <v>421</v>
      </c>
      <c r="P3" s="323"/>
      <c r="Q3" s="89" t="s">
        <v>422</v>
      </c>
    </row>
    <row r="4" spans="1:17" ht="36" customHeight="1" x14ac:dyDescent="0.2">
      <c r="A4" s="90" t="s">
        <v>3</v>
      </c>
      <c r="B4" s="90" t="s">
        <v>423</v>
      </c>
      <c r="C4" s="91" t="s">
        <v>4</v>
      </c>
      <c r="D4" s="91" t="s">
        <v>5</v>
      </c>
      <c r="E4" s="92" t="s">
        <v>424</v>
      </c>
      <c r="F4" s="92" t="s">
        <v>7</v>
      </c>
      <c r="G4" s="93" t="s">
        <v>425</v>
      </c>
      <c r="H4" s="93" t="s">
        <v>426</v>
      </c>
      <c r="I4" s="93" t="s">
        <v>427</v>
      </c>
      <c r="J4" s="93" t="s">
        <v>428</v>
      </c>
      <c r="K4" s="94" t="s">
        <v>429</v>
      </c>
      <c r="L4" s="95" t="s">
        <v>13</v>
      </c>
      <c r="M4" s="96" t="s">
        <v>430</v>
      </c>
      <c r="N4" s="96" t="s">
        <v>431</v>
      </c>
      <c r="O4" s="96" t="s">
        <v>432</v>
      </c>
      <c r="P4" s="96" t="s">
        <v>433</v>
      </c>
      <c r="Q4" s="96" t="s">
        <v>434</v>
      </c>
    </row>
    <row r="5" spans="1:17" ht="22" customHeight="1" x14ac:dyDescent="0.2">
      <c r="A5" s="356" t="s">
        <v>435</v>
      </c>
      <c r="B5" s="323"/>
      <c r="C5" s="97">
        <v>1214990084</v>
      </c>
      <c r="D5" s="98"/>
      <c r="E5" s="98"/>
      <c r="F5" s="98"/>
      <c r="G5" s="99">
        <v>343229305</v>
      </c>
      <c r="H5" s="99">
        <v>169214438</v>
      </c>
      <c r="I5" s="99">
        <v>139782649</v>
      </c>
      <c r="J5" s="98"/>
      <c r="K5" s="98"/>
      <c r="L5" s="98"/>
      <c r="M5" s="100">
        <v>652226392</v>
      </c>
      <c r="N5" s="100">
        <v>1867216476</v>
      </c>
      <c r="O5" s="101">
        <v>450000</v>
      </c>
      <c r="P5" s="101">
        <v>330000</v>
      </c>
      <c r="Q5" s="102"/>
    </row>
    <row r="6" spans="1:17" ht="22" customHeight="1" x14ac:dyDescent="0.2">
      <c r="A6" s="103">
        <v>46204</v>
      </c>
      <c r="B6" s="104" t="s">
        <v>438</v>
      </c>
      <c r="C6" s="105">
        <v>41816554</v>
      </c>
      <c r="D6" s="105">
        <v>98</v>
      </c>
      <c r="E6" s="105">
        <v>248</v>
      </c>
      <c r="F6" s="105"/>
      <c r="G6" s="105">
        <v>5255003</v>
      </c>
      <c r="H6" s="105">
        <v>4262751</v>
      </c>
      <c r="I6" s="105">
        <v>5003500</v>
      </c>
      <c r="J6" s="105">
        <v>42</v>
      </c>
      <c r="K6" s="105">
        <v>1382857</v>
      </c>
      <c r="L6" s="106"/>
      <c r="M6" s="107">
        <f t="shared" ref="M6:M36" si="0">IF(SUM(G6:I6)&gt;0,SUM(G6:I6),"")</f>
        <v>14521254</v>
      </c>
      <c r="N6" s="107">
        <f t="shared" ref="N6:N36" si="1">IF(N(C6)+N(M6)&gt;0,N(C6)+N(M6),"")</f>
        <v>56337808</v>
      </c>
      <c r="O6" s="107">
        <f t="shared" ref="O6:O36" si="2">IFERROR(IF(D6&gt;0,C6/D6,""),"")</f>
        <v>426699.53061224491</v>
      </c>
      <c r="P6" s="107">
        <f t="shared" ref="P6:P36" si="3">IFERROR(IF(J6&gt;0,M6/J6,""),"")</f>
        <v>345744.14285714284</v>
      </c>
      <c r="Q6" s="108">
        <f t="shared" ref="Q6:Q36" si="4">IFERROR(IF(E6&gt;0,D6/E6,""),"")</f>
        <v>0.39516129032258063</v>
      </c>
    </row>
    <row r="7" spans="1:17" ht="22" customHeight="1" x14ac:dyDescent="0.2">
      <c r="A7" s="103">
        <v>46205</v>
      </c>
      <c r="B7" s="104" t="s">
        <v>439</v>
      </c>
      <c r="C7" s="105">
        <v>38248053</v>
      </c>
      <c r="D7" s="105">
        <v>88</v>
      </c>
      <c r="E7" s="105">
        <v>269</v>
      </c>
      <c r="F7" s="105"/>
      <c r="G7" s="105">
        <v>9476011</v>
      </c>
      <c r="H7" s="105">
        <v>5529501</v>
      </c>
      <c r="I7" s="105">
        <v>4494505</v>
      </c>
      <c r="J7" s="105">
        <v>57</v>
      </c>
      <c r="K7" s="105">
        <v>200000</v>
      </c>
      <c r="L7" s="106"/>
      <c r="M7" s="107">
        <f t="shared" si="0"/>
        <v>19500017</v>
      </c>
      <c r="N7" s="107">
        <f t="shared" si="1"/>
        <v>57748070</v>
      </c>
      <c r="O7" s="107">
        <f t="shared" si="2"/>
        <v>434636.96590909088</v>
      </c>
      <c r="P7" s="107">
        <f t="shared" si="3"/>
        <v>342105.56140350876</v>
      </c>
      <c r="Q7" s="108">
        <f t="shared" si="4"/>
        <v>0.32713754646840149</v>
      </c>
    </row>
    <row r="8" spans="1:17" ht="22" customHeight="1" x14ac:dyDescent="0.2">
      <c r="A8" s="103">
        <v>46206</v>
      </c>
      <c r="B8" s="104" t="s">
        <v>440</v>
      </c>
      <c r="C8" s="105">
        <v>49557375</v>
      </c>
      <c r="D8" s="105">
        <v>117</v>
      </c>
      <c r="E8" s="105">
        <v>271</v>
      </c>
      <c r="F8" s="105"/>
      <c r="G8" s="105">
        <v>9565500</v>
      </c>
      <c r="H8" s="105">
        <v>4396003</v>
      </c>
      <c r="I8" s="105">
        <v>4959521</v>
      </c>
      <c r="J8" s="105">
        <v>62</v>
      </c>
      <c r="K8" s="105">
        <v>1076000</v>
      </c>
      <c r="L8" s="106"/>
      <c r="M8" s="107">
        <f t="shared" si="0"/>
        <v>18921024</v>
      </c>
      <c r="N8" s="107">
        <f t="shared" si="1"/>
        <v>68478399</v>
      </c>
      <c r="O8" s="107">
        <f t="shared" si="2"/>
        <v>423567.30769230769</v>
      </c>
      <c r="P8" s="107">
        <f t="shared" si="3"/>
        <v>305177.80645161291</v>
      </c>
      <c r="Q8" s="108">
        <f t="shared" si="4"/>
        <v>0.43173431734317341</v>
      </c>
    </row>
    <row r="9" spans="1:17" ht="22" customHeight="1" x14ac:dyDescent="0.2">
      <c r="A9" s="109">
        <v>46207</v>
      </c>
      <c r="B9" s="110" t="s">
        <v>441</v>
      </c>
      <c r="C9" s="105">
        <v>39025533</v>
      </c>
      <c r="D9" s="105">
        <v>96</v>
      </c>
      <c r="E9" s="105">
        <v>261</v>
      </c>
      <c r="F9" s="105"/>
      <c r="G9" s="105">
        <v>6833004</v>
      </c>
      <c r="H9" s="105">
        <v>6019997</v>
      </c>
      <c r="I9" s="105">
        <v>3574999</v>
      </c>
      <c r="J9" s="105">
        <v>61</v>
      </c>
      <c r="K9" s="105">
        <v>1188800</v>
      </c>
      <c r="L9" s="106"/>
      <c r="M9" s="107">
        <f t="shared" si="0"/>
        <v>16428000</v>
      </c>
      <c r="N9" s="107">
        <f t="shared" si="1"/>
        <v>55453533</v>
      </c>
      <c r="O9" s="107">
        <f t="shared" si="2"/>
        <v>406515.96875</v>
      </c>
      <c r="P9" s="107">
        <f t="shared" si="3"/>
        <v>269311.47540983604</v>
      </c>
      <c r="Q9" s="108">
        <f t="shared" si="4"/>
        <v>0.36781609195402298</v>
      </c>
    </row>
    <row r="10" spans="1:17" ht="22" customHeight="1" x14ac:dyDescent="0.2">
      <c r="A10" s="109">
        <v>46208</v>
      </c>
      <c r="B10" s="110" t="s">
        <v>442</v>
      </c>
      <c r="C10" s="105">
        <v>27398083</v>
      </c>
      <c r="D10" s="105">
        <v>66</v>
      </c>
      <c r="E10" s="105">
        <v>260</v>
      </c>
      <c r="F10" s="105"/>
      <c r="G10" s="105">
        <v>6461003</v>
      </c>
      <c r="H10" s="105">
        <v>9026495</v>
      </c>
      <c r="I10" s="105">
        <v>4521251</v>
      </c>
      <c r="J10" s="105">
        <v>57</v>
      </c>
      <c r="K10" s="105">
        <v>1487482</v>
      </c>
      <c r="L10" s="106"/>
      <c r="M10" s="107">
        <f t="shared" si="0"/>
        <v>20008749</v>
      </c>
      <c r="N10" s="107">
        <f t="shared" si="1"/>
        <v>47406832</v>
      </c>
      <c r="O10" s="107">
        <f t="shared" si="2"/>
        <v>415122.46969696973</v>
      </c>
      <c r="P10" s="107">
        <f t="shared" si="3"/>
        <v>351030.68421052629</v>
      </c>
      <c r="Q10" s="108">
        <f t="shared" si="4"/>
        <v>0.25384615384615383</v>
      </c>
    </row>
    <row r="11" spans="1:17" ht="22" customHeight="1" x14ac:dyDescent="0.2">
      <c r="A11" s="103">
        <v>46209</v>
      </c>
      <c r="B11" s="104" t="s">
        <v>436</v>
      </c>
      <c r="C11" s="105"/>
      <c r="D11" s="105"/>
      <c r="E11" s="105"/>
      <c r="F11" s="105"/>
      <c r="G11" s="105"/>
      <c r="H11" s="105"/>
      <c r="I11" s="105"/>
      <c r="J11" s="105"/>
      <c r="K11" s="105"/>
      <c r="L11" s="106"/>
      <c r="M11" s="107" t="str">
        <f t="shared" si="0"/>
        <v/>
      </c>
      <c r="N11" s="107" t="str">
        <f t="shared" si="1"/>
        <v/>
      </c>
      <c r="O11" s="107" t="str">
        <f t="shared" si="2"/>
        <v/>
      </c>
      <c r="P11" s="107" t="str">
        <f t="shared" si="3"/>
        <v/>
      </c>
      <c r="Q11" s="108" t="str">
        <f t="shared" si="4"/>
        <v/>
      </c>
    </row>
    <row r="12" spans="1:17" ht="22" customHeight="1" x14ac:dyDescent="0.2">
      <c r="A12" s="103">
        <v>46210</v>
      </c>
      <c r="B12" s="104" t="s">
        <v>437</v>
      </c>
      <c r="C12" s="105"/>
      <c r="D12" s="105"/>
      <c r="E12" s="105"/>
      <c r="F12" s="105"/>
      <c r="G12" s="105"/>
      <c r="H12" s="105"/>
      <c r="I12" s="105"/>
      <c r="J12" s="105"/>
      <c r="K12" s="105"/>
      <c r="L12" s="106"/>
      <c r="M12" s="107" t="str">
        <f t="shared" si="0"/>
        <v/>
      </c>
      <c r="N12" s="107" t="str">
        <f t="shared" si="1"/>
        <v/>
      </c>
      <c r="O12" s="107" t="str">
        <f t="shared" si="2"/>
        <v/>
      </c>
      <c r="P12" s="107" t="str">
        <f t="shared" si="3"/>
        <v/>
      </c>
      <c r="Q12" s="108" t="str">
        <f t="shared" si="4"/>
        <v/>
      </c>
    </row>
    <row r="13" spans="1:17" ht="22" customHeight="1" x14ac:dyDescent="0.2">
      <c r="A13" s="103">
        <v>46211</v>
      </c>
      <c r="B13" s="104" t="s">
        <v>438</v>
      </c>
      <c r="C13" s="105"/>
      <c r="D13" s="105"/>
      <c r="E13" s="105"/>
      <c r="F13" s="105"/>
      <c r="G13" s="105"/>
      <c r="H13" s="105"/>
      <c r="I13" s="105"/>
      <c r="J13" s="105"/>
      <c r="K13" s="105"/>
      <c r="L13" s="106"/>
      <c r="M13" s="107" t="str">
        <f t="shared" si="0"/>
        <v/>
      </c>
      <c r="N13" s="107" t="str">
        <f t="shared" si="1"/>
        <v/>
      </c>
      <c r="O13" s="107" t="str">
        <f t="shared" si="2"/>
        <v/>
      </c>
      <c r="P13" s="107" t="str">
        <f t="shared" si="3"/>
        <v/>
      </c>
      <c r="Q13" s="108" t="str">
        <f t="shared" si="4"/>
        <v/>
      </c>
    </row>
    <row r="14" spans="1:17" ht="22" customHeight="1" x14ac:dyDescent="0.2">
      <c r="A14" s="103">
        <v>46212</v>
      </c>
      <c r="B14" s="104" t="s">
        <v>439</v>
      </c>
      <c r="C14" s="105"/>
      <c r="D14" s="105"/>
      <c r="E14" s="105"/>
      <c r="F14" s="105"/>
      <c r="G14" s="105"/>
      <c r="H14" s="105"/>
      <c r="I14" s="105"/>
      <c r="J14" s="105"/>
      <c r="K14" s="105"/>
      <c r="L14" s="106"/>
      <c r="M14" s="107" t="str">
        <f t="shared" si="0"/>
        <v/>
      </c>
      <c r="N14" s="107" t="str">
        <f t="shared" si="1"/>
        <v/>
      </c>
      <c r="O14" s="107" t="str">
        <f t="shared" si="2"/>
        <v/>
      </c>
      <c r="P14" s="107" t="str">
        <f t="shared" si="3"/>
        <v/>
      </c>
      <c r="Q14" s="108" t="str">
        <f t="shared" si="4"/>
        <v/>
      </c>
    </row>
    <row r="15" spans="1:17" ht="22" customHeight="1" x14ac:dyDescent="0.2">
      <c r="A15" s="103">
        <v>46213</v>
      </c>
      <c r="B15" s="104" t="s">
        <v>440</v>
      </c>
      <c r="C15" s="105"/>
      <c r="D15" s="105"/>
      <c r="E15" s="105"/>
      <c r="F15" s="105"/>
      <c r="G15" s="105"/>
      <c r="H15" s="105"/>
      <c r="I15" s="105"/>
      <c r="J15" s="105"/>
      <c r="K15" s="105"/>
      <c r="L15" s="106"/>
      <c r="M15" s="107" t="str">
        <f t="shared" si="0"/>
        <v/>
      </c>
      <c r="N15" s="107" t="str">
        <f t="shared" si="1"/>
        <v/>
      </c>
      <c r="O15" s="107" t="str">
        <f t="shared" si="2"/>
        <v/>
      </c>
      <c r="P15" s="107" t="str">
        <f t="shared" si="3"/>
        <v/>
      </c>
      <c r="Q15" s="108" t="str">
        <f t="shared" si="4"/>
        <v/>
      </c>
    </row>
    <row r="16" spans="1:17" ht="22" customHeight="1" x14ac:dyDescent="0.2">
      <c r="A16" s="109">
        <v>46214</v>
      </c>
      <c r="B16" s="110" t="s">
        <v>441</v>
      </c>
      <c r="C16" s="105"/>
      <c r="D16" s="105"/>
      <c r="E16" s="105"/>
      <c r="F16" s="105"/>
      <c r="G16" s="105"/>
      <c r="H16" s="105"/>
      <c r="I16" s="105"/>
      <c r="J16" s="105"/>
      <c r="K16" s="105"/>
      <c r="L16" s="106"/>
      <c r="M16" s="107" t="str">
        <f t="shared" si="0"/>
        <v/>
      </c>
      <c r="N16" s="107" t="str">
        <f t="shared" si="1"/>
        <v/>
      </c>
      <c r="O16" s="107" t="str">
        <f t="shared" si="2"/>
        <v/>
      </c>
      <c r="P16" s="107" t="str">
        <f t="shared" si="3"/>
        <v/>
      </c>
      <c r="Q16" s="108" t="str">
        <f t="shared" si="4"/>
        <v/>
      </c>
    </row>
    <row r="17" spans="1:17" ht="22" customHeight="1" x14ac:dyDescent="0.2">
      <c r="A17" s="109">
        <v>46215</v>
      </c>
      <c r="B17" s="110" t="s">
        <v>442</v>
      </c>
      <c r="C17" s="105"/>
      <c r="D17" s="105"/>
      <c r="E17" s="105"/>
      <c r="F17" s="105"/>
      <c r="G17" s="105"/>
      <c r="H17" s="105"/>
      <c r="I17" s="105"/>
      <c r="J17" s="105"/>
      <c r="K17" s="105"/>
      <c r="L17" s="106"/>
      <c r="M17" s="107" t="str">
        <f t="shared" si="0"/>
        <v/>
      </c>
      <c r="N17" s="107" t="str">
        <f t="shared" si="1"/>
        <v/>
      </c>
      <c r="O17" s="107" t="str">
        <f t="shared" si="2"/>
        <v/>
      </c>
      <c r="P17" s="107" t="str">
        <f t="shared" si="3"/>
        <v/>
      </c>
      <c r="Q17" s="108" t="str">
        <f t="shared" si="4"/>
        <v/>
      </c>
    </row>
    <row r="18" spans="1:17" ht="22" customHeight="1" x14ac:dyDescent="0.2">
      <c r="A18" s="103">
        <v>46216</v>
      </c>
      <c r="B18" s="104" t="s">
        <v>436</v>
      </c>
      <c r="C18" s="105"/>
      <c r="D18" s="105"/>
      <c r="E18" s="105"/>
      <c r="F18" s="105"/>
      <c r="G18" s="105"/>
      <c r="H18" s="105"/>
      <c r="I18" s="105"/>
      <c r="J18" s="105"/>
      <c r="K18" s="105"/>
      <c r="L18" s="106"/>
      <c r="M18" s="107" t="str">
        <f t="shared" si="0"/>
        <v/>
      </c>
      <c r="N18" s="107" t="str">
        <f t="shared" si="1"/>
        <v/>
      </c>
      <c r="O18" s="107" t="str">
        <f t="shared" si="2"/>
        <v/>
      </c>
      <c r="P18" s="107" t="str">
        <f t="shared" si="3"/>
        <v/>
      </c>
      <c r="Q18" s="108" t="str">
        <f t="shared" si="4"/>
        <v/>
      </c>
    </row>
    <row r="19" spans="1:17" ht="22" customHeight="1" x14ac:dyDescent="0.2">
      <c r="A19" s="103">
        <v>46217</v>
      </c>
      <c r="B19" s="104" t="s">
        <v>437</v>
      </c>
      <c r="C19" s="105"/>
      <c r="D19" s="105"/>
      <c r="E19" s="105"/>
      <c r="F19" s="105"/>
      <c r="G19" s="105"/>
      <c r="H19" s="105"/>
      <c r="I19" s="105"/>
      <c r="J19" s="105"/>
      <c r="K19" s="105"/>
      <c r="L19" s="106"/>
      <c r="M19" s="107" t="str">
        <f t="shared" si="0"/>
        <v/>
      </c>
      <c r="N19" s="107" t="str">
        <f t="shared" si="1"/>
        <v/>
      </c>
      <c r="O19" s="107" t="str">
        <f t="shared" si="2"/>
        <v/>
      </c>
      <c r="P19" s="107" t="str">
        <f t="shared" si="3"/>
        <v/>
      </c>
      <c r="Q19" s="108" t="str">
        <f t="shared" si="4"/>
        <v/>
      </c>
    </row>
    <row r="20" spans="1:17" ht="22" customHeight="1" x14ac:dyDescent="0.2">
      <c r="A20" s="103">
        <v>46218</v>
      </c>
      <c r="B20" s="104" t="s">
        <v>438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6"/>
      <c r="M20" s="107" t="str">
        <f t="shared" si="0"/>
        <v/>
      </c>
      <c r="N20" s="107" t="str">
        <f t="shared" si="1"/>
        <v/>
      </c>
      <c r="O20" s="107" t="str">
        <f t="shared" si="2"/>
        <v/>
      </c>
      <c r="P20" s="107" t="str">
        <f t="shared" si="3"/>
        <v/>
      </c>
      <c r="Q20" s="108" t="str">
        <f t="shared" si="4"/>
        <v/>
      </c>
    </row>
    <row r="21" spans="1:17" ht="22" customHeight="1" x14ac:dyDescent="0.2">
      <c r="A21" s="103">
        <v>46219</v>
      </c>
      <c r="B21" s="104" t="s">
        <v>439</v>
      </c>
      <c r="C21" s="105"/>
      <c r="D21" s="105"/>
      <c r="E21" s="105"/>
      <c r="F21" s="105"/>
      <c r="G21" s="105"/>
      <c r="H21" s="105"/>
      <c r="I21" s="105"/>
      <c r="J21" s="105"/>
      <c r="K21" s="105"/>
      <c r="L21" s="106"/>
      <c r="M21" s="107" t="str">
        <f t="shared" si="0"/>
        <v/>
      </c>
      <c r="N21" s="107" t="str">
        <f t="shared" si="1"/>
        <v/>
      </c>
      <c r="O21" s="107" t="str">
        <f t="shared" si="2"/>
        <v/>
      </c>
      <c r="P21" s="107" t="str">
        <f t="shared" si="3"/>
        <v/>
      </c>
      <c r="Q21" s="108" t="str">
        <f t="shared" si="4"/>
        <v/>
      </c>
    </row>
    <row r="22" spans="1:17" ht="22" customHeight="1" x14ac:dyDescent="0.2">
      <c r="A22" s="103">
        <v>46220</v>
      </c>
      <c r="B22" s="104" t="s">
        <v>440</v>
      </c>
      <c r="C22" s="105"/>
      <c r="D22" s="105"/>
      <c r="E22" s="105"/>
      <c r="F22" s="105"/>
      <c r="G22" s="105"/>
      <c r="H22" s="105"/>
      <c r="I22" s="105"/>
      <c r="J22" s="105"/>
      <c r="K22" s="105"/>
      <c r="L22" s="106"/>
      <c r="M22" s="107" t="str">
        <f t="shared" si="0"/>
        <v/>
      </c>
      <c r="N22" s="107" t="str">
        <f t="shared" si="1"/>
        <v/>
      </c>
      <c r="O22" s="107" t="str">
        <f t="shared" si="2"/>
        <v/>
      </c>
      <c r="P22" s="107" t="str">
        <f t="shared" si="3"/>
        <v/>
      </c>
      <c r="Q22" s="108" t="str">
        <f t="shared" si="4"/>
        <v/>
      </c>
    </row>
    <row r="23" spans="1:17" ht="22" customHeight="1" x14ac:dyDescent="0.2">
      <c r="A23" s="109">
        <v>46221</v>
      </c>
      <c r="B23" s="110" t="s">
        <v>441</v>
      </c>
      <c r="C23" s="105"/>
      <c r="D23" s="105"/>
      <c r="E23" s="105"/>
      <c r="F23" s="105"/>
      <c r="G23" s="105"/>
      <c r="H23" s="105"/>
      <c r="I23" s="105"/>
      <c r="J23" s="105"/>
      <c r="K23" s="105"/>
      <c r="L23" s="106"/>
      <c r="M23" s="107" t="str">
        <f t="shared" si="0"/>
        <v/>
      </c>
      <c r="N23" s="107" t="str">
        <f t="shared" si="1"/>
        <v/>
      </c>
      <c r="O23" s="107" t="str">
        <f t="shared" si="2"/>
        <v/>
      </c>
      <c r="P23" s="107" t="str">
        <f t="shared" si="3"/>
        <v/>
      </c>
      <c r="Q23" s="108" t="str">
        <f t="shared" si="4"/>
        <v/>
      </c>
    </row>
    <row r="24" spans="1:17" ht="22" customHeight="1" x14ac:dyDescent="0.2">
      <c r="A24" s="109">
        <v>46222</v>
      </c>
      <c r="B24" s="110" t="s">
        <v>442</v>
      </c>
      <c r="C24" s="105"/>
      <c r="D24" s="105"/>
      <c r="E24" s="105"/>
      <c r="F24" s="105"/>
      <c r="G24" s="105"/>
      <c r="H24" s="105"/>
      <c r="I24" s="105"/>
      <c r="J24" s="105"/>
      <c r="K24" s="105"/>
      <c r="L24" s="106"/>
      <c r="M24" s="107" t="str">
        <f t="shared" si="0"/>
        <v/>
      </c>
      <c r="N24" s="107" t="str">
        <f t="shared" si="1"/>
        <v/>
      </c>
      <c r="O24" s="107" t="str">
        <f t="shared" si="2"/>
        <v/>
      </c>
      <c r="P24" s="107" t="str">
        <f t="shared" si="3"/>
        <v/>
      </c>
      <c r="Q24" s="108" t="str">
        <f t="shared" si="4"/>
        <v/>
      </c>
    </row>
    <row r="25" spans="1:17" ht="22" customHeight="1" x14ac:dyDescent="0.2">
      <c r="A25" s="103">
        <v>46223</v>
      </c>
      <c r="B25" s="104" t="s">
        <v>436</v>
      </c>
      <c r="C25" s="105"/>
      <c r="D25" s="105"/>
      <c r="E25" s="105"/>
      <c r="F25" s="105"/>
      <c r="G25" s="105"/>
      <c r="H25" s="105"/>
      <c r="I25" s="105"/>
      <c r="J25" s="105"/>
      <c r="K25" s="105"/>
      <c r="L25" s="106"/>
      <c r="M25" s="107" t="str">
        <f t="shared" si="0"/>
        <v/>
      </c>
      <c r="N25" s="107" t="str">
        <f t="shared" si="1"/>
        <v/>
      </c>
      <c r="O25" s="107" t="str">
        <f t="shared" si="2"/>
        <v/>
      </c>
      <c r="P25" s="107" t="str">
        <f t="shared" si="3"/>
        <v/>
      </c>
      <c r="Q25" s="108" t="str">
        <f t="shared" si="4"/>
        <v/>
      </c>
    </row>
    <row r="26" spans="1:17" ht="22" customHeight="1" x14ac:dyDescent="0.2">
      <c r="A26" s="103">
        <v>46224</v>
      </c>
      <c r="B26" s="104" t="s">
        <v>437</v>
      </c>
      <c r="C26" s="105"/>
      <c r="D26" s="105"/>
      <c r="E26" s="105"/>
      <c r="F26" s="105"/>
      <c r="G26" s="105"/>
      <c r="H26" s="105"/>
      <c r="I26" s="105"/>
      <c r="J26" s="105"/>
      <c r="K26" s="105"/>
      <c r="L26" s="106"/>
      <c r="M26" s="107" t="str">
        <f t="shared" si="0"/>
        <v/>
      </c>
      <c r="N26" s="107" t="str">
        <f t="shared" si="1"/>
        <v/>
      </c>
      <c r="O26" s="107" t="str">
        <f t="shared" si="2"/>
        <v/>
      </c>
      <c r="P26" s="107" t="str">
        <f t="shared" si="3"/>
        <v/>
      </c>
      <c r="Q26" s="108" t="str">
        <f t="shared" si="4"/>
        <v/>
      </c>
    </row>
    <row r="27" spans="1:17" ht="22" customHeight="1" x14ac:dyDescent="0.2">
      <c r="A27" s="103">
        <v>46225</v>
      </c>
      <c r="B27" s="104" t="s">
        <v>438</v>
      </c>
      <c r="C27" s="105"/>
      <c r="D27" s="105"/>
      <c r="E27" s="105"/>
      <c r="F27" s="105"/>
      <c r="G27" s="105"/>
      <c r="H27" s="105"/>
      <c r="I27" s="105"/>
      <c r="J27" s="105"/>
      <c r="K27" s="105"/>
      <c r="L27" s="106"/>
      <c r="M27" s="107" t="str">
        <f t="shared" si="0"/>
        <v/>
      </c>
      <c r="N27" s="107" t="str">
        <f t="shared" si="1"/>
        <v/>
      </c>
      <c r="O27" s="107" t="str">
        <f t="shared" si="2"/>
        <v/>
      </c>
      <c r="P27" s="107" t="str">
        <f t="shared" si="3"/>
        <v/>
      </c>
      <c r="Q27" s="108" t="str">
        <f t="shared" si="4"/>
        <v/>
      </c>
    </row>
    <row r="28" spans="1:17" ht="22" customHeight="1" x14ac:dyDescent="0.2">
      <c r="A28" s="103">
        <v>46226</v>
      </c>
      <c r="B28" s="104" t="s">
        <v>439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6"/>
      <c r="M28" s="107" t="str">
        <f t="shared" si="0"/>
        <v/>
      </c>
      <c r="N28" s="107" t="str">
        <f t="shared" si="1"/>
        <v/>
      </c>
      <c r="O28" s="107" t="str">
        <f t="shared" si="2"/>
        <v/>
      </c>
      <c r="P28" s="107" t="str">
        <f t="shared" si="3"/>
        <v/>
      </c>
      <c r="Q28" s="108" t="str">
        <f t="shared" si="4"/>
        <v/>
      </c>
    </row>
    <row r="29" spans="1:17" ht="22" customHeight="1" x14ac:dyDescent="0.2">
      <c r="A29" s="103">
        <v>46227</v>
      </c>
      <c r="B29" s="104" t="s">
        <v>440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6"/>
      <c r="M29" s="107" t="str">
        <f t="shared" si="0"/>
        <v/>
      </c>
      <c r="N29" s="107" t="str">
        <f t="shared" si="1"/>
        <v/>
      </c>
      <c r="O29" s="107" t="str">
        <f t="shared" si="2"/>
        <v/>
      </c>
      <c r="P29" s="107" t="str">
        <f t="shared" si="3"/>
        <v/>
      </c>
      <c r="Q29" s="108" t="str">
        <f t="shared" si="4"/>
        <v/>
      </c>
    </row>
    <row r="30" spans="1:17" ht="22" customHeight="1" x14ac:dyDescent="0.2">
      <c r="A30" s="109">
        <v>46228</v>
      </c>
      <c r="B30" s="110" t="s">
        <v>441</v>
      </c>
      <c r="C30" s="105"/>
      <c r="D30" s="105"/>
      <c r="E30" s="105"/>
      <c r="F30" s="105"/>
      <c r="G30" s="105"/>
      <c r="H30" s="105"/>
      <c r="I30" s="105"/>
      <c r="J30" s="105"/>
      <c r="K30" s="105"/>
      <c r="L30" s="106"/>
      <c r="M30" s="107" t="str">
        <f t="shared" si="0"/>
        <v/>
      </c>
      <c r="N30" s="107" t="str">
        <f t="shared" si="1"/>
        <v/>
      </c>
      <c r="O30" s="107" t="str">
        <f t="shared" si="2"/>
        <v/>
      </c>
      <c r="P30" s="107" t="str">
        <f t="shared" si="3"/>
        <v/>
      </c>
      <c r="Q30" s="108" t="str">
        <f t="shared" si="4"/>
        <v/>
      </c>
    </row>
    <row r="31" spans="1:17" ht="22" customHeight="1" x14ac:dyDescent="0.2">
      <c r="A31" s="109">
        <v>46229</v>
      </c>
      <c r="B31" s="110" t="s">
        <v>442</v>
      </c>
      <c r="C31" s="105"/>
      <c r="D31" s="105"/>
      <c r="E31" s="105"/>
      <c r="F31" s="105"/>
      <c r="G31" s="105"/>
      <c r="H31" s="105"/>
      <c r="I31" s="105"/>
      <c r="J31" s="105"/>
      <c r="K31" s="105"/>
      <c r="L31" s="106"/>
      <c r="M31" s="107" t="str">
        <f t="shared" si="0"/>
        <v/>
      </c>
      <c r="N31" s="107" t="str">
        <f t="shared" si="1"/>
        <v/>
      </c>
      <c r="O31" s="107" t="str">
        <f t="shared" si="2"/>
        <v/>
      </c>
      <c r="P31" s="107" t="str">
        <f t="shared" si="3"/>
        <v/>
      </c>
      <c r="Q31" s="108" t="str">
        <f t="shared" si="4"/>
        <v/>
      </c>
    </row>
    <row r="32" spans="1:17" ht="22" customHeight="1" x14ac:dyDescent="0.2">
      <c r="A32" s="103">
        <v>46230</v>
      </c>
      <c r="B32" s="104" t="s">
        <v>436</v>
      </c>
      <c r="C32" s="105"/>
      <c r="D32" s="105"/>
      <c r="E32" s="105"/>
      <c r="F32" s="105"/>
      <c r="G32" s="105"/>
      <c r="H32" s="105"/>
      <c r="I32" s="105"/>
      <c r="J32" s="105"/>
      <c r="K32" s="105"/>
      <c r="L32" s="106"/>
      <c r="M32" s="107" t="str">
        <f t="shared" si="0"/>
        <v/>
      </c>
      <c r="N32" s="107" t="str">
        <f t="shared" si="1"/>
        <v/>
      </c>
      <c r="O32" s="107" t="str">
        <f t="shared" si="2"/>
        <v/>
      </c>
      <c r="P32" s="107" t="str">
        <f t="shared" si="3"/>
        <v/>
      </c>
      <c r="Q32" s="108" t="str">
        <f t="shared" si="4"/>
        <v/>
      </c>
    </row>
    <row r="33" spans="1:17" ht="22" customHeight="1" x14ac:dyDescent="0.2">
      <c r="A33" s="103">
        <v>46231</v>
      </c>
      <c r="B33" s="104" t="s">
        <v>437</v>
      </c>
      <c r="C33" s="105"/>
      <c r="D33" s="105"/>
      <c r="E33" s="105"/>
      <c r="F33" s="105"/>
      <c r="G33" s="105"/>
      <c r="H33" s="105"/>
      <c r="I33" s="105"/>
      <c r="J33" s="105"/>
      <c r="K33" s="105"/>
      <c r="L33" s="106"/>
      <c r="M33" s="107" t="str">
        <f t="shared" si="0"/>
        <v/>
      </c>
      <c r="N33" s="107" t="str">
        <f t="shared" si="1"/>
        <v/>
      </c>
      <c r="O33" s="107" t="str">
        <f t="shared" si="2"/>
        <v/>
      </c>
      <c r="P33" s="107" t="str">
        <f t="shared" si="3"/>
        <v/>
      </c>
      <c r="Q33" s="108" t="str">
        <f t="shared" si="4"/>
        <v/>
      </c>
    </row>
    <row r="34" spans="1:17" ht="22" customHeight="1" x14ac:dyDescent="0.2">
      <c r="A34" s="103">
        <v>46232</v>
      </c>
      <c r="B34" s="104" t="s">
        <v>438</v>
      </c>
      <c r="C34" s="105"/>
      <c r="D34" s="105"/>
      <c r="E34" s="105"/>
      <c r="F34" s="105"/>
      <c r="G34" s="105"/>
      <c r="H34" s="105"/>
      <c r="I34" s="105"/>
      <c r="J34" s="105"/>
      <c r="K34" s="105"/>
      <c r="L34" s="106"/>
      <c r="M34" s="107" t="str">
        <f t="shared" si="0"/>
        <v/>
      </c>
      <c r="N34" s="107" t="str">
        <f t="shared" si="1"/>
        <v/>
      </c>
      <c r="O34" s="107" t="str">
        <f t="shared" si="2"/>
        <v/>
      </c>
      <c r="P34" s="107" t="str">
        <f t="shared" si="3"/>
        <v/>
      </c>
      <c r="Q34" s="108" t="str">
        <f t="shared" si="4"/>
        <v/>
      </c>
    </row>
    <row r="35" spans="1:17" ht="22" customHeight="1" x14ac:dyDescent="0.2">
      <c r="A35" s="103">
        <v>46233</v>
      </c>
      <c r="B35" s="104" t="s">
        <v>439</v>
      </c>
      <c r="C35" s="105"/>
      <c r="D35" s="105"/>
      <c r="E35" s="105"/>
      <c r="F35" s="105"/>
      <c r="G35" s="105"/>
      <c r="H35" s="105"/>
      <c r="I35" s="105"/>
      <c r="J35" s="105"/>
      <c r="K35" s="105"/>
      <c r="L35" s="106"/>
      <c r="M35" s="107" t="str">
        <f t="shared" si="0"/>
        <v/>
      </c>
      <c r="N35" s="107" t="str">
        <f t="shared" si="1"/>
        <v/>
      </c>
      <c r="O35" s="107" t="str">
        <f t="shared" si="2"/>
        <v/>
      </c>
      <c r="P35" s="107" t="str">
        <f t="shared" si="3"/>
        <v/>
      </c>
      <c r="Q35" s="108" t="str">
        <f t="shared" si="4"/>
        <v/>
      </c>
    </row>
    <row r="36" spans="1:17" ht="22" customHeight="1" x14ac:dyDescent="0.2">
      <c r="A36" s="103">
        <v>46234</v>
      </c>
      <c r="B36" s="104" t="s">
        <v>440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6"/>
      <c r="M36" s="107" t="str">
        <f t="shared" si="0"/>
        <v/>
      </c>
      <c r="N36" s="107" t="str">
        <f t="shared" si="1"/>
        <v/>
      </c>
      <c r="O36" s="107" t="str">
        <f t="shared" si="2"/>
        <v/>
      </c>
      <c r="P36" s="107" t="str">
        <f t="shared" si="3"/>
        <v/>
      </c>
      <c r="Q36" s="108" t="str">
        <f t="shared" si="4"/>
        <v/>
      </c>
    </row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I27" sqref="I27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61" t="s">
        <v>444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60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111" t="s">
        <v>2</v>
      </c>
      <c r="B3" s="111" t="s">
        <v>3</v>
      </c>
      <c r="C3" s="111" t="s">
        <v>4</v>
      </c>
      <c r="D3" s="111" t="s">
        <v>5</v>
      </c>
      <c r="E3" s="111" t="s">
        <v>6</v>
      </c>
      <c r="F3" s="112" t="s">
        <v>7</v>
      </c>
      <c r="G3" s="112" t="s">
        <v>8</v>
      </c>
      <c r="H3" s="113" t="s">
        <v>9</v>
      </c>
      <c r="I3" s="114" t="s">
        <v>10</v>
      </c>
      <c r="J3" s="114" t="s">
        <v>11</v>
      </c>
      <c r="K3" s="114" t="s">
        <v>12</v>
      </c>
      <c r="L3" s="115" t="s">
        <v>13</v>
      </c>
    </row>
    <row r="4" spans="1:12" ht="24" customHeight="1" x14ac:dyDescent="0.2">
      <c r="A4" s="116" t="s">
        <v>14</v>
      </c>
      <c r="B4" s="117" t="s">
        <v>445</v>
      </c>
      <c r="C4" s="118">
        <f>IFERROR(SUM('📅 DAILY T7'!C6:C12),0)</f>
        <v>196045598</v>
      </c>
      <c r="D4" s="118">
        <f>IFERROR(SUM('📅 DAILY T7'!D6:D12),0)</f>
        <v>465</v>
      </c>
      <c r="E4" s="118">
        <f>IFERROR(SUM('📅 DAILY T7'!C6:C12)/SUM('📅 DAILY T7'!D6:D12),"")</f>
        <v>421603.43655913981</v>
      </c>
      <c r="F4" s="119">
        <f>IFERROR(SUM('📅 DAILY T7'!F6:F12),0)</f>
        <v>0</v>
      </c>
      <c r="G4" s="120" t="str">
        <f>IFERROR(SUM('📅 DAILY T7'!C6:C12)/SUM('📅 DAILY T7'!F6:F12),"")</f>
        <v/>
      </c>
      <c r="H4" s="121">
        <f>IFERROR(SUM('📅 DAILY T7'!M6:M12),0)</f>
        <v>89379044</v>
      </c>
      <c r="I4" s="122">
        <f>IFERROR(SUM('📅 DAILY T7'!N6:N12),0)</f>
        <v>285424642</v>
      </c>
      <c r="J4" s="123">
        <f>IFERROR(SUM('📅 DAILY T7'!C6:C12)/1277560078,"")</f>
        <v>0.15345313412337233</v>
      </c>
      <c r="K4" s="123">
        <f>IFERROR(SUM('📅 DAILY T7'!M6:M12)/721910506,"")</f>
        <v>0.12380903624084395</v>
      </c>
      <c r="L4" s="124"/>
    </row>
    <row r="5" spans="1:12" ht="24" customHeight="1" x14ac:dyDescent="0.2">
      <c r="A5" s="125" t="s">
        <v>16</v>
      </c>
      <c r="B5" s="126" t="s">
        <v>446</v>
      </c>
      <c r="C5" s="118">
        <f>IFERROR(SUM('📅 DAILY T7'!C13:C19),0)</f>
        <v>0</v>
      </c>
      <c r="D5" s="118">
        <f>IFERROR(SUM('📅 DAILY T7'!D13:D19),0)</f>
        <v>0</v>
      </c>
      <c r="E5" s="118" t="str">
        <f>IFERROR(SUM('📅 DAILY T7'!C13:C19)/SUM('📅 DAILY T7'!D13:D19),"")</f>
        <v/>
      </c>
      <c r="F5" s="119">
        <f>IFERROR(SUM('📅 DAILY T7'!F13:F19),0)</f>
        <v>0</v>
      </c>
      <c r="G5" s="120" t="str">
        <f>IFERROR(SUM('📅 DAILY T7'!C13:C19)/SUM('📅 DAILY T7'!F13:F19),"")</f>
        <v/>
      </c>
      <c r="H5" s="121">
        <f>IFERROR(SUM('📅 DAILY T7'!M13:M19),0)</f>
        <v>0</v>
      </c>
      <c r="I5" s="122">
        <f>IFERROR(SUM('📅 DAILY T7'!N13:N19),0)</f>
        <v>0</v>
      </c>
      <c r="J5" s="123">
        <f>IFERROR(SUM('📅 DAILY T7'!C6:C19)/1277560078,"")</f>
        <v>0.15345313412337233</v>
      </c>
      <c r="K5" s="123">
        <f>IFERROR(SUM('📅 DAILY T7'!M6:M19)/721910506,"")</f>
        <v>0.12380903624084395</v>
      </c>
      <c r="L5" s="124"/>
    </row>
    <row r="6" spans="1:12" ht="24" customHeight="1" x14ac:dyDescent="0.2">
      <c r="A6" s="127" t="s">
        <v>18</v>
      </c>
      <c r="B6" s="128" t="s">
        <v>447</v>
      </c>
      <c r="C6" s="118">
        <f>IFERROR(SUM('📅 DAILY T7'!C20:C26),0)</f>
        <v>0</v>
      </c>
      <c r="D6" s="118">
        <f>IFERROR(SUM('📅 DAILY T7'!D20:D26),0)</f>
        <v>0</v>
      </c>
      <c r="E6" s="118" t="str">
        <f>IFERROR(SUM('📅 DAILY T7'!C20:C26)/SUM('📅 DAILY T7'!D20:D26),"")</f>
        <v/>
      </c>
      <c r="F6" s="119">
        <f>IFERROR(SUM('📅 DAILY T7'!F20:F26),0)</f>
        <v>0</v>
      </c>
      <c r="G6" s="120" t="str">
        <f>IFERROR(SUM('📅 DAILY T7'!C20:C26)/SUM('📅 DAILY T7'!F20:F26),"")</f>
        <v/>
      </c>
      <c r="H6" s="121">
        <f>IFERROR(SUM('📅 DAILY T7'!M20:M26),0)</f>
        <v>0</v>
      </c>
      <c r="I6" s="122">
        <f>IFERROR(SUM('📅 DAILY T7'!N20:N26),0)</f>
        <v>0</v>
      </c>
      <c r="J6" s="123">
        <f>IFERROR(SUM('📅 DAILY T7'!C6:C26)/1277560078,"")</f>
        <v>0.15345313412337233</v>
      </c>
      <c r="K6" s="123">
        <f>IFERROR(SUM('📅 DAILY T7'!M6:M26)/721910506,"")</f>
        <v>0.12380903624084395</v>
      </c>
      <c r="L6" s="124"/>
    </row>
    <row r="7" spans="1:12" ht="24" customHeight="1" x14ac:dyDescent="0.2">
      <c r="A7" s="129" t="s">
        <v>20</v>
      </c>
      <c r="B7" s="130" t="s">
        <v>448</v>
      </c>
      <c r="C7" s="118">
        <f>IFERROR(SUM('📅 DAILY T7'!C27:C33),0)</f>
        <v>0</v>
      </c>
      <c r="D7" s="118">
        <f>IFERROR(SUM('📅 DAILY T7'!D27:D33),0)</f>
        <v>0</v>
      </c>
      <c r="E7" s="118" t="str">
        <f>IFERROR(SUM('📅 DAILY T7'!C27:C33)/SUM('📅 DAILY T7'!D27:D33),"")</f>
        <v/>
      </c>
      <c r="F7" s="119">
        <f>IFERROR(SUM('📅 DAILY T7'!F27:F33),0)</f>
        <v>0</v>
      </c>
      <c r="G7" s="120" t="str">
        <f>IFERROR(SUM('📅 DAILY T7'!C27:C33)/SUM('📅 DAILY T7'!F27:F33),"")</f>
        <v/>
      </c>
      <c r="H7" s="121">
        <f>IFERROR(SUM('📅 DAILY T7'!M27:M33),0)</f>
        <v>0</v>
      </c>
      <c r="I7" s="122">
        <f>IFERROR(SUM('📅 DAILY T7'!N27:N33),0)</f>
        <v>0</v>
      </c>
      <c r="J7" s="123">
        <f>IFERROR(SUM('📅 DAILY T7'!C6:C33)/1277560078,"")</f>
        <v>0.15345313412337233</v>
      </c>
      <c r="K7" s="123">
        <f>IFERROR(SUM('📅 DAILY T7'!M6:M33)/721910506,"")</f>
        <v>0.12380903624084395</v>
      </c>
      <c r="L7" s="124"/>
    </row>
    <row r="8" spans="1:12" ht="24" customHeight="1" x14ac:dyDescent="0.2">
      <c r="A8" s="131" t="s">
        <v>22</v>
      </c>
      <c r="B8" s="132" t="s">
        <v>449</v>
      </c>
      <c r="C8" s="118">
        <f>IFERROR(SUM('📅 DAILY T7'!C34:C36),0)</f>
        <v>0</v>
      </c>
      <c r="D8" s="118">
        <f>IFERROR(SUM('📅 DAILY T7'!D34:D36),0)</f>
        <v>0</v>
      </c>
      <c r="E8" s="118" t="str">
        <f>IFERROR(SUM('📅 DAILY T7'!C34:C36)/SUM('📅 DAILY T7'!D34:D36),"")</f>
        <v/>
      </c>
      <c r="F8" s="119">
        <f>IFERROR(SUM('📅 DAILY T7'!F34:F36),0)</f>
        <v>0</v>
      </c>
      <c r="G8" s="120" t="str">
        <f>IFERROR(SUM('📅 DAILY T7'!C34:C36)/SUM('📅 DAILY T7'!F34:F36),"")</f>
        <v/>
      </c>
      <c r="H8" s="121">
        <f>IFERROR(SUM('📅 DAILY T7'!M34:M36),0)</f>
        <v>0</v>
      </c>
      <c r="I8" s="122">
        <f>IFERROR(SUM('📅 DAILY T7'!N34:N36),0)</f>
        <v>0</v>
      </c>
      <c r="J8" s="123">
        <f>IFERROR(SUM('📅 DAILY T7'!C6:C36)/1277560078,"")</f>
        <v>0.15345313412337233</v>
      </c>
      <c r="K8" s="123">
        <f>IFERROR(SUM('📅 DAILY T7'!M6:M36)/721910506,"")</f>
        <v>0.12380903624084395</v>
      </c>
      <c r="L8" s="124"/>
    </row>
    <row r="9" spans="1:12" ht="5" customHeight="1" x14ac:dyDescent="0.2">
      <c r="A9" s="133"/>
    </row>
    <row r="10" spans="1:12" ht="19" customHeight="1" x14ac:dyDescent="0.2">
      <c r="B10" s="133"/>
    </row>
    <row r="11" spans="1:12" ht="19" customHeight="1" x14ac:dyDescent="0.2">
      <c r="C11" s="133"/>
    </row>
    <row r="12" spans="1:12" ht="19" customHeight="1" x14ac:dyDescent="0.2">
      <c r="D12" s="133"/>
    </row>
    <row r="13" spans="1:12" ht="19" customHeight="1" x14ac:dyDescent="0.2">
      <c r="E13" s="133"/>
    </row>
    <row r="14" spans="1:12" ht="19" customHeight="1" x14ac:dyDescent="0.2">
      <c r="F14" s="133"/>
    </row>
    <row r="15" spans="1:12" ht="19" customHeight="1" x14ac:dyDescent="0.2">
      <c r="G15" s="133"/>
    </row>
    <row r="16" spans="1:12" ht="19" customHeight="1" x14ac:dyDescent="0.2">
      <c r="H16" s="133"/>
    </row>
    <row r="17" spans="1:12" ht="19" customHeight="1" x14ac:dyDescent="0.2">
      <c r="I17" s="133"/>
    </row>
    <row r="18" spans="1:12" ht="19" customHeight="1" x14ac:dyDescent="0.2">
      <c r="J18" s="133"/>
    </row>
    <row r="19" spans="1:12" ht="19" customHeight="1" x14ac:dyDescent="0.2">
      <c r="K19" s="133"/>
    </row>
    <row r="20" spans="1:12" ht="19" customHeight="1" x14ac:dyDescent="0.2">
      <c r="L20" s="133"/>
    </row>
    <row r="21" spans="1:12" ht="26" customHeight="1" x14ac:dyDescent="0.2">
      <c r="A21" s="134" t="s">
        <v>24</v>
      </c>
      <c r="B21" s="135" t="s">
        <v>450</v>
      </c>
      <c r="C21" s="136">
        <f>IFERROR(SUM('📅 DAILY T7'!C6:C36),0)</f>
        <v>196045598</v>
      </c>
      <c r="D21" s="136">
        <f>IFERROR(SUM('📅 DAILY T7'!D6:D36),0)</f>
        <v>465</v>
      </c>
      <c r="E21" s="136">
        <f>IFERROR(SUM('📅 DAILY T7'!C6:C36)/SUM('📅 DAILY T7'!D6:D36),"")</f>
        <v>421603.43655913981</v>
      </c>
      <c r="F21" s="136">
        <f>IFERROR(SUM('📅 DAILY T7'!F6:F36),0)</f>
        <v>0</v>
      </c>
      <c r="G21" s="137" t="str">
        <f>IFERROR(SUM('📅 DAILY T7'!C6:C36)/SUM('📅 DAILY T7'!F6:F36),"")</f>
        <v/>
      </c>
      <c r="H21" s="136">
        <f>IFERROR(SUM('📅 DAILY T7'!M6:M36),0)</f>
        <v>89379044</v>
      </c>
      <c r="I21" s="136">
        <f>IFERROR(SUM('📅 DAILY T7'!N6:N36),0)</f>
        <v>285424642</v>
      </c>
      <c r="J21" s="138">
        <f>IFERROR(SUM('📅 DAILY T7'!C6:C36)/1277560078,"")</f>
        <v>0.15345313412337233</v>
      </c>
      <c r="K21" s="138">
        <f>IFERROR(SUM('📅 DAILY T7'!M6:M36)/721910506,"")</f>
        <v>0.12380903624084395</v>
      </c>
      <c r="L21" s="133"/>
    </row>
    <row r="22" spans="1:12" ht="19" customHeight="1" x14ac:dyDescent="0.2"/>
    <row r="23" spans="1:12" ht="22" customHeight="1" x14ac:dyDescent="0.2">
      <c r="A23" s="363" t="s">
        <v>26</v>
      </c>
      <c r="B23" s="323"/>
      <c r="C23" s="139">
        <v>1214990084</v>
      </c>
      <c r="D23" s="140"/>
      <c r="E23" s="140"/>
      <c r="F23" s="140"/>
      <c r="G23" s="140"/>
      <c r="H23" s="141">
        <v>652226392</v>
      </c>
      <c r="I23" s="142">
        <v>1867216476</v>
      </c>
      <c r="J23" s="140"/>
      <c r="K23" s="140"/>
      <c r="L23" s="140"/>
    </row>
    <row r="24" spans="1:12" ht="19" customHeight="1" x14ac:dyDescent="0.2"/>
    <row r="25" spans="1:12" ht="19" customHeight="1" x14ac:dyDescent="0.2">
      <c r="A25" s="362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:Q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64" t="s">
        <v>451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69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71" t="s">
        <v>415</v>
      </c>
      <c r="B3" s="323"/>
      <c r="C3" s="370" t="s">
        <v>416</v>
      </c>
      <c r="D3" s="323"/>
      <c r="E3" s="365" t="s">
        <v>417</v>
      </c>
      <c r="F3" s="323"/>
      <c r="G3" s="367" t="s">
        <v>418</v>
      </c>
      <c r="H3" s="323"/>
      <c r="I3" s="323"/>
      <c r="J3" s="323"/>
      <c r="K3" s="143" t="s">
        <v>419</v>
      </c>
      <c r="L3" s="144" t="s">
        <v>420</v>
      </c>
      <c r="M3" s="366" t="s">
        <v>421</v>
      </c>
      <c r="N3" s="323"/>
      <c r="O3" s="366" t="s">
        <v>421</v>
      </c>
      <c r="P3" s="323"/>
      <c r="Q3" s="145" t="s">
        <v>422</v>
      </c>
    </row>
    <row r="4" spans="1:17" ht="36" customHeight="1" x14ac:dyDescent="0.2">
      <c r="A4" s="146" t="s">
        <v>3</v>
      </c>
      <c r="B4" s="146" t="s">
        <v>423</v>
      </c>
      <c r="C4" s="147" t="s">
        <v>4</v>
      </c>
      <c r="D4" s="147" t="s">
        <v>5</v>
      </c>
      <c r="E4" s="148" t="s">
        <v>424</v>
      </c>
      <c r="F4" s="148" t="s">
        <v>7</v>
      </c>
      <c r="G4" s="149" t="s">
        <v>425</v>
      </c>
      <c r="H4" s="149" t="s">
        <v>426</v>
      </c>
      <c r="I4" s="149" t="s">
        <v>427</v>
      </c>
      <c r="J4" s="149" t="s">
        <v>428</v>
      </c>
      <c r="K4" s="150" t="s">
        <v>429</v>
      </c>
      <c r="L4" s="151" t="s">
        <v>13</v>
      </c>
      <c r="M4" s="152" t="s">
        <v>430</v>
      </c>
      <c r="N4" s="152" t="s">
        <v>431</v>
      </c>
      <c r="O4" s="152" t="s">
        <v>432</v>
      </c>
      <c r="P4" s="152" t="s">
        <v>433</v>
      </c>
      <c r="Q4" s="152" t="s">
        <v>434</v>
      </c>
    </row>
    <row r="5" spans="1:17" ht="22" customHeight="1" x14ac:dyDescent="0.2">
      <c r="A5" s="368" t="s">
        <v>435</v>
      </c>
      <c r="B5" s="323"/>
      <c r="C5" s="153">
        <v>1221751028</v>
      </c>
      <c r="D5" s="154"/>
      <c r="E5" s="154"/>
      <c r="F5" s="154"/>
      <c r="G5" s="155">
        <v>345139241</v>
      </c>
      <c r="H5" s="155">
        <v>170156050</v>
      </c>
      <c r="I5" s="155">
        <v>140560485</v>
      </c>
      <c r="J5" s="154"/>
      <c r="K5" s="154"/>
      <c r="L5" s="154"/>
      <c r="M5" s="156">
        <v>655855776</v>
      </c>
      <c r="N5" s="156">
        <v>1877606804</v>
      </c>
      <c r="O5" s="157">
        <v>450000</v>
      </c>
      <c r="P5" s="157">
        <v>330000</v>
      </c>
      <c r="Q5" s="158"/>
    </row>
    <row r="6" spans="1:17" ht="22" customHeight="1" x14ac:dyDescent="0.2">
      <c r="A6" s="159">
        <v>46235</v>
      </c>
      <c r="B6" s="160" t="s">
        <v>441</v>
      </c>
      <c r="C6" s="161"/>
      <c r="D6" s="161"/>
      <c r="E6" s="161"/>
      <c r="F6" s="161"/>
      <c r="G6" s="161"/>
      <c r="H6" s="161"/>
      <c r="I6" s="161"/>
      <c r="J6" s="161"/>
      <c r="K6" s="161"/>
      <c r="L6" s="162"/>
      <c r="M6" s="163" t="str">
        <f t="shared" ref="M6:M36" si="0">IF(SUM(G6:I6)&gt;0,SUM(G6:I6),"")</f>
        <v/>
      </c>
      <c r="N6" s="163" t="str">
        <f t="shared" ref="N6:N36" si="1">IF(N(C6)+N(M6)&gt;0,N(C6)+N(M6),"")</f>
        <v/>
      </c>
      <c r="O6" s="163" t="str">
        <f t="shared" ref="O6:O36" si="2">IFERROR(IF(D6&gt;0,C6/D6,""),"")</f>
        <v/>
      </c>
      <c r="P6" s="163" t="str">
        <f t="shared" ref="P6:P36" si="3">IFERROR(IF(J6&gt;0,M6/J6,""),"")</f>
        <v/>
      </c>
      <c r="Q6" s="164" t="str">
        <f t="shared" ref="Q6:Q36" si="4">IFERROR(IF(E6&gt;0,D6/E6,""),"")</f>
        <v/>
      </c>
    </row>
    <row r="7" spans="1:17" ht="22" customHeight="1" x14ac:dyDescent="0.2">
      <c r="A7" s="159">
        <v>46236</v>
      </c>
      <c r="B7" s="160" t="s">
        <v>442</v>
      </c>
      <c r="C7" s="161"/>
      <c r="D7" s="161"/>
      <c r="E7" s="161"/>
      <c r="F7" s="161"/>
      <c r="G7" s="161"/>
      <c r="H7" s="161"/>
      <c r="I7" s="161"/>
      <c r="J7" s="161"/>
      <c r="K7" s="161"/>
      <c r="L7" s="162"/>
      <c r="M7" s="163" t="str">
        <f t="shared" si="0"/>
        <v/>
      </c>
      <c r="N7" s="163" t="str">
        <f t="shared" si="1"/>
        <v/>
      </c>
      <c r="O7" s="163" t="str">
        <f t="shared" si="2"/>
        <v/>
      </c>
      <c r="P7" s="163" t="str">
        <f t="shared" si="3"/>
        <v/>
      </c>
      <c r="Q7" s="164" t="str">
        <f t="shared" si="4"/>
        <v/>
      </c>
    </row>
    <row r="8" spans="1:17" ht="22" customHeight="1" x14ac:dyDescent="0.2">
      <c r="A8" s="165">
        <v>46237</v>
      </c>
      <c r="B8" s="166" t="s">
        <v>436</v>
      </c>
      <c r="C8" s="161"/>
      <c r="D8" s="161"/>
      <c r="E8" s="161"/>
      <c r="F8" s="161"/>
      <c r="G8" s="161"/>
      <c r="H8" s="161"/>
      <c r="I8" s="161"/>
      <c r="J8" s="161"/>
      <c r="K8" s="161"/>
      <c r="L8" s="162"/>
      <c r="M8" s="163" t="str">
        <f t="shared" si="0"/>
        <v/>
      </c>
      <c r="N8" s="163" t="str">
        <f t="shared" si="1"/>
        <v/>
      </c>
      <c r="O8" s="163" t="str">
        <f t="shared" si="2"/>
        <v/>
      </c>
      <c r="P8" s="163" t="str">
        <f t="shared" si="3"/>
        <v/>
      </c>
      <c r="Q8" s="164" t="str">
        <f t="shared" si="4"/>
        <v/>
      </c>
    </row>
    <row r="9" spans="1:17" ht="22" customHeight="1" x14ac:dyDescent="0.2">
      <c r="A9" s="165">
        <v>46238</v>
      </c>
      <c r="B9" s="166" t="s">
        <v>437</v>
      </c>
      <c r="C9" s="161"/>
      <c r="D9" s="161"/>
      <c r="E9" s="161"/>
      <c r="F9" s="161"/>
      <c r="G9" s="161"/>
      <c r="H9" s="161"/>
      <c r="I9" s="161"/>
      <c r="J9" s="161"/>
      <c r="K9" s="161"/>
      <c r="L9" s="162"/>
      <c r="M9" s="163" t="str">
        <f t="shared" si="0"/>
        <v/>
      </c>
      <c r="N9" s="163" t="str">
        <f t="shared" si="1"/>
        <v/>
      </c>
      <c r="O9" s="163" t="str">
        <f t="shared" si="2"/>
        <v/>
      </c>
      <c r="P9" s="163" t="str">
        <f t="shared" si="3"/>
        <v/>
      </c>
      <c r="Q9" s="164" t="str">
        <f t="shared" si="4"/>
        <v/>
      </c>
    </row>
    <row r="10" spans="1:17" ht="22" customHeight="1" x14ac:dyDescent="0.2">
      <c r="A10" s="165">
        <v>46239</v>
      </c>
      <c r="B10" s="166" t="s">
        <v>438</v>
      </c>
      <c r="C10" s="161"/>
      <c r="D10" s="161"/>
      <c r="E10" s="161"/>
      <c r="F10" s="161"/>
      <c r="G10" s="161"/>
      <c r="H10" s="161"/>
      <c r="I10" s="161"/>
      <c r="J10" s="161"/>
      <c r="K10" s="161"/>
      <c r="L10" s="162"/>
      <c r="M10" s="163" t="str">
        <f t="shared" si="0"/>
        <v/>
      </c>
      <c r="N10" s="163" t="str">
        <f t="shared" si="1"/>
        <v/>
      </c>
      <c r="O10" s="163" t="str">
        <f t="shared" si="2"/>
        <v/>
      </c>
      <c r="P10" s="163" t="str">
        <f t="shared" si="3"/>
        <v/>
      </c>
      <c r="Q10" s="164" t="str">
        <f t="shared" si="4"/>
        <v/>
      </c>
    </row>
    <row r="11" spans="1:17" ht="22" customHeight="1" x14ac:dyDescent="0.2">
      <c r="A11" s="165">
        <v>46240</v>
      </c>
      <c r="B11" s="166" t="s">
        <v>439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2"/>
      <c r="M11" s="163" t="str">
        <f t="shared" si="0"/>
        <v/>
      </c>
      <c r="N11" s="163" t="str">
        <f t="shared" si="1"/>
        <v/>
      </c>
      <c r="O11" s="163" t="str">
        <f t="shared" si="2"/>
        <v/>
      </c>
      <c r="P11" s="163" t="str">
        <f t="shared" si="3"/>
        <v/>
      </c>
      <c r="Q11" s="164" t="str">
        <f t="shared" si="4"/>
        <v/>
      </c>
    </row>
    <row r="12" spans="1:17" ht="22" customHeight="1" x14ac:dyDescent="0.2">
      <c r="A12" s="165">
        <v>46241</v>
      </c>
      <c r="B12" s="166" t="s">
        <v>440</v>
      </c>
      <c r="C12" s="161"/>
      <c r="D12" s="161"/>
      <c r="E12" s="161"/>
      <c r="F12" s="161"/>
      <c r="G12" s="161"/>
      <c r="H12" s="161"/>
      <c r="I12" s="161"/>
      <c r="J12" s="161"/>
      <c r="K12" s="161"/>
      <c r="L12" s="162"/>
      <c r="M12" s="163" t="str">
        <f t="shared" si="0"/>
        <v/>
      </c>
      <c r="N12" s="163" t="str">
        <f t="shared" si="1"/>
        <v/>
      </c>
      <c r="O12" s="163" t="str">
        <f t="shared" si="2"/>
        <v/>
      </c>
      <c r="P12" s="163" t="str">
        <f t="shared" si="3"/>
        <v/>
      </c>
      <c r="Q12" s="164" t="str">
        <f t="shared" si="4"/>
        <v/>
      </c>
    </row>
    <row r="13" spans="1:17" ht="22" customHeight="1" x14ac:dyDescent="0.2">
      <c r="A13" s="159">
        <v>46242</v>
      </c>
      <c r="B13" s="160" t="s">
        <v>441</v>
      </c>
      <c r="C13" s="161"/>
      <c r="D13" s="161"/>
      <c r="E13" s="161"/>
      <c r="F13" s="161"/>
      <c r="G13" s="161"/>
      <c r="H13" s="161"/>
      <c r="I13" s="161"/>
      <c r="J13" s="161"/>
      <c r="K13" s="161"/>
      <c r="L13" s="162"/>
      <c r="M13" s="163" t="str">
        <f t="shared" si="0"/>
        <v/>
      </c>
      <c r="N13" s="163" t="str">
        <f t="shared" si="1"/>
        <v/>
      </c>
      <c r="O13" s="163" t="str">
        <f t="shared" si="2"/>
        <v/>
      </c>
      <c r="P13" s="163" t="str">
        <f t="shared" si="3"/>
        <v/>
      </c>
      <c r="Q13" s="164" t="str">
        <f t="shared" si="4"/>
        <v/>
      </c>
    </row>
    <row r="14" spans="1:17" ht="22" customHeight="1" x14ac:dyDescent="0.2">
      <c r="A14" s="159">
        <v>46243</v>
      </c>
      <c r="B14" s="160" t="s">
        <v>442</v>
      </c>
      <c r="C14" s="161"/>
      <c r="D14" s="161"/>
      <c r="E14" s="161"/>
      <c r="F14" s="161"/>
      <c r="G14" s="161"/>
      <c r="H14" s="161"/>
      <c r="I14" s="161"/>
      <c r="J14" s="161"/>
      <c r="K14" s="161"/>
      <c r="L14" s="162"/>
      <c r="M14" s="163" t="str">
        <f t="shared" si="0"/>
        <v/>
      </c>
      <c r="N14" s="163" t="str">
        <f t="shared" si="1"/>
        <v/>
      </c>
      <c r="O14" s="163" t="str">
        <f t="shared" si="2"/>
        <v/>
      </c>
      <c r="P14" s="163" t="str">
        <f t="shared" si="3"/>
        <v/>
      </c>
      <c r="Q14" s="164" t="str">
        <f t="shared" si="4"/>
        <v/>
      </c>
    </row>
    <row r="15" spans="1:17" ht="22" customHeight="1" x14ac:dyDescent="0.2">
      <c r="A15" s="165">
        <v>46244</v>
      </c>
      <c r="B15" s="166" t="s">
        <v>436</v>
      </c>
      <c r="C15" s="161"/>
      <c r="D15" s="161"/>
      <c r="E15" s="161"/>
      <c r="F15" s="161"/>
      <c r="G15" s="161"/>
      <c r="H15" s="161"/>
      <c r="I15" s="161"/>
      <c r="J15" s="161"/>
      <c r="K15" s="161"/>
      <c r="L15" s="162"/>
      <c r="M15" s="163" t="str">
        <f t="shared" si="0"/>
        <v/>
      </c>
      <c r="N15" s="163" t="str">
        <f t="shared" si="1"/>
        <v/>
      </c>
      <c r="O15" s="163" t="str">
        <f t="shared" si="2"/>
        <v/>
      </c>
      <c r="P15" s="163" t="str">
        <f t="shared" si="3"/>
        <v/>
      </c>
      <c r="Q15" s="164" t="str">
        <f t="shared" si="4"/>
        <v/>
      </c>
    </row>
    <row r="16" spans="1:17" ht="22" customHeight="1" x14ac:dyDescent="0.2">
      <c r="A16" s="165">
        <v>46245</v>
      </c>
      <c r="B16" s="166" t="s">
        <v>437</v>
      </c>
      <c r="C16" s="161"/>
      <c r="D16" s="161"/>
      <c r="E16" s="161"/>
      <c r="F16" s="161"/>
      <c r="G16" s="161"/>
      <c r="H16" s="161"/>
      <c r="I16" s="161"/>
      <c r="J16" s="161"/>
      <c r="K16" s="161"/>
      <c r="L16" s="162"/>
      <c r="M16" s="163" t="str">
        <f t="shared" si="0"/>
        <v/>
      </c>
      <c r="N16" s="163" t="str">
        <f t="shared" si="1"/>
        <v/>
      </c>
      <c r="O16" s="163" t="str">
        <f t="shared" si="2"/>
        <v/>
      </c>
      <c r="P16" s="163" t="str">
        <f t="shared" si="3"/>
        <v/>
      </c>
      <c r="Q16" s="164" t="str">
        <f t="shared" si="4"/>
        <v/>
      </c>
    </row>
    <row r="17" spans="1:17" ht="22" customHeight="1" x14ac:dyDescent="0.2">
      <c r="A17" s="165">
        <v>46246</v>
      </c>
      <c r="B17" s="166" t="s">
        <v>438</v>
      </c>
      <c r="C17" s="161"/>
      <c r="D17" s="161"/>
      <c r="E17" s="161"/>
      <c r="F17" s="161"/>
      <c r="G17" s="161"/>
      <c r="H17" s="161"/>
      <c r="I17" s="161"/>
      <c r="J17" s="161"/>
      <c r="K17" s="161"/>
      <c r="L17" s="162"/>
      <c r="M17" s="163" t="str">
        <f t="shared" si="0"/>
        <v/>
      </c>
      <c r="N17" s="163" t="str">
        <f t="shared" si="1"/>
        <v/>
      </c>
      <c r="O17" s="163" t="str">
        <f t="shared" si="2"/>
        <v/>
      </c>
      <c r="P17" s="163" t="str">
        <f t="shared" si="3"/>
        <v/>
      </c>
      <c r="Q17" s="164" t="str">
        <f t="shared" si="4"/>
        <v/>
      </c>
    </row>
    <row r="18" spans="1:17" ht="22" customHeight="1" x14ac:dyDescent="0.2">
      <c r="A18" s="165">
        <v>46247</v>
      </c>
      <c r="B18" s="166" t="s">
        <v>439</v>
      </c>
      <c r="C18" s="161"/>
      <c r="D18" s="161"/>
      <c r="E18" s="161"/>
      <c r="F18" s="161"/>
      <c r="G18" s="161"/>
      <c r="H18" s="161"/>
      <c r="I18" s="161"/>
      <c r="J18" s="161"/>
      <c r="K18" s="161"/>
      <c r="L18" s="162"/>
      <c r="M18" s="163" t="str">
        <f t="shared" si="0"/>
        <v/>
      </c>
      <c r="N18" s="163" t="str">
        <f t="shared" si="1"/>
        <v/>
      </c>
      <c r="O18" s="163" t="str">
        <f t="shared" si="2"/>
        <v/>
      </c>
      <c r="P18" s="163" t="str">
        <f t="shared" si="3"/>
        <v/>
      </c>
      <c r="Q18" s="164" t="str">
        <f t="shared" si="4"/>
        <v/>
      </c>
    </row>
    <row r="19" spans="1:17" ht="22" customHeight="1" x14ac:dyDescent="0.2">
      <c r="A19" s="165">
        <v>46248</v>
      </c>
      <c r="B19" s="166" t="s">
        <v>440</v>
      </c>
      <c r="C19" s="161"/>
      <c r="D19" s="161"/>
      <c r="E19" s="161"/>
      <c r="F19" s="161"/>
      <c r="G19" s="161"/>
      <c r="H19" s="161"/>
      <c r="I19" s="161"/>
      <c r="J19" s="161"/>
      <c r="K19" s="161"/>
      <c r="L19" s="162"/>
      <c r="M19" s="163" t="str">
        <f t="shared" si="0"/>
        <v/>
      </c>
      <c r="N19" s="163" t="str">
        <f t="shared" si="1"/>
        <v/>
      </c>
      <c r="O19" s="163" t="str">
        <f t="shared" si="2"/>
        <v/>
      </c>
      <c r="P19" s="163" t="str">
        <f t="shared" si="3"/>
        <v/>
      </c>
      <c r="Q19" s="164" t="str">
        <f t="shared" si="4"/>
        <v/>
      </c>
    </row>
    <row r="20" spans="1:17" ht="22" customHeight="1" x14ac:dyDescent="0.2">
      <c r="A20" s="159">
        <v>46249</v>
      </c>
      <c r="B20" s="160" t="s">
        <v>441</v>
      </c>
      <c r="C20" s="161"/>
      <c r="D20" s="161"/>
      <c r="E20" s="161"/>
      <c r="F20" s="161"/>
      <c r="G20" s="161"/>
      <c r="H20" s="161"/>
      <c r="I20" s="161"/>
      <c r="J20" s="161"/>
      <c r="K20" s="161"/>
      <c r="L20" s="162"/>
      <c r="M20" s="163" t="str">
        <f t="shared" si="0"/>
        <v/>
      </c>
      <c r="N20" s="163" t="str">
        <f t="shared" si="1"/>
        <v/>
      </c>
      <c r="O20" s="163" t="str">
        <f t="shared" si="2"/>
        <v/>
      </c>
      <c r="P20" s="163" t="str">
        <f t="shared" si="3"/>
        <v/>
      </c>
      <c r="Q20" s="164" t="str">
        <f t="shared" si="4"/>
        <v/>
      </c>
    </row>
    <row r="21" spans="1:17" ht="22" customHeight="1" x14ac:dyDescent="0.2">
      <c r="A21" s="159">
        <v>46250</v>
      </c>
      <c r="B21" s="160" t="s">
        <v>442</v>
      </c>
      <c r="C21" s="161"/>
      <c r="D21" s="161"/>
      <c r="E21" s="161"/>
      <c r="F21" s="161"/>
      <c r="G21" s="161"/>
      <c r="H21" s="161"/>
      <c r="I21" s="161"/>
      <c r="J21" s="161"/>
      <c r="K21" s="161"/>
      <c r="L21" s="162"/>
      <c r="M21" s="163" t="str">
        <f t="shared" si="0"/>
        <v/>
      </c>
      <c r="N21" s="163" t="str">
        <f t="shared" si="1"/>
        <v/>
      </c>
      <c r="O21" s="163" t="str">
        <f t="shared" si="2"/>
        <v/>
      </c>
      <c r="P21" s="163" t="str">
        <f t="shared" si="3"/>
        <v/>
      </c>
      <c r="Q21" s="164" t="str">
        <f t="shared" si="4"/>
        <v/>
      </c>
    </row>
    <row r="22" spans="1:17" ht="22" customHeight="1" x14ac:dyDescent="0.2">
      <c r="A22" s="165">
        <v>46251</v>
      </c>
      <c r="B22" s="166" t="s">
        <v>436</v>
      </c>
      <c r="C22" s="161"/>
      <c r="D22" s="161"/>
      <c r="E22" s="161"/>
      <c r="F22" s="161"/>
      <c r="G22" s="161"/>
      <c r="H22" s="161"/>
      <c r="I22" s="161"/>
      <c r="J22" s="161"/>
      <c r="K22" s="161"/>
      <c r="L22" s="162"/>
      <c r="M22" s="163" t="str">
        <f t="shared" si="0"/>
        <v/>
      </c>
      <c r="N22" s="163" t="str">
        <f t="shared" si="1"/>
        <v/>
      </c>
      <c r="O22" s="163" t="str">
        <f t="shared" si="2"/>
        <v/>
      </c>
      <c r="P22" s="163" t="str">
        <f t="shared" si="3"/>
        <v/>
      </c>
      <c r="Q22" s="164" t="str">
        <f t="shared" si="4"/>
        <v/>
      </c>
    </row>
    <row r="23" spans="1:17" ht="22" customHeight="1" x14ac:dyDescent="0.2">
      <c r="A23" s="165">
        <v>46252</v>
      </c>
      <c r="B23" s="166" t="s">
        <v>437</v>
      </c>
      <c r="C23" s="161"/>
      <c r="D23" s="161"/>
      <c r="E23" s="161"/>
      <c r="F23" s="161"/>
      <c r="G23" s="161"/>
      <c r="H23" s="161"/>
      <c r="I23" s="161"/>
      <c r="J23" s="161"/>
      <c r="K23" s="161"/>
      <c r="L23" s="162"/>
      <c r="M23" s="163" t="str">
        <f t="shared" si="0"/>
        <v/>
      </c>
      <c r="N23" s="163" t="str">
        <f t="shared" si="1"/>
        <v/>
      </c>
      <c r="O23" s="163" t="str">
        <f t="shared" si="2"/>
        <v/>
      </c>
      <c r="P23" s="163" t="str">
        <f t="shared" si="3"/>
        <v/>
      </c>
      <c r="Q23" s="164" t="str">
        <f t="shared" si="4"/>
        <v/>
      </c>
    </row>
    <row r="24" spans="1:17" ht="22" customHeight="1" x14ac:dyDescent="0.2">
      <c r="A24" s="165">
        <v>46253</v>
      </c>
      <c r="B24" s="166" t="s">
        <v>438</v>
      </c>
      <c r="C24" s="161"/>
      <c r="D24" s="161"/>
      <c r="E24" s="161"/>
      <c r="F24" s="161"/>
      <c r="G24" s="161"/>
      <c r="H24" s="161"/>
      <c r="I24" s="161"/>
      <c r="J24" s="161"/>
      <c r="K24" s="161"/>
      <c r="L24" s="162"/>
      <c r="M24" s="163" t="str">
        <f t="shared" si="0"/>
        <v/>
      </c>
      <c r="N24" s="163" t="str">
        <f t="shared" si="1"/>
        <v/>
      </c>
      <c r="O24" s="163" t="str">
        <f t="shared" si="2"/>
        <v/>
      </c>
      <c r="P24" s="163" t="str">
        <f t="shared" si="3"/>
        <v/>
      </c>
      <c r="Q24" s="164" t="str">
        <f t="shared" si="4"/>
        <v/>
      </c>
    </row>
    <row r="25" spans="1:17" ht="22" customHeight="1" x14ac:dyDescent="0.2">
      <c r="A25" s="165">
        <v>46254</v>
      </c>
      <c r="B25" s="166" t="s">
        <v>439</v>
      </c>
      <c r="C25" s="161"/>
      <c r="D25" s="161"/>
      <c r="E25" s="161"/>
      <c r="F25" s="161"/>
      <c r="G25" s="161"/>
      <c r="H25" s="161"/>
      <c r="I25" s="161"/>
      <c r="J25" s="161"/>
      <c r="K25" s="161"/>
      <c r="L25" s="162"/>
      <c r="M25" s="163" t="str">
        <f t="shared" si="0"/>
        <v/>
      </c>
      <c r="N25" s="163" t="str">
        <f t="shared" si="1"/>
        <v/>
      </c>
      <c r="O25" s="163" t="str">
        <f t="shared" si="2"/>
        <v/>
      </c>
      <c r="P25" s="163" t="str">
        <f t="shared" si="3"/>
        <v/>
      </c>
      <c r="Q25" s="164" t="str">
        <f t="shared" si="4"/>
        <v/>
      </c>
    </row>
    <row r="26" spans="1:17" ht="22" customHeight="1" x14ac:dyDescent="0.2">
      <c r="A26" s="165">
        <v>46255</v>
      </c>
      <c r="B26" s="166" t="s">
        <v>440</v>
      </c>
      <c r="C26" s="161"/>
      <c r="D26" s="161"/>
      <c r="E26" s="161"/>
      <c r="F26" s="161"/>
      <c r="G26" s="161"/>
      <c r="H26" s="161"/>
      <c r="I26" s="161"/>
      <c r="J26" s="161"/>
      <c r="K26" s="161"/>
      <c r="L26" s="162"/>
      <c r="M26" s="163" t="str">
        <f t="shared" si="0"/>
        <v/>
      </c>
      <c r="N26" s="163" t="str">
        <f t="shared" si="1"/>
        <v/>
      </c>
      <c r="O26" s="163" t="str">
        <f t="shared" si="2"/>
        <v/>
      </c>
      <c r="P26" s="163" t="str">
        <f t="shared" si="3"/>
        <v/>
      </c>
      <c r="Q26" s="164" t="str">
        <f t="shared" si="4"/>
        <v/>
      </c>
    </row>
    <row r="27" spans="1:17" ht="22" customHeight="1" x14ac:dyDescent="0.2">
      <c r="A27" s="159">
        <v>46256</v>
      </c>
      <c r="B27" s="160" t="s">
        <v>441</v>
      </c>
      <c r="C27" s="161"/>
      <c r="D27" s="161"/>
      <c r="E27" s="161"/>
      <c r="F27" s="161"/>
      <c r="G27" s="161"/>
      <c r="H27" s="161"/>
      <c r="I27" s="161"/>
      <c r="J27" s="161"/>
      <c r="K27" s="161"/>
      <c r="L27" s="162"/>
      <c r="M27" s="163" t="str">
        <f t="shared" si="0"/>
        <v/>
      </c>
      <c r="N27" s="163" t="str">
        <f t="shared" si="1"/>
        <v/>
      </c>
      <c r="O27" s="163" t="str">
        <f t="shared" si="2"/>
        <v/>
      </c>
      <c r="P27" s="163" t="str">
        <f t="shared" si="3"/>
        <v/>
      </c>
      <c r="Q27" s="164" t="str">
        <f t="shared" si="4"/>
        <v/>
      </c>
    </row>
    <row r="28" spans="1:17" ht="22" customHeight="1" x14ac:dyDescent="0.2">
      <c r="A28" s="159">
        <v>46257</v>
      </c>
      <c r="B28" s="160" t="s">
        <v>442</v>
      </c>
      <c r="C28" s="161"/>
      <c r="D28" s="161"/>
      <c r="E28" s="161"/>
      <c r="F28" s="161"/>
      <c r="G28" s="161"/>
      <c r="H28" s="161"/>
      <c r="I28" s="161"/>
      <c r="J28" s="161"/>
      <c r="K28" s="161"/>
      <c r="L28" s="162"/>
      <c r="M28" s="163" t="str">
        <f t="shared" si="0"/>
        <v/>
      </c>
      <c r="N28" s="163" t="str">
        <f t="shared" si="1"/>
        <v/>
      </c>
      <c r="O28" s="163" t="str">
        <f t="shared" si="2"/>
        <v/>
      </c>
      <c r="P28" s="163" t="str">
        <f t="shared" si="3"/>
        <v/>
      </c>
      <c r="Q28" s="164" t="str">
        <f t="shared" si="4"/>
        <v/>
      </c>
    </row>
    <row r="29" spans="1:17" ht="22" customHeight="1" x14ac:dyDescent="0.2">
      <c r="A29" s="165">
        <v>46258</v>
      </c>
      <c r="B29" s="166" t="s">
        <v>436</v>
      </c>
      <c r="C29" s="161"/>
      <c r="D29" s="161"/>
      <c r="E29" s="161"/>
      <c r="F29" s="161"/>
      <c r="G29" s="161"/>
      <c r="H29" s="161"/>
      <c r="I29" s="161"/>
      <c r="J29" s="161"/>
      <c r="K29" s="161"/>
      <c r="L29" s="162"/>
      <c r="M29" s="163" t="str">
        <f t="shared" si="0"/>
        <v/>
      </c>
      <c r="N29" s="163" t="str">
        <f t="shared" si="1"/>
        <v/>
      </c>
      <c r="O29" s="163" t="str">
        <f t="shared" si="2"/>
        <v/>
      </c>
      <c r="P29" s="163" t="str">
        <f t="shared" si="3"/>
        <v/>
      </c>
      <c r="Q29" s="164" t="str">
        <f t="shared" si="4"/>
        <v/>
      </c>
    </row>
    <row r="30" spans="1:17" ht="22" customHeight="1" x14ac:dyDescent="0.2">
      <c r="A30" s="165">
        <v>46259</v>
      </c>
      <c r="B30" s="166" t="s">
        <v>437</v>
      </c>
      <c r="C30" s="161"/>
      <c r="D30" s="161"/>
      <c r="E30" s="161"/>
      <c r="F30" s="161"/>
      <c r="G30" s="161"/>
      <c r="H30" s="161"/>
      <c r="I30" s="161"/>
      <c r="J30" s="161"/>
      <c r="K30" s="161"/>
      <c r="L30" s="162"/>
      <c r="M30" s="163" t="str">
        <f t="shared" si="0"/>
        <v/>
      </c>
      <c r="N30" s="163" t="str">
        <f t="shared" si="1"/>
        <v/>
      </c>
      <c r="O30" s="163" t="str">
        <f t="shared" si="2"/>
        <v/>
      </c>
      <c r="P30" s="163" t="str">
        <f t="shared" si="3"/>
        <v/>
      </c>
      <c r="Q30" s="164" t="str">
        <f t="shared" si="4"/>
        <v/>
      </c>
    </row>
    <row r="31" spans="1:17" ht="22" customHeight="1" x14ac:dyDescent="0.2">
      <c r="A31" s="165">
        <v>46260</v>
      </c>
      <c r="B31" s="166" t="s">
        <v>438</v>
      </c>
      <c r="C31" s="161"/>
      <c r="D31" s="161"/>
      <c r="E31" s="161"/>
      <c r="F31" s="161"/>
      <c r="G31" s="161"/>
      <c r="H31" s="161"/>
      <c r="I31" s="161"/>
      <c r="J31" s="161"/>
      <c r="K31" s="161"/>
      <c r="L31" s="162"/>
      <c r="M31" s="163" t="str">
        <f t="shared" si="0"/>
        <v/>
      </c>
      <c r="N31" s="163" t="str">
        <f t="shared" si="1"/>
        <v/>
      </c>
      <c r="O31" s="163" t="str">
        <f t="shared" si="2"/>
        <v/>
      </c>
      <c r="P31" s="163" t="str">
        <f t="shared" si="3"/>
        <v/>
      </c>
      <c r="Q31" s="164" t="str">
        <f t="shared" si="4"/>
        <v/>
      </c>
    </row>
    <row r="32" spans="1:17" ht="22" customHeight="1" x14ac:dyDescent="0.2">
      <c r="A32" s="165">
        <v>46261</v>
      </c>
      <c r="B32" s="166" t="s">
        <v>439</v>
      </c>
      <c r="C32" s="161"/>
      <c r="D32" s="161"/>
      <c r="E32" s="161"/>
      <c r="F32" s="161"/>
      <c r="G32" s="161"/>
      <c r="H32" s="161"/>
      <c r="I32" s="161"/>
      <c r="J32" s="161"/>
      <c r="K32" s="161"/>
      <c r="L32" s="162"/>
      <c r="M32" s="163" t="str">
        <f t="shared" si="0"/>
        <v/>
      </c>
      <c r="N32" s="163" t="str">
        <f t="shared" si="1"/>
        <v/>
      </c>
      <c r="O32" s="163" t="str">
        <f t="shared" si="2"/>
        <v/>
      </c>
      <c r="P32" s="163" t="str">
        <f t="shared" si="3"/>
        <v/>
      </c>
      <c r="Q32" s="164" t="str">
        <f t="shared" si="4"/>
        <v/>
      </c>
    </row>
    <row r="33" spans="1:17" ht="22" customHeight="1" x14ac:dyDescent="0.2">
      <c r="A33" s="165">
        <v>46262</v>
      </c>
      <c r="B33" s="166" t="s">
        <v>440</v>
      </c>
      <c r="C33" s="161"/>
      <c r="D33" s="161"/>
      <c r="E33" s="161"/>
      <c r="F33" s="161"/>
      <c r="G33" s="161"/>
      <c r="H33" s="161"/>
      <c r="I33" s="161"/>
      <c r="J33" s="161"/>
      <c r="K33" s="161"/>
      <c r="L33" s="162"/>
      <c r="M33" s="163" t="str">
        <f t="shared" si="0"/>
        <v/>
      </c>
      <c r="N33" s="163" t="str">
        <f t="shared" si="1"/>
        <v/>
      </c>
      <c r="O33" s="163" t="str">
        <f t="shared" si="2"/>
        <v/>
      </c>
      <c r="P33" s="163" t="str">
        <f t="shared" si="3"/>
        <v/>
      </c>
      <c r="Q33" s="164" t="str">
        <f t="shared" si="4"/>
        <v/>
      </c>
    </row>
    <row r="34" spans="1:17" ht="22" customHeight="1" x14ac:dyDescent="0.2">
      <c r="A34" s="159">
        <v>46263</v>
      </c>
      <c r="B34" s="160" t="s">
        <v>441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2"/>
      <c r="M34" s="163" t="str">
        <f t="shared" si="0"/>
        <v/>
      </c>
      <c r="N34" s="163" t="str">
        <f t="shared" si="1"/>
        <v/>
      </c>
      <c r="O34" s="163" t="str">
        <f t="shared" si="2"/>
        <v/>
      </c>
      <c r="P34" s="163" t="str">
        <f t="shared" si="3"/>
        <v/>
      </c>
      <c r="Q34" s="164" t="str">
        <f t="shared" si="4"/>
        <v/>
      </c>
    </row>
    <row r="35" spans="1:17" ht="22" customHeight="1" x14ac:dyDescent="0.2">
      <c r="A35" s="159">
        <v>46264</v>
      </c>
      <c r="B35" s="160" t="s">
        <v>442</v>
      </c>
      <c r="C35" s="161"/>
      <c r="D35" s="161"/>
      <c r="E35" s="161"/>
      <c r="F35" s="161"/>
      <c r="G35" s="161"/>
      <c r="H35" s="161"/>
      <c r="I35" s="161"/>
      <c r="J35" s="161"/>
      <c r="K35" s="161"/>
      <c r="L35" s="162"/>
      <c r="M35" s="163" t="str">
        <f t="shared" si="0"/>
        <v/>
      </c>
      <c r="N35" s="163" t="str">
        <f t="shared" si="1"/>
        <v/>
      </c>
      <c r="O35" s="163" t="str">
        <f t="shared" si="2"/>
        <v/>
      </c>
      <c r="P35" s="163" t="str">
        <f t="shared" si="3"/>
        <v/>
      </c>
      <c r="Q35" s="164" t="str">
        <f t="shared" si="4"/>
        <v/>
      </c>
    </row>
    <row r="36" spans="1:17" ht="22" customHeight="1" x14ac:dyDescent="0.2">
      <c r="A36" s="165">
        <v>46265</v>
      </c>
      <c r="B36" s="166" t="s">
        <v>436</v>
      </c>
      <c r="C36" s="161"/>
      <c r="D36" s="161"/>
      <c r="E36" s="161"/>
      <c r="F36" s="161"/>
      <c r="G36" s="161"/>
      <c r="H36" s="161"/>
      <c r="I36" s="161"/>
      <c r="J36" s="161"/>
      <c r="K36" s="161"/>
      <c r="L36" s="162"/>
      <c r="M36" s="163" t="str">
        <f t="shared" si="0"/>
        <v/>
      </c>
      <c r="N36" s="163" t="str">
        <f t="shared" si="1"/>
        <v/>
      </c>
      <c r="O36" s="163" t="str">
        <f t="shared" si="2"/>
        <v/>
      </c>
      <c r="P36" s="163" t="str">
        <f t="shared" si="3"/>
        <v/>
      </c>
      <c r="Q36" s="164" t="str">
        <f t="shared" si="4"/>
        <v/>
      </c>
    </row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J23" sqref="J23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73" t="s">
        <v>452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72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167" t="s">
        <v>2</v>
      </c>
      <c r="B3" s="167" t="s">
        <v>3</v>
      </c>
      <c r="C3" s="167" t="s">
        <v>4</v>
      </c>
      <c r="D3" s="167" t="s">
        <v>5</v>
      </c>
      <c r="E3" s="167" t="s">
        <v>6</v>
      </c>
      <c r="F3" s="168" t="s">
        <v>7</v>
      </c>
      <c r="G3" s="168" t="s">
        <v>8</v>
      </c>
      <c r="H3" s="169" t="s">
        <v>9</v>
      </c>
      <c r="I3" s="170" t="s">
        <v>10</v>
      </c>
      <c r="J3" s="170" t="s">
        <v>11</v>
      </c>
      <c r="K3" s="170" t="s">
        <v>12</v>
      </c>
      <c r="L3" s="171" t="s">
        <v>13</v>
      </c>
    </row>
    <row r="4" spans="1:12" ht="24" customHeight="1" x14ac:dyDescent="0.2">
      <c r="A4" s="172" t="s">
        <v>14</v>
      </c>
      <c r="B4" s="173" t="s">
        <v>453</v>
      </c>
      <c r="C4" s="174">
        <f>IFERROR(SUM('📅 DAILY T8'!C6:C12),0)</f>
        <v>0</v>
      </c>
      <c r="D4" s="174">
        <f>IFERROR(SUM('📅 DAILY T8'!D6:D12),0)</f>
        <v>0</v>
      </c>
      <c r="E4" s="174" t="str">
        <f>IFERROR(SUM('📅 DAILY T8'!C6:C12)/SUM('📅 DAILY T8'!D6:D12),"")</f>
        <v/>
      </c>
      <c r="F4" s="175">
        <f>IFERROR(SUM('📅 DAILY T8'!F6:F12),0)</f>
        <v>0</v>
      </c>
      <c r="G4" s="176" t="str">
        <f>IFERROR(SUM('📅 DAILY T8'!C6:C12)/SUM('📅 DAILY T8'!F6:F12),"")</f>
        <v/>
      </c>
      <c r="H4" s="177">
        <f>IFERROR(SUM('📅 DAILY T8'!M6:M12),0)</f>
        <v>0</v>
      </c>
      <c r="I4" s="178">
        <f>IFERROR(SUM('📅 DAILY T8'!N6:N12),0)</f>
        <v>0</v>
      </c>
      <c r="J4" s="179">
        <f>IFERROR(SUM('📅 DAILY T8'!C6:C12)/1292244677,"")</f>
        <v>0</v>
      </c>
      <c r="K4" s="179">
        <f>IFERROR(SUM('📅 DAILY T8'!M6:M12)/730208327,"")</f>
        <v>0</v>
      </c>
      <c r="L4" s="180"/>
    </row>
    <row r="5" spans="1:12" ht="24" customHeight="1" x14ac:dyDescent="0.2">
      <c r="A5" s="181" t="s">
        <v>16</v>
      </c>
      <c r="B5" s="182" t="s">
        <v>454</v>
      </c>
      <c r="C5" s="174">
        <f>IFERROR(SUM('📅 DAILY T8'!C13:C19),0)</f>
        <v>0</v>
      </c>
      <c r="D5" s="174">
        <f>IFERROR(SUM('📅 DAILY T8'!D13:D19),0)</f>
        <v>0</v>
      </c>
      <c r="E5" s="174" t="str">
        <f>IFERROR(SUM('📅 DAILY T8'!C13:C19)/SUM('📅 DAILY T8'!D13:D19),"")</f>
        <v/>
      </c>
      <c r="F5" s="175">
        <f>IFERROR(SUM('📅 DAILY T8'!F13:F19),0)</f>
        <v>0</v>
      </c>
      <c r="G5" s="176" t="str">
        <f>IFERROR(SUM('📅 DAILY T8'!C13:C19)/SUM('📅 DAILY T8'!F13:F19),"")</f>
        <v/>
      </c>
      <c r="H5" s="177">
        <f>IFERROR(SUM('📅 DAILY T8'!M13:M19),0)</f>
        <v>0</v>
      </c>
      <c r="I5" s="178">
        <f>IFERROR(SUM('📅 DAILY T8'!N13:N19),0)</f>
        <v>0</v>
      </c>
      <c r="J5" s="179">
        <f>IFERROR(SUM('📅 DAILY T8'!C6:C19)/1292244677,"")</f>
        <v>0</v>
      </c>
      <c r="K5" s="179">
        <f>IFERROR(SUM('📅 DAILY T8'!M6:M19)/730208327,"")</f>
        <v>0</v>
      </c>
      <c r="L5" s="180"/>
    </row>
    <row r="6" spans="1:12" ht="24" customHeight="1" x14ac:dyDescent="0.2">
      <c r="A6" s="183" t="s">
        <v>18</v>
      </c>
      <c r="B6" s="184" t="s">
        <v>455</v>
      </c>
      <c r="C6" s="174">
        <f>IFERROR(SUM('📅 DAILY T8'!C20:C26),0)</f>
        <v>0</v>
      </c>
      <c r="D6" s="174">
        <f>IFERROR(SUM('📅 DAILY T8'!D20:D26),0)</f>
        <v>0</v>
      </c>
      <c r="E6" s="174" t="str">
        <f>IFERROR(SUM('📅 DAILY T8'!C20:C26)/SUM('📅 DAILY T8'!D20:D26),"")</f>
        <v/>
      </c>
      <c r="F6" s="175">
        <f>IFERROR(SUM('📅 DAILY T8'!F20:F26),0)</f>
        <v>0</v>
      </c>
      <c r="G6" s="176" t="str">
        <f>IFERROR(SUM('📅 DAILY T8'!C20:C26)/SUM('📅 DAILY T8'!F20:F26),"")</f>
        <v/>
      </c>
      <c r="H6" s="177">
        <f>IFERROR(SUM('📅 DAILY T8'!M20:M26),0)</f>
        <v>0</v>
      </c>
      <c r="I6" s="178">
        <f>IFERROR(SUM('📅 DAILY T8'!N20:N26),0)</f>
        <v>0</v>
      </c>
      <c r="J6" s="179">
        <f>IFERROR(SUM('📅 DAILY T8'!C6:C26)/1292244677,"")</f>
        <v>0</v>
      </c>
      <c r="K6" s="179">
        <f>IFERROR(SUM('📅 DAILY T8'!M6:M26)/730208327,"")</f>
        <v>0</v>
      </c>
      <c r="L6" s="180"/>
    </row>
    <row r="7" spans="1:12" ht="24" customHeight="1" x14ac:dyDescent="0.2">
      <c r="A7" s="185" t="s">
        <v>20</v>
      </c>
      <c r="B7" s="186" t="s">
        <v>456</v>
      </c>
      <c r="C7" s="174">
        <f>IFERROR(SUM('📅 DAILY T8'!C27:C33),0)</f>
        <v>0</v>
      </c>
      <c r="D7" s="174">
        <f>IFERROR(SUM('📅 DAILY T8'!D27:D33),0)</f>
        <v>0</v>
      </c>
      <c r="E7" s="174" t="str">
        <f>IFERROR(SUM('📅 DAILY T8'!C27:C33)/SUM('📅 DAILY T8'!D27:D33),"")</f>
        <v/>
      </c>
      <c r="F7" s="175">
        <f>IFERROR(SUM('📅 DAILY T8'!F27:F33),0)</f>
        <v>0</v>
      </c>
      <c r="G7" s="176" t="str">
        <f>IFERROR(SUM('📅 DAILY T8'!C27:C33)/SUM('📅 DAILY T8'!F27:F33),"")</f>
        <v/>
      </c>
      <c r="H7" s="177">
        <f>IFERROR(SUM('📅 DAILY T8'!M27:M33),0)</f>
        <v>0</v>
      </c>
      <c r="I7" s="178">
        <f>IFERROR(SUM('📅 DAILY T8'!N27:N33),0)</f>
        <v>0</v>
      </c>
      <c r="J7" s="179">
        <f>IFERROR(SUM('📅 DAILY T8'!C6:C33)/1292244677,"")</f>
        <v>0</v>
      </c>
      <c r="K7" s="179">
        <f>IFERROR(SUM('📅 DAILY T8'!M6:M33)/730208327,"")</f>
        <v>0</v>
      </c>
      <c r="L7" s="180"/>
    </row>
    <row r="8" spans="1:12" ht="24" customHeight="1" x14ac:dyDescent="0.2">
      <c r="A8" s="187" t="s">
        <v>22</v>
      </c>
      <c r="B8" s="188" t="s">
        <v>457</v>
      </c>
      <c r="C8" s="174">
        <f>IFERROR(SUM('📅 DAILY T8'!C34:C36),0)</f>
        <v>0</v>
      </c>
      <c r="D8" s="174">
        <f>IFERROR(SUM('📅 DAILY T8'!D34:D36),0)</f>
        <v>0</v>
      </c>
      <c r="E8" s="174" t="str">
        <f>IFERROR(SUM('📅 DAILY T8'!C34:C36)/SUM('📅 DAILY T8'!D34:D36),"")</f>
        <v/>
      </c>
      <c r="F8" s="175">
        <f>IFERROR(SUM('📅 DAILY T8'!F34:F36),0)</f>
        <v>0</v>
      </c>
      <c r="G8" s="176" t="str">
        <f>IFERROR(SUM('📅 DAILY T8'!C34:C36)/SUM('📅 DAILY T8'!F34:F36),"")</f>
        <v/>
      </c>
      <c r="H8" s="177">
        <f>IFERROR(SUM('📅 DAILY T8'!M34:M36),0)</f>
        <v>0</v>
      </c>
      <c r="I8" s="178">
        <f>IFERROR(SUM('📅 DAILY T8'!N34:N36),0)</f>
        <v>0</v>
      </c>
      <c r="J8" s="179">
        <f>IFERROR(SUM('📅 DAILY T8'!C6:C36)/1292244677,"")</f>
        <v>0</v>
      </c>
      <c r="K8" s="179">
        <f>IFERROR(SUM('📅 DAILY T8'!M6:M36)/730208327,"")</f>
        <v>0</v>
      </c>
      <c r="L8" s="180"/>
    </row>
    <row r="9" spans="1:12" ht="5" customHeight="1" x14ac:dyDescent="0.2">
      <c r="A9" s="189"/>
    </row>
    <row r="10" spans="1:12" ht="19" customHeight="1" x14ac:dyDescent="0.2">
      <c r="B10" s="189"/>
    </row>
    <row r="11" spans="1:12" ht="19" customHeight="1" x14ac:dyDescent="0.2">
      <c r="C11" s="189"/>
    </row>
    <row r="12" spans="1:12" ht="19" customHeight="1" x14ac:dyDescent="0.2">
      <c r="D12" s="189"/>
    </row>
    <row r="13" spans="1:12" ht="19" customHeight="1" x14ac:dyDescent="0.2">
      <c r="E13" s="189"/>
    </row>
    <row r="14" spans="1:12" ht="19" customHeight="1" x14ac:dyDescent="0.2">
      <c r="F14" s="189"/>
    </row>
    <row r="15" spans="1:12" ht="19" customHeight="1" x14ac:dyDescent="0.2">
      <c r="G15" s="189"/>
    </row>
    <row r="16" spans="1:12" ht="19" customHeight="1" x14ac:dyDescent="0.2">
      <c r="H16" s="189"/>
    </row>
    <row r="17" spans="1:12" ht="19" customHeight="1" x14ac:dyDescent="0.2">
      <c r="I17" s="189"/>
    </row>
    <row r="18" spans="1:12" ht="19" customHeight="1" x14ac:dyDescent="0.2">
      <c r="J18" s="189"/>
    </row>
    <row r="19" spans="1:12" ht="19" customHeight="1" x14ac:dyDescent="0.2">
      <c r="K19" s="189"/>
    </row>
    <row r="20" spans="1:12" ht="19" customHeight="1" x14ac:dyDescent="0.2">
      <c r="L20" s="189"/>
    </row>
    <row r="21" spans="1:12" ht="26" customHeight="1" x14ac:dyDescent="0.2">
      <c r="A21" s="190" t="s">
        <v>24</v>
      </c>
      <c r="B21" s="191" t="s">
        <v>458</v>
      </c>
      <c r="C21" s="192">
        <f>IFERROR(SUM('📅 DAILY T8'!C6:C36),0)</f>
        <v>0</v>
      </c>
      <c r="D21" s="192">
        <f>IFERROR(SUM('📅 DAILY T8'!D6:D36),0)</f>
        <v>0</v>
      </c>
      <c r="E21" s="192" t="str">
        <f>IFERROR(SUM('📅 DAILY T8'!C6:C36)/SUM('📅 DAILY T8'!D6:D36),"")</f>
        <v/>
      </c>
      <c r="F21" s="192">
        <f>IFERROR(SUM('📅 DAILY T8'!F6:F36),0)</f>
        <v>0</v>
      </c>
      <c r="G21" s="193" t="str">
        <f>IFERROR(SUM('📅 DAILY T8'!C6:C36)/SUM('📅 DAILY T8'!F6:F36),"")</f>
        <v/>
      </c>
      <c r="H21" s="192">
        <f>IFERROR(SUM('📅 DAILY T8'!M6:M36),0)</f>
        <v>0</v>
      </c>
      <c r="I21" s="192">
        <f>IFERROR(SUM('📅 DAILY T8'!N6:N36),0)</f>
        <v>0</v>
      </c>
      <c r="J21" s="194">
        <f>IFERROR(SUM('📅 DAILY T8'!C6:C36)/1292244677,"")</f>
        <v>0</v>
      </c>
      <c r="K21" s="194">
        <f>IFERROR(SUM('📅 DAILY T8'!M6:M36)/730208327,"")</f>
        <v>0</v>
      </c>
      <c r="L21" s="189"/>
    </row>
    <row r="22" spans="1:12" ht="19" customHeight="1" x14ac:dyDescent="0.2"/>
    <row r="23" spans="1:12" ht="22" customHeight="1" x14ac:dyDescent="0.2">
      <c r="A23" s="375" t="s">
        <v>26</v>
      </c>
      <c r="B23" s="323"/>
      <c r="C23" s="195">
        <v>1221751028</v>
      </c>
      <c r="D23" s="196"/>
      <c r="E23" s="196"/>
      <c r="F23" s="196"/>
      <c r="G23" s="196"/>
      <c r="H23" s="197">
        <v>655855776</v>
      </c>
      <c r="I23" s="198">
        <v>1877606804</v>
      </c>
      <c r="J23" s="196"/>
      <c r="K23" s="196"/>
      <c r="L23" s="196"/>
    </row>
    <row r="24" spans="1:12" ht="19" customHeight="1" x14ac:dyDescent="0.2"/>
    <row r="25" spans="1:12" ht="19" customHeight="1" x14ac:dyDescent="0.2">
      <c r="A25" s="374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T200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:P5"/>
    </sheetView>
  </sheetViews>
  <sheetFormatPr baseColWidth="10" defaultColWidth="14" defaultRowHeight="14" x14ac:dyDescent="0.2"/>
  <cols>
    <col min="1" max="1" width="15" style="270" customWidth="1"/>
    <col min="2" max="2" width="6" style="270" customWidth="1"/>
    <col min="3" max="3" width="19" style="270" customWidth="1"/>
    <col min="4" max="4" width="11" style="270" customWidth="1"/>
    <col min="5" max="5" width="15" style="270" customWidth="1"/>
    <col min="6" max="9" width="17" style="270" customWidth="1"/>
    <col min="10" max="10" width="12" style="270" customWidth="1"/>
    <col min="11" max="11" width="16" style="270" customWidth="1"/>
    <col min="12" max="12" width="27" style="270" customWidth="1"/>
    <col min="13" max="14" width="18" style="270" customWidth="1"/>
    <col min="15" max="16" width="15" style="270" customWidth="1"/>
    <col min="17" max="17" width="12" style="270" customWidth="1"/>
    <col min="18" max="20" width="11" style="270" customWidth="1"/>
  </cols>
  <sheetData>
    <row r="1" spans="1:17" ht="33" customHeight="1" x14ac:dyDescent="0.2">
      <c r="A1" s="376" t="s">
        <v>459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</row>
    <row r="2" spans="1:17" ht="22" customHeight="1" x14ac:dyDescent="0.2">
      <c r="A2" s="381" t="s">
        <v>414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</row>
    <row r="3" spans="1:17" ht="22" customHeight="1" x14ac:dyDescent="0.2">
      <c r="A3" s="383" t="s">
        <v>415</v>
      </c>
      <c r="B3" s="323"/>
      <c r="C3" s="382" t="s">
        <v>416</v>
      </c>
      <c r="D3" s="323"/>
      <c r="E3" s="377" t="s">
        <v>417</v>
      </c>
      <c r="F3" s="323"/>
      <c r="G3" s="379" t="s">
        <v>418</v>
      </c>
      <c r="H3" s="323"/>
      <c r="I3" s="323"/>
      <c r="J3" s="323"/>
      <c r="K3" s="199" t="s">
        <v>419</v>
      </c>
      <c r="L3" s="200" t="s">
        <v>420</v>
      </c>
      <c r="M3" s="378" t="s">
        <v>421</v>
      </c>
      <c r="N3" s="323"/>
      <c r="O3" s="378" t="s">
        <v>421</v>
      </c>
      <c r="P3" s="323"/>
      <c r="Q3" s="201" t="s">
        <v>422</v>
      </c>
    </row>
    <row r="4" spans="1:17" ht="36" customHeight="1" x14ac:dyDescent="0.2">
      <c r="A4" s="202" t="s">
        <v>3</v>
      </c>
      <c r="B4" s="202" t="s">
        <v>423</v>
      </c>
      <c r="C4" s="203" t="s">
        <v>4</v>
      </c>
      <c r="D4" s="203" t="s">
        <v>5</v>
      </c>
      <c r="E4" s="204" t="s">
        <v>424</v>
      </c>
      <c r="F4" s="204" t="s">
        <v>7</v>
      </c>
      <c r="G4" s="205" t="s">
        <v>425</v>
      </c>
      <c r="H4" s="205" t="s">
        <v>426</v>
      </c>
      <c r="I4" s="205" t="s">
        <v>427</v>
      </c>
      <c r="J4" s="205" t="s">
        <v>428</v>
      </c>
      <c r="K4" s="206" t="s">
        <v>429</v>
      </c>
      <c r="L4" s="207" t="s">
        <v>13</v>
      </c>
      <c r="M4" s="208" t="s">
        <v>430</v>
      </c>
      <c r="N4" s="208" t="s">
        <v>431</v>
      </c>
      <c r="O4" s="208" t="s">
        <v>432</v>
      </c>
      <c r="P4" s="208" t="s">
        <v>433</v>
      </c>
      <c r="Q4" s="208" t="s">
        <v>434</v>
      </c>
    </row>
    <row r="5" spans="1:17" ht="22" customHeight="1" x14ac:dyDescent="0.2">
      <c r="A5" s="380" t="s">
        <v>435</v>
      </c>
      <c r="B5" s="323"/>
      <c r="C5" s="209">
        <v>1009097583</v>
      </c>
      <c r="D5" s="210"/>
      <c r="E5" s="210"/>
      <c r="F5" s="210"/>
      <c r="G5" s="211">
        <v>285065587</v>
      </c>
      <c r="H5" s="211">
        <v>140539321</v>
      </c>
      <c r="I5" s="211">
        <v>116095049</v>
      </c>
      <c r="J5" s="210"/>
      <c r="K5" s="210"/>
      <c r="L5" s="210"/>
      <c r="M5" s="212">
        <v>541699957</v>
      </c>
      <c r="N5" s="212">
        <v>1550797540</v>
      </c>
      <c r="O5" s="213">
        <v>450000</v>
      </c>
      <c r="P5" s="213">
        <v>330000</v>
      </c>
      <c r="Q5" s="214"/>
    </row>
    <row r="6" spans="1:17" ht="22" customHeight="1" x14ac:dyDescent="0.2">
      <c r="A6" s="215">
        <v>46266</v>
      </c>
      <c r="B6" s="216" t="s">
        <v>437</v>
      </c>
      <c r="C6" s="217"/>
      <c r="D6" s="217"/>
      <c r="E6" s="217"/>
      <c r="F6" s="217"/>
      <c r="G6" s="217"/>
      <c r="H6" s="217"/>
      <c r="I6" s="217"/>
      <c r="J6" s="217"/>
      <c r="K6" s="217"/>
      <c r="L6" s="218"/>
      <c r="M6" s="219" t="str">
        <f t="shared" ref="M6:M35" si="0">IF(SUM(G6:I6)&gt;0,SUM(G6:I6),"")</f>
        <v/>
      </c>
      <c r="N6" s="219" t="str">
        <f t="shared" ref="N6:N35" si="1">IF(N(C6)+N(M6)&gt;0,N(C6)+N(M6),"")</f>
        <v/>
      </c>
      <c r="O6" s="219" t="str">
        <f t="shared" ref="O6:O35" si="2">IFERROR(IF(D6&gt;0,C6/D6,""),"")</f>
        <v/>
      </c>
      <c r="P6" s="219" t="str">
        <f t="shared" ref="P6:P35" si="3">IFERROR(IF(J6&gt;0,M6/J6,""),"")</f>
        <v/>
      </c>
      <c r="Q6" s="220" t="str">
        <f t="shared" ref="Q6:Q35" si="4">IFERROR(IF(E6&gt;0,D6/E6,""),"")</f>
        <v/>
      </c>
    </row>
    <row r="7" spans="1:17" ht="22" customHeight="1" x14ac:dyDescent="0.2">
      <c r="A7" s="215">
        <v>46267</v>
      </c>
      <c r="B7" s="216" t="s">
        <v>438</v>
      </c>
      <c r="C7" s="217"/>
      <c r="D7" s="217"/>
      <c r="E7" s="217"/>
      <c r="F7" s="217"/>
      <c r="G7" s="217"/>
      <c r="H7" s="217"/>
      <c r="I7" s="217"/>
      <c r="J7" s="217"/>
      <c r="K7" s="217"/>
      <c r="L7" s="218"/>
      <c r="M7" s="219" t="str">
        <f t="shared" si="0"/>
        <v/>
      </c>
      <c r="N7" s="219" t="str">
        <f t="shared" si="1"/>
        <v/>
      </c>
      <c r="O7" s="219" t="str">
        <f t="shared" si="2"/>
        <v/>
      </c>
      <c r="P7" s="219" t="str">
        <f t="shared" si="3"/>
        <v/>
      </c>
      <c r="Q7" s="220" t="str">
        <f t="shared" si="4"/>
        <v/>
      </c>
    </row>
    <row r="8" spans="1:17" ht="22" customHeight="1" x14ac:dyDescent="0.2">
      <c r="A8" s="215">
        <v>46268</v>
      </c>
      <c r="B8" s="216" t="s">
        <v>439</v>
      </c>
      <c r="C8" s="217"/>
      <c r="D8" s="217"/>
      <c r="E8" s="217"/>
      <c r="F8" s="217"/>
      <c r="G8" s="217"/>
      <c r="H8" s="217"/>
      <c r="I8" s="217"/>
      <c r="J8" s="217"/>
      <c r="K8" s="217"/>
      <c r="L8" s="218"/>
      <c r="M8" s="219" t="str">
        <f t="shared" si="0"/>
        <v/>
      </c>
      <c r="N8" s="219" t="str">
        <f t="shared" si="1"/>
        <v/>
      </c>
      <c r="O8" s="219" t="str">
        <f t="shared" si="2"/>
        <v/>
      </c>
      <c r="P8" s="219" t="str">
        <f t="shared" si="3"/>
        <v/>
      </c>
      <c r="Q8" s="220" t="str">
        <f t="shared" si="4"/>
        <v/>
      </c>
    </row>
    <row r="9" spans="1:17" ht="22" customHeight="1" x14ac:dyDescent="0.2">
      <c r="A9" s="215">
        <v>46269</v>
      </c>
      <c r="B9" s="216" t="s">
        <v>440</v>
      </c>
      <c r="C9" s="217"/>
      <c r="D9" s="217"/>
      <c r="E9" s="217"/>
      <c r="F9" s="217"/>
      <c r="G9" s="217"/>
      <c r="H9" s="217"/>
      <c r="I9" s="217"/>
      <c r="J9" s="217"/>
      <c r="K9" s="217"/>
      <c r="L9" s="218"/>
      <c r="M9" s="219" t="str">
        <f t="shared" si="0"/>
        <v/>
      </c>
      <c r="N9" s="219" t="str">
        <f t="shared" si="1"/>
        <v/>
      </c>
      <c r="O9" s="219" t="str">
        <f t="shared" si="2"/>
        <v/>
      </c>
      <c r="P9" s="219" t="str">
        <f t="shared" si="3"/>
        <v/>
      </c>
      <c r="Q9" s="220" t="str">
        <f t="shared" si="4"/>
        <v/>
      </c>
    </row>
    <row r="10" spans="1:17" ht="22" customHeight="1" x14ac:dyDescent="0.2">
      <c r="A10" s="221">
        <v>46270</v>
      </c>
      <c r="B10" s="222" t="s">
        <v>441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18"/>
      <c r="M10" s="219" t="str">
        <f t="shared" si="0"/>
        <v/>
      </c>
      <c r="N10" s="219" t="str">
        <f t="shared" si="1"/>
        <v/>
      </c>
      <c r="O10" s="219" t="str">
        <f t="shared" si="2"/>
        <v/>
      </c>
      <c r="P10" s="219" t="str">
        <f t="shared" si="3"/>
        <v/>
      </c>
      <c r="Q10" s="220" t="str">
        <f t="shared" si="4"/>
        <v/>
      </c>
    </row>
    <row r="11" spans="1:17" ht="22" customHeight="1" x14ac:dyDescent="0.2">
      <c r="A11" s="221">
        <v>46271</v>
      </c>
      <c r="B11" s="222" t="s">
        <v>442</v>
      </c>
      <c r="C11" s="217"/>
      <c r="D11" s="217"/>
      <c r="E11" s="217"/>
      <c r="F11" s="217"/>
      <c r="G11" s="217"/>
      <c r="H11" s="217"/>
      <c r="I11" s="217"/>
      <c r="J11" s="217"/>
      <c r="K11" s="217"/>
      <c r="L11" s="218"/>
      <c r="M11" s="219" t="str">
        <f t="shared" si="0"/>
        <v/>
      </c>
      <c r="N11" s="219" t="str">
        <f t="shared" si="1"/>
        <v/>
      </c>
      <c r="O11" s="219" t="str">
        <f t="shared" si="2"/>
        <v/>
      </c>
      <c r="P11" s="219" t="str">
        <f t="shared" si="3"/>
        <v/>
      </c>
      <c r="Q11" s="220" t="str">
        <f t="shared" si="4"/>
        <v/>
      </c>
    </row>
    <row r="12" spans="1:17" ht="22" customHeight="1" x14ac:dyDescent="0.2">
      <c r="A12" s="215">
        <v>46272</v>
      </c>
      <c r="B12" s="216" t="s">
        <v>436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8"/>
      <c r="M12" s="219" t="str">
        <f t="shared" si="0"/>
        <v/>
      </c>
      <c r="N12" s="219" t="str">
        <f t="shared" si="1"/>
        <v/>
      </c>
      <c r="O12" s="219" t="str">
        <f t="shared" si="2"/>
        <v/>
      </c>
      <c r="P12" s="219" t="str">
        <f t="shared" si="3"/>
        <v/>
      </c>
      <c r="Q12" s="220" t="str">
        <f t="shared" si="4"/>
        <v/>
      </c>
    </row>
    <row r="13" spans="1:17" ht="22" customHeight="1" x14ac:dyDescent="0.2">
      <c r="A13" s="215">
        <v>46273</v>
      </c>
      <c r="B13" s="216" t="s">
        <v>437</v>
      </c>
      <c r="C13" s="217"/>
      <c r="D13" s="217"/>
      <c r="E13" s="217"/>
      <c r="F13" s="217"/>
      <c r="G13" s="217"/>
      <c r="H13" s="217"/>
      <c r="I13" s="217"/>
      <c r="J13" s="217"/>
      <c r="K13" s="217"/>
      <c r="L13" s="218"/>
      <c r="M13" s="219" t="str">
        <f t="shared" si="0"/>
        <v/>
      </c>
      <c r="N13" s="219" t="str">
        <f t="shared" si="1"/>
        <v/>
      </c>
      <c r="O13" s="219" t="str">
        <f t="shared" si="2"/>
        <v/>
      </c>
      <c r="P13" s="219" t="str">
        <f t="shared" si="3"/>
        <v/>
      </c>
      <c r="Q13" s="220" t="str">
        <f t="shared" si="4"/>
        <v/>
      </c>
    </row>
    <row r="14" spans="1:17" ht="22" customHeight="1" x14ac:dyDescent="0.2">
      <c r="A14" s="215">
        <v>46274</v>
      </c>
      <c r="B14" s="216" t="s">
        <v>438</v>
      </c>
      <c r="C14" s="217"/>
      <c r="D14" s="217"/>
      <c r="E14" s="217"/>
      <c r="F14" s="217"/>
      <c r="G14" s="217"/>
      <c r="H14" s="217"/>
      <c r="I14" s="217"/>
      <c r="J14" s="217"/>
      <c r="K14" s="217"/>
      <c r="L14" s="218"/>
      <c r="M14" s="219" t="str">
        <f t="shared" si="0"/>
        <v/>
      </c>
      <c r="N14" s="219" t="str">
        <f t="shared" si="1"/>
        <v/>
      </c>
      <c r="O14" s="219" t="str">
        <f t="shared" si="2"/>
        <v/>
      </c>
      <c r="P14" s="219" t="str">
        <f t="shared" si="3"/>
        <v/>
      </c>
      <c r="Q14" s="220" t="str">
        <f t="shared" si="4"/>
        <v/>
      </c>
    </row>
    <row r="15" spans="1:17" ht="22" customHeight="1" x14ac:dyDescent="0.2">
      <c r="A15" s="215">
        <v>46275</v>
      </c>
      <c r="B15" s="216" t="s">
        <v>439</v>
      </c>
      <c r="C15" s="217"/>
      <c r="D15" s="217"/>
      <c r="E15" s="217"/>
      <c r="F15" s="217"/>
      <c r="G15" s="217"/>
      <c r="H15" s="217"/>
      <c r="I15" s="217"/>
      <c r="J15" s="217"/>
      <c r="K15" s="217"/>
      <c r="L15" s="218"/>
      <c r="M15" s="219" t="str">
        <f t="shared" si="0"/>
        <v/>
      </c>
      <c r="N15" s="219" t="str">
        <f t="shared" si="1"/>
        <v/>
      </c>
      <c r="O15" s="219" t="str">
        <f t="shared" si="2"/>
        <v/>
      </c>
      <c r="P15" s="219" t="str">
        <f t="shared" si="3"/>
        <v/>
      </c>
      <c r="Q15" s="220" t="str">
        <f t="shared" si="4"/>
        <v/>
      </c>
    </row>
    <row r="16" spans="1:17" ht="22" customHeight="1" x14ac:dyDescent="0.2">
      <c r="A16" s="215">
        <v>46276</v>
      </c>
      <c r="B16" s="216" t="s">
        <v>440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8"/>
      <c r="M16" s="219" t="str">
        <f t="shared" si="0"/>
        <v/>
      </c>
      <c r="N16" s="219" t="str">
        <f t="shared" si="1"/>
        <v/>
      </c>
      <c r="O16" s="219" t="str">
        <f t="shared" si="2"/>
        <v/>
      </c>
      <c r="P16" s="219" t="str">
        <f t="shared" si="3"/>
        <v/>
      </c>
      <c r="Q16" s="220" t="str">
        <f t="shared" si="4"/>
        <v/>
      </c>
    </row>
    <row r="17" spans="1:17" ht="22" customHeight="1" x14ac:dyDescent="0.2">
      <c r="A17" s="221">
        <v>46277</v>
      </c>
      <c r="B17" s="222" t="s">
        <v>441</v>
      </c>
      <c r="C17" s="217"/>
      <c r="D17" s="217"/>
      <c r="E17" s="217"/>
      <c r="F17" s="217"/>
      <c r="G17" s="217"/>
      <c r="H17" s="217"/>
      <c r="I17" s="217"/>
      <c r="J17" s="217"/>
      <c r="K17" s="217"/>
      <c r="L17" s="218"/>
      <c r="M17" s="219" t="str">
        <f t="shared" si="0"/>
        <v/>
      </c>
      <c r="N17" s="219" t="str">
        <f t="shared" si="1"/>
        <v/>
      </c>
      <c r="O17" s="219" t="str">
        <f t="shared" si="2"/>
        <v/>
      </c>
      <c r="P17" s="219" t="str">
        <f t="shared" si="3"/>
        <v/>
      </c>
      <c r="Q17" s="220" t="str">
        <f t="shared" si="4"/>
        <v/>
      </c>
    </row>
    <row r="18" spans="1:17" ht="22" customHeight="1" x14ac:dyDescent="0.2">
      <c r="A18" s="221">
        <v>46278</v>
      </c>
      <c r="B18" s="222" t="s">
        <v>442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8"/>
      <c r="M18" s="219" t="str">
        <f t="shared" si="0"/>
        <v/>
      </c>
      <c r="N18" s="219" t="str">
        <f t="shared" si="1"/>
        <v/>
      </c>
      <c r="O18" s="219" t="str">
        <f t="shared" si="2"/>
        <v/>
      </c>
      <c r="P18" s="219" t="str">
        <f t="shared" si="3"/>
        <v/>
      </c>
      <c r="Q18" s="220" t="str">
        <f t="shared" si="4"/>
        <v/>
      </c>
    </row>
    <row r="19" spans="1:17" ht="22" customHeight="1" x14ac:dyDescent="0.2">
      <c r="A19" s="215">
        <v>46279</v>
      </c>
      <c r="B19" s="216" t="s">
        <v>436</v>
      </c>
      <c r="C19" s="217"/>
      <c r="D19" s="217"/>
      <c r="E19" s="217"/>
      <c r="F19" s="217"/>
      <c r="G19" s="217"/>
      <c r="H19" s="217"/>
      <c r="I19" s="217"/>
      <c r="J19" s="217"/>
      <c r="K19" s="217"/>
      <c r="L19" s="218"/>
      <c r="M19" s="219" t="str">
        <f t="shared" si="0"/>
        <v/>
      </c>
      <c r="N19" s="219" t="str">
        <f t="shared" si="1"/>
        <v/>
      </c>
      <c r="O19" s="219" t="str">
        <f t="shared" si="2"/>
        <v/>
      </c>
      <c r="P19" s="219" t="str">
        <f t="shared" si="3"/>
        <v/>
      </c>
      <c r="Q19" s="220" t="str">
        <f t="shared" si="4"/>
        <v/>
      </c>
    </row>
    <row r="20" spans="1:17" ht="22" customHeight="1" x14ac:dyDescent="0.2">
      <c r="A20" s="215">
        <v>46280</v>
      </c>
      <c r="B20" s="216" t="s">
        <v>437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8"/>
      <c r="M20" s="219" t="str">
        <f t="shared" si="0"/>
        <v/>
      </c>
      <c r="N20" s="219" t="str">
        <f t="shared" si="1"/>
        <v/>
      </c>
      <c r="O20" s="219" t="str">
        <f t="shared" si="2"/>
        <v/>
      </c>
      <c r="P20" s="219" t="str">
        <f t="shared" si="3"/>
        <v/>
      </c>
      <c r="Q20" s="220" t="str">
        <f t="shared" si="4"/>
        <v/>
      </c>
    </row>
    <row r="21" spans="1:17" ht="22" customHeight="1" x14ac:dyDescent="0.2">
      <c r="A21" s="215">
        <v>46281</v>
      </c>
      <c r="B21" s="216" t="s">
        <v>438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18"/>
      <c r="M21" s="219" t="str">
        <f t="shared" si="0"/>
        <v/>
      </c>
      <c r="N21" s="219" t="str">
        <f t="shared" si="1"/>
        <v/>
      </c>
      <c r="O21" s="219" t="str">
        <f t="shared" si="2"/>
        <v/>
      </c>
      <c r="P21" s="219" t="str">
        <f t="shared" si="3"/>
        <v/>
      </c>
      <c r="Q21" s="220" t="str">
        <f t="shared" si="4"/>
        <v/>
      </c>
    </row>
    <row r="22" spans="1:17" ht="22" customHeight="1" x14ac:dyDescent="0.2">
      <c r="A22" s="215">
        <v>46282</v>
      </c>
      <c r="B22" s="216" t="s">
        <v>439</v>
      </c>
      <c r="C22" s="217"/>
      <c r="D22" s="217"/>
      <c r="E22" s="217"/>
      <c r="F22" s="217"/>
      <c r="G22" s="217"/>
      <c r="H22" s="217"/>
      <c r="I22" s="217"/>
      <c r="J22" s="217"/>
      <c r="K22" s="217"/>
      <c r="L22" s="218"/>
      <c r="M22" s="219" t="str">
        <f t="shared" si="0"/>
        <v/>
      </c>
      <c r="N22" s="219" t="str">
        <f t="shared" si="1"/>
        <v/>
      </c>
      <c r="O22" s="219" t="str">
        <f t="shared" si="2"/>
        <v/>
      </c>
      <c r="P22" s="219" t="str">
        <f t="shared" si="3"/>
        <v/>
      </c>
      <c r="Q22" s="220" t="str">
        <f t="shared" si="4"/>
        <v/>
      </c>
    </row>
    <row r="23" spans="1:17" ht="22" customHeight="1" x14ac:dyDescent="0.2">
      <c r="A23" s="215">
        <v>46283</v>
      </c>
      <c r="B23" s="216" t="s">
        <v>440</v>
      </c>
      <c r="C23" s="217"/>
      <c r="D23" s="217"/>
      <c r="E23" s="217"/>
      <c r="F23" s="217"/>
      <c r="G23" s="217"/>
      <c r="H23" s="217"/>
      <c r="I23" s="217"/>
      <c r="J23" s="217"/>
      <c r="K23" s="217"/>
      <c r="L23" s="218"/>
      <c r="M23" s="219" t="str">
        <f t="shared" si="0"/>
        <v/>
      </c>
      <c r="N23" s="219" t="str">
        <f t="shared" si="1"/>
        <v/>
      </c>
      <c r="O23" s="219" t="str">
        <f t="shared" si="2"/>
        <v/>
      </c>
      <c r="P23" s="219" t="str">
        <f t="shared" si="3"/>
        <v/>
      </c>
      <c r="Q23" s="220" t="str">
        <f t="shared" si="4"/>
        <v/>
      </c>
    </row>
    <row r="24" spans="1:17" ht="22" customHeight="1" x14ac:dyDescent="0.2">
      <c r="A24" s="221">
        <v>46284</v>
      </c>
      <c r="B24" s="222" t="s">
        <v>441</v>
      </c>
      <c r="C24" s="217"/>
      <c r="D24" s="217"/>
      <c r="E24" s="217"/>
      <c r="F24" s="217"/>
      <c r="G24" s="217"/>
      <c r="H24" s="217"/>
      <c r="I24" s="217"/>
      <c r="J24" s="217"/>
      <c r="K24" s="217"/>
      <c r="L24" s="218"/>
      <c r="M24" s="219" t="str">
        <f t="shared" si="0"/>
        <v/>
      </c>
      <c r="N24" s="219" t="str">
        <f t="shared" si="1"/>
        <v/>
      </c>
      <c r="O24" s="219" t="str">
        <f t="shared" si="2"/>
        <v/>
      </c>
      <c r="P24" s="219" t="str">
        <f t="shared" si="3"/>
        <v/>
      </c>
      <c r="Q24" s="220" t="str">
        <f t="shared" si="4"/>
        <v/>
      </c>
    </row>
    <row r="25" spans="1:17" ht="22" customHeight="1" x14ac:dyDescent="0.2">
      <c r="A25" s="221">
        <v>46285</v>
      </c>
      <c r="B25" s="222" t="s">
        <v>442</v>
      </c>
      <c r="C25" s="217"/>
      <c r="D25" s="217"/>
      <c r="E25" s="217"/>
      <c r="F25" s="217"/>
      <c r="G25" s="217"/>
      <c r="H25" s="217"/>
      <c r="I25" s="217"/>
      <c r="J25" s="217"/>
      <c r="K25" s="217"/>
      <c r="L25" s="218"/>
      <c r="M25" s="219" t="str">
        <f t="shared" si="0"/>
        <v/>
      </c>
      <c r="N25" s="219" t="str">
        <f t="shared" si="1"/>
        <v/>
      </c>
      <c r="O25" s="219" t="str">
        <f t="shared" si="2"/>
        <v/>
      </c>
      <c r="P25" s="219" t="str">
        <f t="shared" si="3"/>
        <v/>
      </c>
      <c r="Q25" s="220" t="str">
        <f t="shared" si="4"/>
        <v/>
      </c>
    </row>
    <row r="26" spans="1:17" ht="22" customHeight="1" x14ac:dyDescent="0.2">
      <c r="A26" s="215">
        <v>46286</v>
      </c>
      <c r="B26" s="216" t="s">
        <v>436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18"/>
      <c r="M26" s="219" t="str">
        <f t="shared" si="0"/>
        <v/>
      </c>
      <c r="N26" s="219" t="str">
        <f t="shared" si="1"/>
        <v/>
      </c>
      <c r="O26" s="219" t="str">
        <f t="shared" si="2"/>
        <v/>
      </c>
      <c r="P26" s="219" t="str">
        <f t="shared" si="3"/>
        <v/>
      </c>
      <c r="Q26" s="220" t="str">
        <f t="shared" si="4"/>
        <v/>
      </c>
    </row>
    <row r="27" spans="1:17" ht="22" customHeight="1" x14ac:dyDescent="0.2">
      <c r="A27" s="215">
        <v>46287</v>
      </c>
      <c r="B27" s="216" t="s">
        <v>437</v>
      </c>
      <c r="C27" s="217"/>
      <c r="D27" s="217"/>
      <c r="E27" s="217"/>
      <c r="F27" s="217"/>
      <c r="G27" s="217"/>
      <c r="H27" s="217"/>
      <c r="I27" s="217"/>
      <c r="J27" s="217"/>
      <c r="K27" s="217"/>
      <c r="L27" s="218"/>
      <c r="M27" s="219" t="str">
        <f t="shared" si="0"/>
        <v/>
      </c>
      <c r="N27" s="219" t="str">
        <f t="shared" si="1"/>
        <v/>
      </c>
      <c r="O27" s="219" t="str">
        <f t="shared" si="2"/>
        <v/>
      </c>
      <c r="P27" s="219" t="str">
        <f t="shared" si="3"/>
        <v/>
      </c>
      <c r="Q27" s="220" t="str">
        <f t="shared" si="4"/>
        <v/>
      </c>
    </row>
    <row r="28" spans="1:17" ht="22" customHeight="1" x14ac:dyDescent="0.2">
      <c r="A28" s="215">
        <v>46288</v>
      </c>
      <c r="B28" s="216" t="s">
        <v>438</v>
      </c>
      <c r="C28" s="217"/>
      <c r="D28" s="217"/>
      <c r="E28" s="217"/>
      <c r="F28" s="217"/>
      <c r="G28" s="217"/>
      <c r="H28" s="217"/>
      <c r="I28" s="217"/>
      <c r="J28" s="217"/>
      <c r="K28" s="217"/>
      <c r="L28" s="218"/>
      <c r="M28" s="219" t="str">
        <f t="shared" si="0"/>
        <v/>
      </c>
      <c r="N28" s="219" t="str">
        <f t="shared" si="1"/>
        <v/>
      </c>
      <c r="O28" s="219" t="str">
        <f t="shared" si="2"/>
        <v/>
      </c>
      <c r="P28" s="219" t="str">
        <f t="shared" si="3"/>
        <v/>
      </c>
      <c r="Q28" s="220" t="str">
        <f t="shared" si="4"/>
        <v/>
      </c>
    </row>
    <row r="29" spans="1:17" ht="22" customHeight="1" x14ac:dyDescent="0.2">
      <c r="A29" s="215">
        <v>46289</v>
      </c>
      <c r="B29" s="216" t="s">
        <v>439</v>
      </c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M29" s="219" t="str">
        <f t="shared" si="0"/>
        <v/>
      </c>
      <c r="N29" s="219" t="str">
        <f t="shared" si="1"/>
        <v/>
      </c>
      <c r="O29" s="219" t="str">
        <f t="shared" si="2"/>
        <v/>
      </c>
      <c r="P29" s="219" t="str">
        <f t="shared" si="3"/>
        <v/>
      </c>
      <c r="Q29" s="220" t="str">
        <f t="shared" si="4"/>
        <v/>
      </c>
    </row>
    <row r="30" spans="1:17" ht="22" customHeight="1" x14ac:dyDescent="0.2">
      <c r="A30" s="215">
        <v>46290</v>
      </c>
      <c r="B30" s="216" t="s">
        <v>440</v>
      </c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M30" s="219" t="str">
        <f t="shared" si="0"/>
        <v/>
      </c>
      <c r="N30" s="219" t="str">
        <f t="shared" si="1"/>
        <v/>
      </c>
      <c r="O30" s="219" t="str">
        <f t="shared" si="2"/>
        <v/>
      </c>
      <c r="P30" s="219" t="str">
        <f t="shared" si="3"/>
        <v/>
      </c>
      <c r="Q30" s="220" t="str">
        <f t="shared" si="4"/>
        <v/>
      </c>
    </row>
    <row r="31" spans="1:17" ht="22" customHeight="1" x14ac:dyDescent="0.2">
      <c r="A31" s="221">
        <v>46291</v>
      </c>
      <c r="B31" s="222" t="s">
        <v>441</v>
      </c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19" t="str">
        <f t="shared" si="0"/>
        <v/>
      </c>
      <c r="N31" s="219" t="str">
        <f t="shared" si="1"/>
        <v/>
      </c>
      <c r="O31" s="219" t="str">
        <f t="shared" si="2"/>
        <v/>
      </c>
      <c r="P31" s="219" t="str">
        <f t="shared" si="3"/>
        <v/>
      </c>
      <c r="Q31" s="220" t="str">
        <f t="shared" si="4"/>
        <v/>
      </c>
    </row>
    <row r="32" spans="1:17" ht="22" customHeight="1" x14ac:dyDescent="0.2">
      <c r="A32" s="221">
        <v>46292</v>
      </c>
      <c r="B32" s="222" t="s">
        <v>442</v>
      </c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19" t="str">
        <f t="shared" si="0"/>
        <v/>
      </c>
      <c r="N32" s="219" t="str">
        <f t="shared" si="1"/>
        <v/>
      </c>
      <c r="O32" s="219" t="str">
        <f t="shared" si="2"/>
        <v/>
      </c>
      <c r="P32" s="219" t="str">
        <f t="shared" si="3"/>
        <v/>
      </c>
      <c r="Q32" s="220" t="str">
        <f t="shared" si="4"/>
        <v/>
      </c>
    </row>
    <row r="33" spans="1:17" ht="22" customHeight="1" x14ac:dyDescent="0.2">
      <c r="A33" s="215">
        <v>46293</v>
      </c>
      <c r="B33" s="216" t="s">
        <v>436</v>
      </c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19" t="str">
        <f t="shared" si="0"/>
        <v/>
      </c>
      <c r="N33" s="219" t="str">
        <f t="shared" si="1"/>
        <v/>
      </c>
      <c r="O33" s="219" t="str">
        <f t="shared" si="2"/>
        <v/>
      </c>
      <c r="P33" s="219" t="str">
        <f t="shared" si="3"/>
        <v/>
      </c>
      <c r="Q33" s="220" t="str">
        <f t="shared" si="4"/>
        <v/>
      </c>
    </row>
    <row r="34" spans="1:17" ht="22" customHeight="1" x14ac:dyDescent="0.2">
      <c r="A34" s="215">
        <v>46294</v>
      </c>
      <c r="B34" s="216" t="s">
        <v>437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18"/>
      <c r="M34" s="219" t="str">
        <f t="shared" si="0"/>
        <v/>
      </c>
      <c r="N34" s="219" t="str">
        <f t="shared" si="1"/>
        <v/>
      </c>
      <c r="O34" s="219" t="str">
        <f t="shared" si="2"/>
        <v/>
      </c>
      <c r="P34" s="219" t="str">
        <f t="shared" si="3"/>
        <v/>
      </c>
      <c r="Q34" s="220" t="str">
        <f t="shared" si="4"/>
        <v/>
      </c>
    </row>
    <row r="35" spans="1:17" ht="22" customHeight="1" x14ac:dyDescent="0.2">
      <c r="A35" s="215">
        <v>46295</v>
      </c>
      <c r="B35" s="216" t="s">
        <v>438</v>
      </c>
      <c r="C35" s="217"/>
      <c r="D35" s="217"/>
      <c r="E35" s="217"/>
      <c r="F35" s="217"/>
      <c r="G35" s="217"/>
      <c r="H35" s="217"/>
      <c r="I35" s="217"/>
      <c r="J35" s="217"/>
      <c r="K35" s="217"/>
      <c r="L35" s="218"/>
      <c r="M35" s="219" t="str">
        <f t="shared" si="0"/>
        <v/>
      </c>
      <c r="N35" s="219" t="str">
        <f t="shared" si="1"/>
        <v/>
      </c>
      <c r="O35" s="219" t="str">
        <f t="shared" si="2"/>
        <v/>
      </c>
      <c r="P35" s="219" t="str">
        <f t="shared" si="3"/>
        <v/>
      </c>
      <c r="Q35" s="220" t="str">
        <f t="shared" si="4"/>
        <v/>
      </c>
    </row>
    <row r="36" spans="1:17" ht="19" customHeight="1" x14ac:dyDescent="0.2"/>
    <row r="37" spans="1:17" ht="19" customHeight="1" x14ac:dyDescent="0.2"/>
    <row r="38" spans="1:17" ht="19" customHeight="1" x14ac:dyDescent="0.2"/>
    <row r="39" spans="1:17" ht="19" customHeight="1" x14ac:dyDescent="0.2"/>
    <row r="40" spans="1:17" ht="19" customHeight="1" x14ac:dyDescent="0.2"/>
    <row r="41" spans="1:17" ht="19" customHeight="1" x14ac:dyDescent="0.2"/>
    <row r="42" spans="1:17" ht="19" customHeight="1" x14ac:dyDescent="0.2"/>
    <row r="43" spans="1:17" ht="19" customHeight="1" x14ac:dyDescent="0.2"/>
    <row r="44" spans="1:17" ht="19" customHeight="1" x14ac:dyDescent="0.2"/>
    <row r="45" spans="1:17" ht="19" customHeight="1" x14ac:dyDescent="0.2"/>
    <row r="46" spans="1:17" ht="19" customHeight="1" x14ac:dyDescent="0.2"/>
    <row r="47" spans="1:17" ht="19" customHeight="1" x14ac:dyDescent="0.2"/>
    <row r="48" spans="1:17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200"/>
  <sheetViews>
    <sheetView workbookViewId="0">
      <pane xSplit="2" ySplit="3" topLeftCell="C4" activePane="bottomRight" state="frozen"/>
      <selection pane="topRight"/>
      <selection pane="bottomLeft"/>
      <selection pane="bottomRight" activeCell="J23" sqref="J23"/>
    </sheetView>
  </sheetViews>
  <sheetFormatPr baseColWidth="10" defaultColWidth="14" defaultRowHeight="14" x14ac:dyDescent="0.2"/>
  <cols>
    <col min="1" max="1" width="10" style="270" customWidth="1"/>
    <col min="2" max="2" width="24" style="270" customWidth="1"/>
    <col min="3" max="3" width="19" style="270" customWidth="1"/>
    <col min="4" max="4" width="12" style="270" customWidth="1"/>
    <col min="5" max="6" width="18" style="270" customWidth="1"/>
    <col min="7" max="7" width="12" style="270" customWidth="1"/>
    <col min="8" max="9" width="19" style="270" customWidth="1"/>
    <col min="10" max="11" width="17" style="270" customWidth="1"/>
    <col min="12" max="12" width="24" style="270" customWidth="1"/>
    <col min="13" max="20" width="11" style="270" customWidth="1"/>
  </cols>
  <sheetData>
    <row r="1" spans="1:12" ht="33" customHeight="1" x14ac:dyDescent="0.2">
      <c r="A1" s="385" t="s">
        <v>460</v>
      </c>
      <c r="B1" s="323"/>
      <c r="C1" s="323"/>
      <c r="D1" s="323"/>
      <c r="E1" s="323"/>
      <c r="F1" s="323"/>
      <c r="G1" s="323"/>
      <c r="H1" s="323"/>
      <c r="I1" s="323"/>
      <c r="J1" s="323"/>
      <c r="K1" s="323"/>
      <c r="L1" s="323"/>
    </row>
    <row r="2" spans="1:12" ht="19" customHeight="1" x14ac:dyDescent="0.2">
      <c r="A2" s="384" t="s">
        <v>1</v>
      </c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</row>
    <row r="3" spans="1:12" ht="36" customHeight="1" x14ac:dyDescent="0.2">
      <c r="A3" s="223" t="s">
        <v>2</v>
      </c>
      <c r="B3" s="223" t="s">
        <v>3</v>
      </c>
      <c r="C3" s="223" t="s">
        <v>4</v>
      </c>
      <c r="D3" s="223" t="s">
        <v>5</v>
      </c>
      <c r="E3" s="223" t="s">
        <v>6</v>
      </c>
      <c r="F3" s="224" t="s">
        <v>7</v>
      </c>
      <c r="G3" s="224" t="s">
        <v>8</v>
      </c>
      <c r="H3" s="225" t="s">
        <v>9</v>
      </c>
      <c r="I3" s="226" t="s">
        <v>10</v>
      </c>
      <c r="J3" s="226" t="s">
        <v>11</v>
      </c>
      <c r="K3" s="226" t="s">
        <v>12</v>
      </c>
      <c r="L3" s="227" t="s">
        <v>13</v>
      </c>
    </row>
    <row r="4" spans="1:12" ht="24" customHeight="1" x14ac:dyDescent="0.2">
      <c r="A4" s="228" t="s">
        <v>14</v>
      </c>
      <c r="B4" s="229" t="s">
        <v>461</v>
      </c>
      <c r="C4" s="230">
        <f>IFERROR(SUM('📅 DAILY T9'!C6:C12),0)</f>
        <v>0</v>
      </c>
      <c r="D4" s="230">
        <f>IFERROR(SUM('📅 DAILY T9'!D6:D12),0)</f>
        <v>0</v>
      </c>
      <c r="E4" s="230" t="str">
        <f>IFERROR(SUM('📅 DAILY T9'!C6:C12)/SUM('📅 DAILY T9'!D6:D12),"")</f>
        <v/>
      </c>
      <c r="F4" s="231">
        <f>IFERROR(SUM('📅 DAILY T9'!F6:F12),0)</f>
        <v>0</v>
      </c>
      <c r="G4" s="232" t="str">
        <f>IFERROR(SUM('📅 DAILY T9'!C6:C12)/SUM('📅 DAILY T9'!F6:F12),"")</f>
        <v/>
      </c>
      <c r="H4" s="233">
        <f>IFERROR(SUM('📅 DAILY T9'!M6:M12),0)</f>
        <v>0</v>
      </c>
      <c r="I4" s="234">
        <f>IFERROR(SUM('📅 DAILY T9'!N6:N12),0)</f>
        <v>0</v>
      </c>
      <c r="J4" s="235">
        <f>IFERROR(SUM('📅 DAILY T9'!C6:C12)/1145398691,"")</f>
        <v>0</v>
      </c>
      <c r="K4" s="235">
        <f>IFERROR(SUM('📅 DAILY T9'!M6:M12)/647230108,"")</f>
        <v>0</v>
      </c>
      <c r="L4" s="236"/>
    </row>
    <row r="5" spans="1:12" ht="24" customHeight="1" x14ac:dyDescent="0.2">
      <c r="A5" s="237" t="s">
        <v>16</v>
      </c>
      <c r="B5" s="238" t="s">
        <v>462</v>
      </c>
      <c r="C5" s="230">
        <f>IFERROR(SUM('📅 DAILY T9'!C13:C19),0)</f>
        <v>0</v>
      </c>
      <c r="D5" s="230">
        <f>IFERROR(SUM('📅 DAILY T9'!D13:D19),0)</f>
        <v>0</v>
      </c>
      <c r="E5" s="230" t="str">
        <f>IFERROR(SUM('📅 DAILY T9'!C13:C19)/SUM('📅 DAILY T9'!D13:D19),"")</f>
        <v/>
      </c>
      <c r="F5" s="231">
        <f>IFERROR(SUM('📅 DAILY T9'!F13:F19),0)</f>
        <v>0</v>
      </c>
      <c r="G5" s="232" t="str">
        <f>IFERROR(SUM('📅 DAILY T9'!C13:C19)/SUM('📅 DAILY T9'!F13:F19),"")</f>
        <v/>
      </c>
      <c r="H5" s="233">
        <f>IFERROR(SUM('📅 DAILY T9'!M13:M19),0)</f>
        <v>0</v>
      </c>
      <c r="I5" s="234">
        <f>IFERROR(SUM('📅 DAILY T9'!N13:N19),0)</f>
        <v>0</v>
      </c>
      <c r="J5" s="235">
        <f>IFERROR(SUM('📅 DAILY T9'!C6:C19)/1145398691,"")</f>
        <v>0</v>
      </c>
      <c r="K5" s="235">
        <f>IFERROR(SUM('📅 DAILY T9'!M6:M19)/647230108,"")</f>
        <v>0</v>
      </c>
      <c r="L5" s="236"/>
    </row>
    <row r="6" spans="1:12" ht="24" customHeight="1" x14ac:dyDescent="0.2">
      <c r="A6" s="239" t="s">
        <v>18</v>
      </c>
      <c r="B6" s="240" t="s">
        <v>463</v>
      </c>
      <c r="C6" s="230">
        <f>IFERROR(SUM('📅 DAILY T9'!C20:C26),0)</f>
        <v>0</v>
      </c>
      <c r="D6" s="230">
        <f>IFERROR(SUM('📅 DAILY T9'!D20:D26),0)</f>
        <v>0</v>
      </c>
      <c r="E6" s="230" t="str">
        <f>IFERROR(SUM('📅 DAILY T9'!C20:C26)/SUM('📅 DAILY T9'!D20:D26),"")</f>
        <v/>
      </c>
      <c r="F6" s="231">
        <f>IFERROR(SUM('📅 DAILY T9'!F20:F26),0)</f>
        <v>0</v>
      </c>
      <c r="G6" s="232" t="str">
        <f>IFERROR(SUM('📅 DAILY T9'!C20:C26)/SUM('📅 DAILY T9'!F20:F26),"")</f>
        <v/>
      </c>
      <c r="H6" s="233">
        <f>IFERROR(SUM('📅 DAILY T9'!M20:M26),0)</f>
        <v>0</v>
      </c>
      <c r="I6" s="234">
        <f>IFERROR(SUM('📅 DAILY T9'!N20:N26),0)</f>
        <v>0</v>
      </c>
      <c r="J6" s="235">
        <f>IFERROR(SUM('📅 DAILY T9'!C6:C26)/1145398691,"")</f>
        <v>0</v>
      </c>
      <c r="K6" s="235">
        <f>IFERROR(SUM('📅 DAILY T9'!M6:M26)/647230108,"")</f>
        <v>0</v>
      </c>
      <c r="L6" s="236"/>
    </row>
    <row r="7" spans="1:12" ht="24" customHeight="1" x14ac:dyDescent="0.2">
      <c r="A7" s="241" t="s">
        <v>20</v>
      </c>
      <c r="B7" s="242" t="s">
        <v>464</v>
      </c>
      <c r="C7" s="230">
        <f>IFERROR(SUM('📅 DAILY T9'!C27:C33),0)</f>
        <v>0</v>
      </c>
      <c r="D7" s="230">
        <f>IFERROR(SUM('📅 DAILY T9'!D27:D33),0)</f>
        <v>0</v>
      </c>
      <c r="E7" s="230" t="str">
        <f>IFERROR(SUM('📅 DAILY T9'!C27:C33)/SUM('📅 DAILY T9'!D27:D33),"")</f>
        <v/>
      </c>
      <c r="F7" s="231">
        <f>IFERROR(SUM('📅 DAILY T9'!F27:F33),0)</f>
        <v>0</v>
      </c>
      <c r="G7" s="232" t="str">
        <f>IFERROR(SUM('📅 DAILY T9'!C27:C33)/SUM('📅 DAILY T9'!F27:F33),"")</f>
        <v/>
      </c>
      <c r="H7" s="233">
        <f>IFERROR(SUM('📅 DAILY T9'!M27:M33),0)</f>
        <v>0</v>
      </c>
      <c r="I7" s="234">
        <f>IFERROR(SUM('📅 DAILY T9'!N27:N33),0)</f>
        <v>0</v>
      </c>
      <c r="J7" s="235">
        <f>IFERROR(SUM('📅 DAILY T9'!C6:C33)/1145398691,"")</f>
        <v>0</v>
      </c>
      <c r="K7" s="235">
        <f>IFERROR(SUM('📅 DAILY T9'!M6:M33)/647230108,"")</f>
        <v>0</v>
      </c>
      <c r="L7" s="236"/>
    </row>
    <row r="8" spans="1:12" ht="24" customHeight="1" x14ac:dyDescent="0.2">
      <c r="A8" s="243" t="s">
        <v>22</v>
      </c>
      <c r="B8" s="244" t="s">
        <v>465</v>
      </c>
      <c r="C8" s="230">
        <f>IFERROR(SUM('📅 DAILY T9'!C34:C35),0)</f>
        <v>0</v>
      </c>
      <c r="D8" s="230">
        <f>IFERROR(SUM('📅 DAILY T9'!D34:D35),0)</f>
        <v>0</v>
      </c>
      <c r="E8" s="230" t="str">
        <f>IFERROR(SUM('📅 DAILY T9'!C34:C35)/SUM('📅 DAILY T9'!D34:D35),"")</f>
        <v/>
      </c>
      <c r="F8" s="231">
        <f>IFERROR(SUM('📅 DAILY T9'!F34:F35),0)</f>
        <v>0</v>
      </c>
      <c r="G8" s="232" t="str">
        <f>IFERROR(SUM('📅 DAILY T9'!C34:C35)/SUM('📅 DAILY T9'!F34:F35),"")</f>
        <v/>
      </c>
      <c r="H8" s="233">
        <f>IFERROR(SUM('📅 DAILY T9'!M34:M35),0)</f>
        <v>0</v>
      </c>
      <c r="I8" s="234">
        <f>IFERROR(SUM('📅 DAILY T9'!N34:N35),0)</f>
        <v>0</v>
      </c>
      <c r="J8" s="235">
        <f>IFERROR(SUM('📅 DAILY T9'!C6:C35)/1145398691,"")</f>
        <v>0</v>
      </c>
      <c r="K8" s="235">
        <f>IFERROR(SUM('📅 DAILY T9'!M6:M35)/647230108,"")</f>
        <v>0</v>
      </c>
      <c r="L8" s="236"/>
    </row>
    <row r="9" spans="1:12" ht="5" customHeight="1" x14ac:dyDescent="0.2">
      <c r="A9" s="245"/>
    </row>
    <row r="10" spans="1:12" ht="19" customHeight="1" x14ac:dyDescent="0.2">
      <c r="B10" s="245"/>
    </row>
    <row r="11" spans="1:12" ht="19" customHeight="1" x14ac:dyDescent="0.2">
      <c r="C11" s="245"/>
    </row>
    <row r="12" spans="1:12" ht="19" customHeight="1" x14ac:dyDescent="0.2">
      <c r="D12" s="245"/>
    </row>
    <row r="13" spans="1:12" ht="19" customHeight="1" x14ac:dyDescent="0.2">
      <c r="E13" s="245"/>
    </row>
    <row r="14" spans="1:12" ht="19" customHeight="1" x14ac:dyDescent="0.2">
      <c r="F14" s="245"/>
    </row>
    <row r="15" spans="1:12" ht="19" customHeight="1" x14ac:dyDescent="0.2">
      <c r="G15" s="245"/>
    </row>
    <row r="16" spans="1:12" ht="19" customHeight="1" x14ac:dyDescent="0.2">
      <c r="H16" s="245"/>
    </row>
    <row r="17" spans="1:12" ht="19" customHeight="1" x14ac:dyDescent="0.2">
      <c r="I17" s="245"/>
    </row>
    <row r="18" spans="1:12" ht="19" customHeight="1" x14ac:dyDescent="0.2">
      <c r="J18" s="245"/>
    </row>
    <row r="19" spans="1:12" ht="19" customHeight="1" x14ac:dyDescent="0.2">
      <c r="K19" s="245"/>
    </row>
    <row r="20" spans="1:12" ht="19" customHeight="1" x14ac:dyDescent="0.2">
      <c r="L20" s="245"/>
    </row>
    <row r="21" spans="1:12" ht="26" customHeight="1" x14ac:dyDescent="0.2">
      <c r="A21" s="246" t="s">
        <v>24</v>
      </c>
      <c r="B21" s="247" t="s">
        <v>466</v>
      </c>
      <c r="C21" s="248">
        <f>IFERROR(SUM('📅 DAILY T9'!C6:C35),0)</f>
        <v>0</v>
      </c>
      <c r="D21" s="248">
        <f>IFERROR(SUM('📅 DAILY T9'!D6:D35),0)</f>
        <v>0</v>
      </c>
      <c r="E21" s="248" t="str">
        <f>IFERROR(SUM('📅 DAILY T9'!C6:C35)/SUM('📅 DAILY T9'!D6:D35),"")</f>
        <v/>
      </c>
      <c r="F21" s="248">
        <f>IFERROR(SUM('📅 DAILY T9'!F6:F35),0)</f>
        <v>0</v>
      </c>
      <c r="G21" s="249" t="str">
        <f>IFERROR(SUM('📅 DAILY T9'!C6:C35)/SUM('📅 DAILY T9'!F6:F35),"")</f>
        <v/>
      </c>
      <c r="H21" s="248">
        <f>IFERROR(SUM('📅 DAILY T9'!M6:M35),0)</f>
        <v>0</v>
      </c>
      <c r="I21" s="248">
        <f>IFERROR(SUM('📅 DAILY T9'!N6:N35),0)</f>
        <v>0</v>
      </c>
      <c r="J21" s="250">
        <f>IFERROR(SUM('📅 DAILY T9'!C6:C35)/1145398691,"")</f>
        <v>0</v>
      </c>
      <c r="K21" s="250">
        <f>IFERROR(SUM('📅 DAILY T9'!M6:M35)/647230108,"")</f>
        <v>0</v>
      </c>
      <c r="L21" s="245"/>
    </row>
    <row r="22" spans="1:12" ht="19" customHeight="1" x14ac:dyDescent="0.2"/>
    <row r="23" spans="1:12" ht="22" customHeight="1" x14ac:dyDescent="0.2">
      <c r="A23" s="387" t="s">
        <v>26</v>
      </c>
      <c r="B23" s="323"/>
      <c r="C23" s="251">
        <v>1009097583</v>
      </c>
      <c r="D23" s="252"/>
      <c r="E23" s="252"/>
      <c r="F23" s="252"/>
      <c r="G23" s="252"/>
      <c r="H23" s="253">
        <v>541699957</v>
      </c>
      <c r="I23" s="254">
        <v>1550797540</v>
      </c>
      <c r="J23" s="252"/>
      <c r="K23" s="252"/>
      <c r="L23" s="252"/>
    </row>
    <row r="24" spans="1:12" ht="19" customHeight="1" x14ac:dyDescent="0.2"/>
    <row r="25" spans="1:12" ht="19" customHeight="1" x14ac:dyDescent="0.2">
      <c r="A25" s="386" t="s">
        <v>27</v>
      </c>
      <c r="B25" s="323"/>
      <c r="C25" s="323"/>
      <c r="D25" s="323"/>
      <c r="E25" s="323"/>
      <c r="F25" s="323"/>
      <c r="G25" s="323"/>
      <c r="H25" s="323"/>
      <c r="I25" s="323"/>
      <c r="J25" s="323"/>
      <c r="K25" s="323"/>
      <c r="L25" s="323"/>
    </row>
    <row r="26" spans="1:12" ht="19" customHeight="1" x14ac:dyDescent="0.2"/>
    <row r="27" spans="1:12" ht="19" customHeight="1" x14ac:dyDescent="0.2"/>
    <row r="28" spans="1:12" ht="19" customHeight="1" x14ac:dyDescent="0.2"/>
    <row r="29" spans="1:12" ht="19" customHeight="1" x14ac:dyDescent="0.2"/>
    <row r="30" spans="1:12" ht="19" customHeight="1" x14ac:dyDescent="0.2"/>
    <row r="31" spans="1:12" ht="19" customHeight="1" x14ac:dyDescent="0.2"/>
    <row r="32" spans="1:12" ht="19" customHeight="1" x14ac:dyDescent="0.2"/>
    <row r="33" ht="19" customHeight="1" x14ac:dyDescent="0.2"/>
    <row r="34" ht="19" customHeight="1" x14ac:dyDescent="0.2"/>
    <row r="35" ht="19" customHeight="1" x14ac:dyDescent="0.2"/>
    <row r="36" ht="19" customHeight="1" x14ac:dyDescent="0.2"/>
    <row r="37" ht="19" customHeight="1" x14ac:dyDescent="0.2"/>
    <row r="38" ht="19" customHeight="1" x14ac:dyDescent="0.2"/>
    <row r="39" ht="19" customHeight="1" x14ac:dyDescent="0.2"/>
    <row r="40" ht="19" customHeight="1" x14ac:dyDescent="0.2"/>
    <row r="41" ht="19" customHeight="1" x14ac:dyDescent="0.2"/>
    <row r="42" ht="19" customHeight="1" x14ac:dyDescent="0.2"/>
    <row r="43" ht="19" customHeight="1" x14ac:dyDescent="0.2"/>
    <row r="44" ht="19" customHeight="1" x14ac:dyDescent="0.2"/>
    <row r="45" ht="19" customHeight="1" x14ac:dyDescent="0.2"/>
    <row r="46" ht="19" customHeight="1" x14ac:dyDescent="0.2"/>
    <row r="47" ht="19" customHeight="1" x14ac:dyDescent="0.2"/>
    <row r="48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T200"/>
  <sheetViews>
    <sheetView workbookViewId="0">
      <selection sqref="A1:C1"/>
    </sheetView>
  </sheetViews>
  <sheetFormatPr baseColWidth="10" defaultColWidth="14" defaultRowHeight="14" x14ac:dyDescent="0.2"/>
  <cols>
    <col min="1" max="1" width="8" style="270" customWidth="1"/>
    <col min="2" max="2" width="34" style="270" customWidth="1"/>
    <col min="3" max="3" width="62" style="270" customWidth="1"/>
    <col min="4" max="20" width="11" style="270" customWidth="1"/>
  </cols>
  <sheetData>
    <row r="1" spans="1:3" ht="33" customHeight="1" x14ac:dyDescent="0.2">
      <c r="A1" s="389" t="s">
        <v>467</v>
      </c>
      <c r="B1" s="323"/>
      <c r="C1" s="323"/>
    </row>
    <row r="2" spans="1:3" ht="19" customHeight="1" x14ac:dyDescent="0.2"/>
    <row r="3" spans="1:3" ht="29" customHeight="1" x14ac:dyDescent="0.2">
      <c r="A3" s="391" t="s">
        <v>468</v>
      </c>
      <c r="B3" s="323"/>
      <c r="C3" s="323"/>
    </row>
    <row r="4" spans="1:3" ht="24" customHeight="1" x14ac:dyDescent="0.2">
      <c r="A4" s="255"/>
      <c r="B4" s="256" t="s">
        <v>469</v>
      </c>
      <c r="C4" s="257" t="s">
        <v>470</v>
      </c>
    </row>
    <row r="5" spans="1:3" ht="24" customHeight="1" x14ac:dyDescent="0.2">
      <c r="A5" s="258"/>
      <c r="B5" s="259" t="s">
        <v>471</v>
      </c>
      <c r="C5" s="260" t="s">
        <v>472</v>
      </c>
    </row>
    <row r="6" spans="1:3" ht="24" customHeight="1" x14ac:dyDescent="0.2">
      <c r="A6" s="255"/>
      <c r="B6" s="256" t="s">
        <v>473</v>
      </c>
      <c r="C6" s="257" t="s">
        <v>474</v>
      </c>
    </row>
    <row r="7" spans="1:3" ht="24" customHeight="1" x14ac:dyDescent="0.2">
      <c r="A7" s="258"/>
      <c r="B7" s="259" t="s">
        <v>475</v>
      </c>
      <c r="C7" s="260" t="s">
        <v>476</v>
      </c>
    </row>
    <row r="8" spans="1:3" ht="24" customHeight="1" x14ac:dyDescent="0.2">
      <c r="A8" s="255"/>
      <c r="B8" s="256" t="s">
        <v>477</v>
      </c>
      <c r="C8" s="257" t="s">
        <v>478</v>
      </c>
    </row>
    <row r="9" spans="1:3" ht="24" customHeight="1" x14ac:dyDescent="0.2">
      <c r="A9" s="258"/>
      <c r="B9" s="259" t="s">
        <v>479</v>
      </c>
      <c r="C9" s="260" t="s">
        <v>480</v>
      </c>
    </row>
    <row r="10" spans="1:3" ht="19" customHeight="1" x14ac:dyDescent="0.2"/>
    <row r="11" spans="1:3" ht="29" customHeight="1" x14ac:dyDescent="0.2">
      <c r="A11" s="388" t="s">
        <v>481</v>
      </c>
      <c r="B11" s="323"/>
      <c r="C11" s="323"/>
    </row>
    <row r="12" spans="1:3" ht="24" customHeight="1" x14ac:dyDescent="0.2">
      <c r="A12" s="261"/>
      <c r="B12" s="262" t="s">
        <v>482</v>
      </c>
      <c r="C12" s="263" t="s">
        <v>483</v>
      </c>
    </row>
    <row r="13" spans="1:3" ht="24" customHeight="1" x14ac:dyDescent="0.2">
      <c r="A13" s="258"/>
      <c r="B13" s="259" t="s">
        <v>484</v>
      </c>
      <c r="C13" s="260" t="s">
        <v>485</v>
      </c>
    </row>
    <row r="14" spans="1:3" ht="24" customHeight="1" x14ac:dyDescent="0.2">
      <c r="A14" s="261"/>
      <c r="B14" s="262" t="s">
        <v>486</v>
      </c>
      <c r="C14" s="263" t="s">
        <v>487</v>
      </c>
    </row>
    <row r="15" spans="1:3" ht="24" customHeight="1" x14ac:dyDescent="0.2">
      <c r="A15" s="258"/>
      <c r="B15" s="259" t="s">
        <v>488</v>
      </c>
      <c r="C15" s="260" t="s">
        <v>489</v>
      </c>
    </row>
    <row r="16" spans="1:3" ht="19" customHeight="1" x14ac:dyDescent="0.2"/>
    <row r="17" spans="1:3" ht="29" customHeight="1" x14ac:dyDescent="0.2">
      <c r="A17" s="390" t="s">
        <v>490</v>
      </c>
      <c r="B17" s="323"/>
      <c r="C17" s="323"/>
    </row>
    <row r="18" spans="1:3" ht="24" customHeight="1" x14ac:dyDescent="0.2">
      <c r="A18" s="264"/>
      <c r="B18" s="265" t="s">
        <v>491</v>
      </c>
      <c r="C18" s="266" t="s">
        <v>492</v>
      </c>
    </row>
    <row r="19" spans="1:3" ht="24" customHeight="1" x14ac:dyDescent="0.2">
      <c r="A19" s="258"/>
      <c r="B19" s="259" t="s">
        <v>493</v>
      </c>
      <c r="C19" s="260" t="s">
        <v>494</v>
      </c>
    </row>
    <row r="20" spans="1:3" ht="24" customHeight="1" x14ac:dyDescent="0.2">
      <c r="A20" s="264"/>
      <c r="B20" s="265" t="s">
        <v>495</v>
      </c>
      <c r="C20" s="266" t="s">
        <v>496</v>
      </c>
    </row>
    <row r="21" spans="1:3" ht="24" customHeight="1" x14ac:dyDescent="0.2">
      <c r="A21" s="258"/>
      <c r="B21" s="259" t="s">
        <v>497</v>
      </c>
      <c r="C21" s="260" t="s">
        <v>498</v>
      </c>
    </row>
    <row r="22" spans="1:3" ht="24" customHeight="1" x14ac:dyDescent="0.2">
      <c r="A22" s="264"/>
      <c r="B22" s="265" t="s">
        <v>499</v>
      </c>
      <c r="C22" s="266" t="s">
        <v>500</v>
      </c>
    </row>
    <row r="23" spans="1:3" ht="19" customHeight="1" x14ac:dyDescent="0.2"/>
    <row r="24" spans="1:3" ht="29" customHeight="1" x14ac:dyDescent="0.2">
      <c r="A24" s="392" t="s">
        <v>501</v>
      </c>
      <c r="B24" s="323"/>
      <c r="C24" s="323"/>
    </row>
    <row r="25" spans="1:3" ht="24" customHeight="1" x14ac:dyDescent="0.2">
      <c r="A25" s="267"/>
      <c r="B25" s="268" t="s">
        <v>502</v>
      </c>
      <c r="C25" s="269" t="s">
        <v>503</v>
      </c>
    </row>
    <row r="26" spans="1:3" ht="24" customHeight="1" x14ac:dyDescent="0.2">
      <c r="A26" s="258"/>
      <c r="B26" s="259" t="s">
        <v>504</v>
      </c>
      <c r="C26" s="260" t="s">
        <v>505</v>
      </c>
    </row>
    <row r="27" spans="1:3" ht="24" customHeight="1" x14ac:dyDescent="0.2">
      <c r="A27" s="267"/>
      <c r="B27" s="268" t="s">
        <v>138</v>
      </c>
      <c r="C27" s="269" t="s">
        <v>506</v>
      </c>
    </row>
    <row r="28" spans="1:3" ht="24" customHeight="1" x14ac:dyDescent="0.2">
      <c r="A28" s="258"/>
      <c r="B28" s="259" t="s">
        <v>143</v>
      </c>
      <c r="C28" s="260" t="s">
        <v>507</v>
      </c>
    </row>
    <row r="29" spans="1:3" ht="24" customHeight="1" x14ac:dyDescent="0.2">
      <c r="A29" s="267"/>
      <c r="B29" s="268" t="s">
        <v>148</v>
      </c>
      <c r="C29" s="269" t="s">
        <v>508</v>
      </c>
    </row>
    <row r="30" spans="1:3" ht="24" customHeight="1" x14ac:dyDescent="0.2">
      <c r="A30" s="258"/>
      <c r="B30" s="259" t="s">
        <v>509</v>
      </c>
      <c r="C30" s="260" t="s">
        <v>510</v>
      </c>
    </row>
    <row r="31" spans="1:3" ht="24" customHeight="1" x14ac:dyDescent="0.2">
      <c r="A31" s="267"/>
      <c r="B31" s="268" t="s">
        <v>511</v>
      </c>
      <c r="C31" s="269" t="s">
        <v>512</v>
      </c>
    </row>
    <row r="32" spans="1:3" ht="24" customHeight="1" x14ac:dyDescent="0.2">
      <c r="A32" s="258"/>
      <c r="B32" s="259" t="s">
        <v>513</v>
      </c>
      <c r="C32" s="260" t="s">
        <v>514</v>
      </c>
    </row>
    <row r="33" spans="1:3" ht="24" customHeight="1" x14ac:dyDescent="0.2">
      <c r="A33" s="267"/>
      <c r="B33" s="268" t="s">
        <v>515</v>
      </c>
      <c r="C33" s="269" t="s">
        <v>516</v>
      </c>
    </row>
    <row r="34" spans="1:3" ht="24" customHeight="1" x14ac:dyDescent="0.2">
      <c r="A34" s="258"/>
      <c r="B34" s="259" t="s">
        <v>517</v>
      </c>
      <c r="C34" s="260" t="s">
        <v>518</v>
      </c>
    </row>
    <row r="35" spans="1:3" ht="19" customHeight="1" x14ac:dyDescent="0.2"/>
    <row r="36" spans="1:3" ht="19" customHeight="1" x14ac:dyDescent="0.2"/>
    <row r="37" spans="1:3" ht="19" customHeight="1" x14ac:dyDescent="0.2"/>
    <row r="38" spans="1:3" ht="19" customHeight="1" x14ac:dyDescent="0.2"/>
    <row r="39" spans="1:3" ht="19" customHeight="1" x14ac:dyDescent="0.2"/>
    <row r="40" spans="1:3" ht="19" customHeight="1" x14ac:dyDescent="0.2"/>
    <row r="41" spans="1:3" ht="19" customHeight="1" x14ac:dyDescent="0.2"/>
    <row r="42" spans="1:3" ht="19" customHeight="1" x14ac:dyDescent="0.2"/>
    <row r="43" spans="1:3" ht="19" customHeight="1" x14ac:dyDescent="0.2"/>
    <row r="44" spans="1:3" ht="19" customHeight="1" x14ac:dyDescent="0.2"/>
    <row r="45" spans="1:3" ht="19" customHeight="1" x14ac:dyDescent="0.2"/>
    <row r="46" spans="1:3" ht="19" customHeight="1" x14ac:dyDescent="0.2"/>
    <row r="47" spans="1:3" ht="19" customHeight="1" x14ac:dyDescent="0.2"/>
    <row r="48" spans="1:3" ht="19" customHeight="1" x14ac:dyDescent="0.2"/>
    <row r="49" ht="19" customHeight="1" x14ac:dyDescent="0.2"/>
    <row r="50" ht="19" customHeight="1" x14ac:dyDescent="0.2"/>
    <row r="51" ht="19" customHeight="1" x14ac:dyDescent="0.2"/>
    <row r="52" ht="19" customHeight="1" x14ac:dyDescent="0.2"/>
    <row r="53" ht="19" customHeight="1" x14ac:dyDescent="0.2"/>
    <row r="54" ht="19" customHeight="1" x14ac:dyDescent="0.2"/>
    <row r="55" ht="19" customHeight="1" x14ac:dyDescent="0.2"/>
    <row r="56" ht="19" customHeight="1" x14ac:dyDescent="0.2"/>
    <row r="57" ht="19" customHeight="1" x14ac:dyDescent="0.2"/>
    <row r="58" ht="19" customHeight="1" x14ac:dyDescent="0.2"/>
    <row r="59" ht="19" customHeight="1" x14ac:dyDescent="0.2"/>
    <row r="60" ht="19" customHeight="1" x14ac:dyDescent="0.2"/>
    <row r="61" ht="19" customHeight="1" x14ac:dyDescent="0.2"/>
    <row r="62" ht="19" customHeight="1" x14ac:dyDescent="0.2"/>
    <row r="63" ht="19" customHeight="1" x14ac:dyDescent="0.2"/>
    <row r="64" ht="19" customHeight="1" x14ac:dyDescent="0.2"/>
    <row r="65" ht="19" customHeight="1" x14ac:dyDescent="0.2"/>
    <row r="66" ht="19" customHeight="1" x14ac:dyDescent="0.2"/>
    <row r="67" ht="19" customHeight="1" x14ac:dyDescent="0.2"/>
    <row r="68" ht="19" customHeight="1" x14ac:dyDescent="0.2"/>
    <row r="69" ht="19" customHeight="1" x14ac:dyDescent="0.2"/>
    <row r="70" ht="19" customHeight="1" x14ac:dyDescent="0.2"/>
    <row r="71" ht="19" customHeight="1" x14ac:dyDescent="0.2"/>
    <row r="72" ht="19" customHeight="1" x14ac:dyDescent="0.2"/>
    <row r="73" ht="19" customHeight="1" x14ac:dyDescent="0.2"/>
    <row r="74" ht="19" customHeight="1" x14ac:dyDescent="0.2"/>
    <row r="75" ht="19" customHeight="1" x14ac:dyDescent="0.2"/>
    <row r="76" ht="19" customHeight="1" x14ac:dyDescent="0.2"/>
    <row r="77" ht="19" customHeight="1" x14ac:dyDescent="0.2"/>
    <row r="78" ht="19" customHeight="1" x14ac:dyDescent="0.2"/>
    <row r="79" ht="19" customHeight="1" x14ac:dyDescent="0.2"/>
    <row r="80" ht="19" customHeight="1" x14ac:dyDescent="0.2"/>
    <row r="81" ht="19" customHeight="1" x14ac:dyDescent="0.2"/>
    <row r="82" ht="19" customHeight="1" x14ac:dyDescent="0.2"/>
    <row r="83" ht="19" customHeight="1" x14ac:dyDescent="0.2"/>
    <row r="84" ht="19" customHeight="1" x14ac:dyDescent="0.2"/>
    <row r="85" ht="19" customHeight="1" x14ac:dyDescent="0.2"/>
    <row r="86" ht="19" customHeight="1" x14ac:dyDescent="0.2"/>
    <row r="87" ht="19" customHeight="1" x14ac:dyDescent="0.2"/>
    <row r="88" ht="19" customHeight="1" x14ac:dyDescent="0.2"/>
    <row r="89" ht="19" customHeight="1" x14ac:dyDescent="0.2"/>
    <row r="90" ht="19" customHeight="1" x14ac:dyDescent="0.2"/>
    <row r="91" ht="19" customHeight="1" x14ac:dyDescent="0.2"/>
    <row r="92" ht="19" customHeight="1" x14ac:dyDescent="0.2"/>
    <row r="93" ht="19" customHeight="1" x14ac:dyDescent="0.2"/>
    <row r="94" ht="19" customHeight="1" x14ac:dyDescent="0.2"/>
    <row r="95" ht="19" customHeight="1" x14ac:dyDescent="0.2"/>
    <row r="96" ht="19" customHeight="1" x14ac:dyDescent="0.2"/>
    <row r="97" ht="19" customHeight="1" x14ac:dyDescent="0.2"/>
    <row r="98" ht="19" customHeight="1" x14ac:dyDescent="0.2"/>
    <row r="99" ht="19" customHeight="1" x14ac:dyDescent="0.2"/>
    <row r="100" ht="19" customHeight="1" x14ac:dyDescent="0.2"/>
    <row r="101" ht="19" customHeight="1" x14ac:dyDescent="0.2"/>
    <row r="102" ht="19" customHeight="1" x14ac:dyDescent="0.2"/>
    <row r="103" ht="19" customHeight="1" x14ac:dyDescent="0.2"/>
    <row r="104" ht="19" customHeight="1" x14ac:dyDescent="0.2"/>
    <row r="105" ht="19" customHeight="1" x14ac:dyDescent="0.2"/>
    <row r="106" ht="19" customHeight="1" x14ac:dyDescent="0.2"/>
    <row r="107" ht="19" customHeight="1" x14ac:dyDescent="0.2"/>
    <row r="108" ht="19" customHeight="1" x14ac:dyDescent="0.2"/>
    <row r="109" ht="19" customHeight="1" x14ac:dyDescent="0.2"/>
    <row r="110" ht="19" customHeight="1" x14ac:dyDescent="0.2"/>
    <row r="111" ht="19" customHeight="1" x14ac:dyDescent="0.2"/>
    <row r="112" ht="19" customHeight="1" x14ac:dyDescent="0.2"/>
    <row r="113" ht="19" customHeight="1" x14ac:dyDescent="0.2"/>
    <row r="114" ht="19" customHeight="1" x14ac:dyDescent="0.2"/>
    <row r="115" ht="19" customHeight="1" x14ac:dyDescent="0.2"/>
    <row r="116" ht="19" customHeight="1" x14ac:dyDescent="0.2"/>
    <row r="117" ht="19" customHeight="1" x14ac:dyDescent="0.2"/>
    <row r="118" ht="19" customHeight="1" x14ac:dyDescent="0.2"/>
    <row r="119" ht="19" customHeight="1" x14ac:dyDescent="0.2"/>
    <row r="120" ht="19" customHeight="1" x14ac:dyDescent="0.2"/>
    <row r="121" ht="19" customHeight="1" x14ac:dyDescent="0.2"/>
    <row r="122" ht="19" customHeight="1" x14ac:dyDescent="0.2"/>
    <row r="123" ht="19" customHeight="1" x14ac:dyDescent="0.2"/>
    <row r="124" ht="19" customHeight="1" x14ac:dyDescent="0.2"/>
    <row r="125" ht="19" customHeight="1" x14ac:dyDescent="0.2"/>
    <row r="126" ht="19" customHeight="1" x14ac:dyDescent="0.2"/>
    <row r="127" ht="19" customHeight="1" x14ac:dyDescent="0.2"/>
    <row r="128" ht="19" customHeight="1" x14ac:dyDescent="0.2"/>
    <row r="129" ht="19" customHeight="1" x14ac:dyDescent="0.2"/>
    <row r="130" ht="19" customHeight="1" x14ac:dyDescent="0.2"/>
    <row r="131" ht="19" customHeight="1" x14ac:dyDescent="0.2"/>
    <row r="132" ht="19" customHeight="1" x14ac:dyDescent="0.2"/>
    <row r="133" ht="19" customHeight="1" x14ac:dyDescent="0.2"/>
    <row r="134" ht="19" customHeight="1" x14ac:dyDescent="0.2"/>
    <row r="135" ht="19" customHeight="1" x14ac:dyDescent="0.2"/>
    <row r="136" ht="19" customHeight="1" x14ac:dyDescent="0.2"/>
    <row r="137" ht="19" customHeight="1" x14ac:dyDescent="0.2"/>
    <row r="138" ht="19" customHeight="1" x14ac:dyDescent="0.2"/>
    <row r="139" ht="19" customHeight="1" x14ac:dyDescent="0.2"/>
    <row r="140" ht="19" customHeight="1" x14ac:dyDescent="0.2"/>
    <row r="141" ht="19" customHeight="1" x14ac:dyDescent="0.2"/>
    <row r="142" ht="19" customHeight="1" x14ac:dyDescent="0.2"/>
    <row r="143" ht="19" customHeight="1" x14ac:dyDescent="0.2"/>
    <row r="144" ht="19" customHeight="1" x14ac:dyDescent="0.2"/>
    <row r="145" ht="19" customHeight="1" x14ac:dyDescent="0.2"/>
    <row r="146" ht="19" customHeight="1" x14ac:dyDescent="0.2"/>
    <row r="147" ht="19" customHeight="1" x14ac:dyDescent="0.2"/>
    <row r="148" ht="19" customHeight="1" x14ac:dyDescent="0.2"/>
    <row r="149" ht="19" customHeight="1" x14ac:dyDescent="0.2"/>
    <row r="150" ht="19" customHeight="1" x14ac:dyDescent="0.2"/>
    <row r="151" ht="19" customHeight="1" x14ac:dyDescent="0.2"/>
    <row r="152" ht="19" customHeight="1" x14ac:dyDescent="0.2"/>
    <row r="153" ht="19" customHeight="1" x14ac:dyDescent="0.2"/>
    <row r="154" ht="19" customHeight="1" x14ac:dyDescent="0.2"/>
    <row r="155" ht="19" customHeight="1" x14ac:dyDescent="0.2"/>
    <row r="156" ht="19" customHeight="1" x14ac:dyDescent="0.2"/>
    <row r="157" ht="19" customHeight="1" x14ac:dyDescent="0.2"/>
    <row r="158" ht="19" customHeight="1" x14ac:dyDescent="0.2"/>
    <row r="159" ht="19" customHeight="1" x14ac:dyDescent="0.2"/>
    <row r="160" ht="19" customHeight="1" x14ac:dyDescent="0.2"/>
    <row r="161" ht="19" customHeight="1" x14ac:dyDescent="0.2"/>
    <row r="162" ht="19" customHeight="1" x14ac:dyDescent="0.2"/>
    <row r="163" ht="19" customHeight="1" x14ac:dyDescent="0.2"/>
    <row r="164" ht="19" customHeight="1" x14ac:dyDescent="0.2"/>
    <row r="165" ht="19" customHeight="1" x14ac:dyDescent="0.2"/>
    <row r="166" ht="19" customHeight="1" x14ac:dyDescent="0.2"/>
    <row r="167" ht="19" customHeight="1" x14ac:dyDescent="0.2"/>
    <row r="168" ht="19" customHeight="1" x14ac:dyDescent="0.2"/>
    <row r="169" ht="19" customHeight="1" x14ac:dyDescent="0.2"/>
    <row r="170" ht="19" customHeight="1" x14ac:dyDescent="0.2"/>
    <row r="171" ht="19" customHeight="1" x14ac:dyDescent="0.2"/>
    <row r="172" ht="19" customHeight="1" x14ac:dyDescent="0.2"/>
    <row r="173" ht="19" customHeight="1" x14ac:dyDescent="0.2"/>
    <row r="174" ht="19" customHeight="1" x14ac:dyDescent="0.2"/>
    <row r="175" ht="19" customHeight="1" x14ac:dyDescent="0.2"/>
    <row r="176" ht="19" customHeight="1" x14ac:dyDescent="0.2"/>
    <row r="177" ht="19" customHeight="1" x14ac:dyDescent="0.2"/>
    <row r="178" ht="19" customHeight="1" x14ac:dyDescent="0.2"/>
    <row r="179" ht="19" customHeight="1" x14ac:dyDescent="0.2"/>
    <row r="180" ht="19" customHeight="1" x14ac:dyDescent="0.2"/>
    <row r="181" ht="19" customHeight="1" x14ac:dyDescent="0.2"/>
    <row r="182" ht="19" customHeight="1" x14ac:dyDescent="0.2"/>
    <row r="183" ht="19" customHeight="1" x14ac:dyDescent="0.2"/>
    <row r="184" ht="19" customHeight="1" x14ac:dyDescent="0.2"/>
    <row r="185" ht="19" customHeight="1" x14ac:dyDescent="0.2"/>
    <row r="186" ht="19" customHeight="1" x14ac:dyDescent="0.2"/>
    <row r="187" ht="19" customHeight="1" x14ac:dyDescent="0.2"/>
    <row r="188" ht="19" customHeight="1" x14ac:dyDescent="0.2"/>
    <row r="189" ht="19" customHeight="1" x14ac:dyDescent="0.2"/>
    <row r="190" ht="19" customHeight="1" x14ac:dyDescent="0.2"/>
    <row r="191" ht="19" customHeight="1" x14ac:dyDescent="0.2"/>
    <row r="192" ht="19" customHeight="1" x14ac:dyDescent="0.2"/>
    <row r="193" ht="19" customHeight="1" x14ac:dyDescent="0.2"/>
    <row r="194" ht="19" customHeight="1" x14ac:dyDescent="0.2"/>
    <row r="195" ht="19" customHeight="1" x14ac:dyDescent="0.2"/>
    <row r="196" ht="19" customHeight="1" x14ac:dyDescent="0.2"/>
    <row r="197" ht="19" customHeight="1" x14ac:dyDescent="0.2"/>
    <row r="198" ht="19" customHeight="1" x14ac:dyDescent="0.2"/>
    <row r="199" ht="19" customHeight="1" x14ac:dyDescent="0.2"/>
    <row r="200" ht="19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9" defaultRowHeight="14" x14ac:dyDescent="0.2"/>
  <cols>
    <col min="1" max="1" width="8" style="270" customWidth="1"/>
    <col min="2" max="2" width="13" style="270" customWidth="1"/>
    <col min="3" max="3" width="7.3984375" style="270" customWidth="1"/>
    <col min="4" max="7" width="6" style="270" customWidth="1"/>
    <col min="8" max="8" width="6.3984375" style="270" customWidth="1"/>
    <col min="9" max="9" width="7" style="270" customWidth="1"/>
    <col min="10" max="10" width="6.3984375" style="270" customWidth="1"/>
    <col min="11" max="13" width="11" style="270" customWidth="1"/>
    <col min="14" max="14" width="9.3984375" style="270" customWidth="1"/>
  </cols>
  <sheetData>
    <row r="1" spans="1:14" ht="26" customHeight="1" x14ac:dyDescent="0.2">
      <c r="A1" s="396" t="s">
        <v>519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</row>
    <row r="2" spans="1:14" ht="13" customHeight="1" x14ac:dyDescent="0.2">
      <c r="A2" s="394" t="s">
        <v>520</v>
      </c>
      <c r="B2" s="336"/>
      <c r="C2" s="336"/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6"/>
    </row>
    <row r="3" spans="1:14" ht="30" customHeight="1" x14ac:dyDescent="0.2">
      <c r="A3" s="272" t="s">
        <v>521</v>
      </c>
      <c r="B3" s="272" t="s">
        <v>522</v>
      </c>
      <c r="C3" s="272" t="s">
        <v>523</v>
      </c>
      <c r="D3" s="272" t="s">
        <v>524</v>
      </c>
      <c r="E3" s="272" t="s">
        <v>525</v>
      </c>
      <c r="F3" s="272" t="s">
        <v>526</v>
      </c>
      <c r="G3" s="272" t="s">
        <v>527</v>
      </c>
      <c r="H3" s="272" t="s">
        <v>528</v>
      </c>
      <c r="I3" s="272" t="s">
        <v>529</v>
      </c>
      <c r="J3" s="272" t="s">
        <v>530</v>
      </c>
      <c r="K3" s="272" t="s">
        <v>531</v>
      </c>
      <c r="L3" s="272" t="s">
        <v>532</v>
      </c>
      <c r="M3" s="272" t="s">
        <v>533</v>
      </c>
      <c r="N3" s="272" t="s">
        <v>534</v>
      </c>
    </row>
    <row r="4" spans="1:14" ht="20" customHeight="1" x14ac:dyDescent="0.2">
      <c r="A4" s="393" t="s">
        <v>535</v>
      </c>
      <c r="B4" s="336"/>
      <c r="C4" s="336"/>
      <c r="D4" s="336"/>
      <c r="E4" s="336"/>
      <c r="F4" s="336"/>
      <c r="G4" s="336"/>
      <c r="H4" s="336"/>
      <c r="I4" s="336"/>
      <c r="J4" s="336"/>
      <c r="K4" s="336"/>
      <c r="L4" s="336"/>
      <c r="M4" s="336"/>
      <c r="N4" s="336"/>
    </row>
    <row r="5" spans="1:14" ht="16" customHeight="1" x14ac:dyDescent="0.2">
      <c r="A5" s="273" t="s">
        <v>536</v>
      </c>
      <c r="B5" s="277" t="s">
        <v>537</v>
      </c>
      <c r="C5" s="274">
        <v>780</v>
      </c>
      <c r="D5" s="275">
        <v>231</v>
      </c>
      <c r="E5" s="275">
        <v>160</v>
      </c>
      <c r="F5" s="275">
        <v>201</v>
      </c>
      <c r="G5" s="275">
        <v>43</v>
      </c>
      <c r="H5" s="275">
        <v>107</v>
      </c>
      <c r="I5" s="275">
        <v>32</v>
      </c>
      <c r="J5" s="275">
        <v>6</v>
      </c>
      <c r="K5" s="278">
        <v>0</v>
      </c>
      <c r="L5" s="276">
        <v>311</v>
      </c>
      <c r="M5" s="278">
        <v>0</v>
      </c>
      <c r="N5" s="276">
        <v>382</v>
      </c>
    </row>
    <row r="6" spans="1:14" ht="16" customHeight="1" x14ac:dyDescent="0.2">
      <c r="A6" s="273" t="s">
        <v>536</v>
      </c>
      <c r="B6" s="279" t="s">
        <v>538</v>
      </c>
      <c r="C6" s="274">
        <v>1082</v>
      </c>
      <c r="D6" s="275">
        <v>792</v>
      </c>
      <c r="E6" s="275">
        <v>188</v>
      </c>
      <c r="F6" s="275">
        <v>77</v>
      </c>
      <c r="G6" s="275">
        <v>10</v>
      </c>
      <c r="H6" s="275">
        <v>12</v>
      </c>
      <c r="I6" s="275">
        <v>2</v>
      </c>
      <c r="J6" s="275">
        <v>1</v>
      </c>
      <c r="K6" s="278">
        <v>0</v>
      </c>
      <c r="L6" s="276">
        <v>346</v>
      </c>
      <c r="M6" s="278">
        <v>0</v>
      </c>
      <c r="N6" s="276">
        <v>139</v>
      </c>
    </row>
    <row r="7" spans="1:14" ht="16" customHeight="1" x14ac:dyDescent="0.2">
      <c r="A7" s="273" t="s">
        <v>536</v>
      </c>
      <c r="B7" s="280" t="s">
        <v>539</v>
      </c>
      <c r="C7" s="274">
        <v>1316</v>
      </c>
      <c r="D7" s="275">
        <v>1181</v>
      </c>
      <c r="E7" s="275">
        <v>105</v>
      </c>
      <c r="F7" s="275">
        <v>17</v>
      </c>
      <c r="G7" s="275">
        <v>6</v>
      </c>
      <c r="H7" s="275">
        <v>7</v>
      </c>
      <c r="I7" s="278">
        <v>0</v>
      </c>
      <c r="J7" s="278">
        <v>0</v>
      </c>
      <c r="K7" s="278">
        <v>0</v>
      </c>
      <c r="L7" s="276">
        <v>439</v>
      </c>
      <c r="M7" s="278">
        <v>0</v>
      </c>
      <c r="N7" s="276">
        <v>141</v>
      </c>
    </row>
    <row r="8" spans="1:14" ht="5" customHeight="1" x14ac:dyDescent="0.2">
      <c r="A8" s="271"/>
      <c r="B8" s="271"/>
      <c r="C8" s="271"/>
      <c r="D8" s="271"/>
      <c r="E8" s="271"/>
      <c r="F8" s="271"/>
      <c r="G8" s="271"/>
      <c r="H8" s="271"/>
      <c r="I8" s="271"/>
      <c r="J8" s="271"/>
      <c r="K8" s="271"/>
      <c r="L8" s="271"/>
      <c r="M8" s="271"/>
      <c r="N8" s="271"/>
    </row>
    <row r="9" spans="1:14" ht="16" customHeight="1" x14ac:dyDescent="0.2">
      <c r="A9" s="273" t="s">
        <v>540</v>
      </c>
      <c r="B9" s="277" t="s">
        <v>537</v>
      </c>
      <c r="C9" s="274">
        <v>418</v>
      </c>
      <c r="D9" s="275">
        <v>123</v>
      </c>
      <c r="E9" s="275">
        <v>68</v>
      </c>
      <c r="F9" s="275">
        <v>127</v>
      </c>
      <c r="G9" s="275">
        <v>18</v>
      </c>
      <c r="H9" s="275">
        <v>49</v>
      </c>
      <c r="I9" s="275">
        <v>22</v>
      </c>
      <c r="J9" s="275">
        <v>11</v>
      </c>
      <c r="K9" s="278">
        <v>0</v>
      </c>
      <c r="L9" s="276">
        <v>184</v>
      </c>
      <c r="M9" s="278">
        <v>0</v>
      </c>
      <c r="N9" s="276">
        <v>191</v>
      </c>
    </row>
    <row r="10" spans="1:14" ht="16" customHeight="1" x14ac:dyDescent="0.2">
      <c r="A10" s="273" t="s">
        <v>540</v>
      </c>
      <c r="B10" s="279" t="s">
        <v>538</v>
      </c>
      <c r="C10" s="274">
        <v>567</v>
      </c>
      <c r="D10" s="275">
        <v>381</v>
      </c>
      <c r="E10" s="275">
        <v>111</v>
      </c>
      <c r="F10" s="275">
        <v>57</v>
      </c>
      <c r="G10" s="275">
        <v>9</v>
      </c>
      <c r="H10" s="275">
        <v>7</v>
      </c>
      <c r="I10" s="275">
        <v>2</v>
      </c>
      <c r="J10" s="278">
        <v>0</v>
      </c>
      <c r="K10" s="278">
        <v>0</v>
      </c>
      <c r="L10" s="276">
        <v>185</v>
      </c>
      <c r="M10" s="278">
        <v>0</v>
      </c>
      <c r="N10" s="276">
        <v>71</v>
      </c>
    </row>
    <row r="11" spans="1:14" ht="16" customHeight="1" x14ac:dyDescent="0.2">
      <c r="A11" s="273" t="s">
        <v>540</v>
      </c>
      <c r="B11" s="280" t="s">
        <v>539</v>
      </c>
      <c r="C11" s="274">
        <v>750</v>
      </c>
      <c r="D11" s="275">
        <v>636</v>
      </c>
      <c r="E11" s="275">
        <v>93</v>
      </c>
      <c r="F11" s="275">
        <v>9</v>
      </c>
      <c r="G11" s="275">
        <v>9</v>
      </c>
      <c r="H11" s="275">
        <v>3</v>
      </c>
      <c r="I11" s="278">
        <v>0</v>
      </c>
      <c r="J11" s="278">
        <v>0</v>
      </c>
      <c r="K11" s="278">
        <v>0</v>
      </c>
      <c r="L11" s="276">
        <v>239</v>
      </c>
      <c r="M11" s="278">
        <v>0</v>
      </c>
      <c r="N11" s="276">
        <v>104</v>
      </c>
    </row>
    <row r="12" spans="1:14" ht="5" customHeight="1" x14ac:dyDescent="0.2">
      <c r="A12" s="271"/>
      <c r="B12" s="271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1"/>
    </row>
    <row r="13" spans="1:14" ht="16" customHeight="1" x14ac:dyDescent="0.2">
      <c r="A13" s="273" t="s">
        <v>541</v>
      </c>
      <c r="B13" s="277" t="s">
        <v>537</v>
      </c>
      <c r="C13" s="274">
        <v>483</v>
      </c>
      <c r="D13" s="275">
        <v>167</v>
      </c>
      <c r="E13" s="275">
        <v>64</v>
      </c>
      <c r="F13" s="275">
        <v>132</v>
      </c>
      <c r="G13" s="275">
        <v>22</v>
      </c>
      <c r="H13" s="275">
        <v>59</v>
      </c>
      <c r="I13" s="275">
        <v>24</v>
      </c>
      <c r="J13" s="275">
        <v>15</v>
      </c>
      <c r="K13" s="278">
        <v>0</v>
      </c>
      <c r="L13" s="276">
        <v>176</v>
      </c>
      <c r="M13" s="278">
        <v>0</v>
      </c>
      <c r="N13" s="276">
        <v>232</v>
      </c>
    </row>
    <row r="14" spans="1:14" ht="16" customHeight="1" x14ac:dyDescent="0.2">
      <c r="A14" s="273" t="s">
        <v>541</v>
      </c>
      <c r="B14" s="279" t="s">
        <v>538</v>
      </c>
      <c r="C14" s="274">
        <v>695</v>
      </c>
      <c r="D14" s="275">
        <v>493</v>
      </c>
      <c r="E14" s="275">
        <v>121</v>
      </c>
      <c r="F14" s="275">
        <v>69</v>
      </c>
      <c r="G14" s="275">
        <v>2</v>
      </c>
      <c r="H14" s="275">
        <v>7</v>
      </c>
      <c r="I14" s="275">
        <v>3</v>
      </c>
      <c r="J14" s="278">
        <v>0</v>
      </c>
      <c r="K14" s="278">
        <v>0</v>
      </c>
      <c r="L14" s="276">
        <v>184</v>
      </c>
      <c r="M14" s="278">
        <v>0</v>
      </c>
      <c r="N14" s="276">
        <v>73</v>
      </c>
    </row>
    <row r="15" spans="1:14" ht="16" customHeight="1" x14ac:dyDescent="0.2">
      <c r="A15" s="273" t="s">
        <v>541</v>
      </c>
      <c r="B15" s="280" t="s">
        <v>539</v>
      </c>
      <c r="C15" s="274">
        <v>844</v>
      </c>
      <c r="D15" s="275">
        <v>740</v>
      </c>
      <c r="E15" s="275">
        <v>78</v>
      </c>
      <c r="F15" s="275">
        <v>15</v>
      </c>
      <c r="G15" s="275">
        <v>5</v>
      </c>
      <c r="H15" s="275">
        <v>6</v>
      </c>
      <c r="I15" s="278">
        <v>0</v>
      </c>
      <c r="J15" s="278">
        <v>0</v>
      </c>
      <c r="K15" s="278">
        <v>0</v>
      </c>
      <c r="L15" s="276">
        <v>238</v>
      </c>
      <c r="M15" s="278">
        <v>0</v>
      </c>
      <c r="N15" s="276">
        <v>92</v>
      </c>
    </row>
    <row r="16" spans="1:14" ht="5" customHeight="1" x14ac:dyDescent="0.2">
      <c r="A16" s="271"/>
      <c r="B16" s="271"/>
      <c r="C16" s="271"/>
      <c r="D16" s="271"/>
      <c r="E16" s="271"/>
      <c r="F16" s="271"/>
      <c r="G16" s="271"/>
      <c r="H16" s="271"/>
      <c r="I16" s="271"/>
      <c r="J16" s="271"/>
      <c r="K16" s="271"/>
      <c r="L16" s="271"/>
      <c r="M16" s="271"/>
      <c r="N16" s="271"/>
    </row>
    <row r="17" spans="1:14" ht="16" customHeight="1" x14ac:dyDescent="0.2">
      <c r="A17" s="273" t="s">
        <v>542</v>
      </c>
      <c r="B17" s="277" t="s">
        <v>537</v>
      </c>
      <c r="C17" s="274">
        <v>473</v>
      </c>
      <c r="D17" s="275">
        <v>149</v>
      </c>
      <c r="E17" s="275">
        <v>89</v>
      </c>
      <c r="F17" s="275">
        <v>100</v>
      </c>
      <c r="G17" s="275">
        <v>22</v>
      </c>
      <c r="H17" s="275">
        <v>78</v>
      </c>
      <c r="I17" s="275">
        <v>21</v>
      </c>
      <c r="J17" s="275">
        <v>14</v>
      </c>
      <c r="K17" s="278">
        <v>0</v>
      </c>
      <c r="L17" s="276">
        <v>180</v>
      </c>
      <c r="M17" s="278">
        <v>0</v>
      </c>
      <c r="N17" s="276">
        <v>232</v>
      </c>
    </row>
    <row r="18" spans="1:14" ht="16" customHeight="1" x14ac:dyDescent="0.2">
      <c r="A18" s="273" t="s">
        <v>542</v>
      </c>
      <c r="B18" s="279" t="s">
        <v>538</v>
      </c>
      <c r="C18" s="274">
        <v>611</v>
      </c>
      <c r="D18" s="275">
        <v>429</v>
      </c>
      <c r="E18" s="275">
        <v>108</v>
      </c>
      <c r="F18" s="275">
        <v>59</v>
      </c>
      <c r="G18" s="275">
        <v>5</v>
      </c>
      <c r="H18" s="275">
        <v>8</v>
      </c>
      <c r="I18" s="275">
        <v>2</v>
      </c>
      <c r="J18" s="278">
        <v>0</v>
      </c>
      <c r="K18" s="278">
        <v>0</v>
      </c>
      <c r="L18" s="276">
        <v>160</v>
      </c>
      <c r="M18" s="278">
        <v>0</v>
      </c>
      <c r="N18" s="276">
        <v>76</v>
      </c>
    </row>
    <row r="19" spans="1:14" ht="16" customHeight="1" x14ac:dyDescent="0.2">
      <c r="A19" s="273" t="s">
        <v>542</v>
      </c>
      <c r="B19" s="280" t="s">
        <v>539</v>
      </c>
      <c r="C19" s="274">
        <v>782</v>
      </c>
      <c r="D19" s="275">
        <v>696</v>
      </c>
      <c r="E19" s="275">
        <v>63</v>
      </c>
      <c r="F19" s="275">
        <v>14</v>
      </c>
      <c r="G19" s="275">
        <v>3</v>
      </c>
      <c r="H19" s="275">
        <v>6</v>
      </c>
      <c r="I19" s="278">
        <v>0</v>
      </c>
      <c r="J19" s="278">
        <v>0</v>
      </c>
      <c r="K19" s="278">
        <v>0</v>
      </c>
      <c r="L19" s="276">
        <v>220</v>
      </c>
      <c r="M19" s="278">
        <v>0</v>
      </c>
      <c r="N19" s="276">
        <v>76</v>
      </c>
    </row>
    <row r="20" spans="1:14" ht="5" customHeight="1" x14ac:dyDescent="0.2">
      <c r="A20" s="271"/>
      <c r="B20" s="271"/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1"/>
      <c r="N20" s="271"/>
    </row>
    <row r="21" spans="1:14" ht="16" customHeight="1" x14ac:dyDescent="0.2">
      <c r="A21" s="273" t="s">
        <v>543</v>
      </c>
      <c r="B21" s="277" t="s">
        <v>537</v>
      </c>
      <c r="C21" s="274">
        <v>522</v>
      </c>
      <c r="D21" s="275">
        <v>193</v>
      </c>
      <c r="E21" s="275">
        <v>99</v>
      </c>
      <c r="F21" s="275">
        <v>110</v>
      </c>
      <c r="G21" s="275">
        <v>22</v>
      </c>
      <c r="H21" s="275">
        <v>64</v>
      </c>
      <c r="I21" s="275">
        <v>20</v>
      </c>
      <c r="J21" s="275">
        <v>14</v>
      </c>
      <c r="K21" s="278">
        <v>0</v>
      </c>
      <c r="L21" s="276">
        <v>206</v>
      </c>
      <c r="M21" s="278">
        <v>0</v>
      </c>
      <c r="N21" s="276">
        <v>246</v>
      </c>
    </row>
    <row r="22" spans="1:14" ht="16" customHeight="1" x14ac:dyDescent="0.2">
      <c r="A22" s="273" t="s">
        <v>543</v>
      </c>
      <c r="B22" s="279" t="s">
        <v>538</v>
      </c>
      <c r="C22" s="274">
        <v>640</v>
      </c>
      <c r="D22" s="275">
        <v>454</v>
      </c>
      <c r="E22" s="275">
        <v>119</v>
      </c>
      <c r="F22" s="275">
        <v>40</v>
      </c>
      <c r="G22" s="275">
        <v>15</v>
      </c>
      <c r="H22" s="275">
        <v>8</v>
      </c>
      <c r="I22" s="275">
        <v>3</v>
      </c>
      <c r="J22" s="275">
        <v>1</v>
      </c>
      <c r="K22" s="278">
        <v>0</v>
      </c>
      <c r="L22" s="276">
        <v>157</v>
      </c>
      <c r="M22" s="278">
        <v>0</v>
      </c>
      <c r="N22" s="276">
        <v>69</v>
      </c>
    </row>
    <row r="23" spans="1:14" ht="16" customHeight="1" x14ac:dyDescent="0.2">
      <c r="A23" s="273" t="s">
        <v>543</v>
      </c>
      <c r="B23" s="280" t="s">
        <v>539</v>
      </c>
      <c r="C23" s="274">
        <v>736</v>
      </c>
      <c r="D23" s="275">
        <v>636</v>
      </c>
      <c r="E23" s="275">
        <v>80</v>
      </c>
      <c r="F23" s="275">
        <v>9</v>
      </c>
      <c r="G23" s="275">
        <v>5</v>
      </c>
      <c r="H23" s="275">
        <v>6</v>
      </c>
      <c r="I23" s="278">
        <v>0</v>
      </c>
      <c r="J23" s="278">
        <v>0</v>
      </c>
      <c r="K23" s="278">
        <v>0</v>
      </c>
      <c r="L23" s="276">
        <v>183</v>
      </c>
      <c r="M23" s="278">
        <v>0</v>
      </c>
      <c r="N23" s="276">
        <v>86</v>
      </c>
    </row>
    <row r="24" spans="1:14" ht="5" customHeight="1" x14ac:dyDescent="0.2">
      <c r="A24" s="271"/>
      <c r="B24" s="271"/>
      <c r="C24" s="271"/>
      <c r="D24" s="271"/>
      <c r="E24" s="271"/>
      <c r="F24" s="271"/>
      <c r="G24" s="271"/>
      <c r="H24" s="271"/>
      <c r="I24" s="271"/>
      <c r="J24" s="271"/>
      <c r="K24" s="271"/>
      <c r="L24" s="271"/>
      <c r="M24" s="271"/>
      <c r="N24" s="271"/>
    </row>
    <row r="25" spans="1:14" ht="16" customHeight="1" x14ac:dyDescent="0.2">
      <c r="A25" s="273" t="s">
        <v>544</v>
      </c>
      <c r="B25" s="277" t="s">
        <v>537</v>
      </c>
      <c r="C25" s="274">
        <v>467</v>
      </c>
      <c r="D25" s="275">
        <v>170</v>
      </c>
      <c r="E25" s="275">
        <v>91</v>
      </c>
      <c r="F25" s="275">
        <v>110</v>
      </c>
      <c r="G25" s="275">
        <v>10</v>
      </c>
      <c r="H25" s="275">
        <v>61</v>
      </c>
      <c r="I25" s="275">
        <v>18</v>
      </c>
      <c r="J25" s="275">
        <v>7</v>
      </c>
      <c r="K25" s="278">
        <v>0</v>
      </c>
      <c r="L25" s="276">
        <v>174</v>
      </c>
      <c r="M25" s="278">
        <v>0</v>
      </c>
      <c r="N25" s="276">
        <v>213</v>
      </c>
    </row>
    <row r="26" spans="1:14" ht="16" customHeight="1" x14ac:dyDescent="0.2">
      <c r="A26" s="273" t="s">
        <v>544</v>
      </c>
      <c r="B26" s="279" t="s">
        <v>538</v>
      </c>
      <c r="C26" s="274">
        <v>640</v>
      </c>
      <c r="D26" s="275">
        <v>439</v>
      </c>
      <c r="E26" s="275">
        <v>128</v>
      </c>
      <c r="F26" s="275">
        <v>56</v>
      </c>
      <c r="G26" s="275">
        <v>8</v>
      </c>
      <c r="H26" s="275">
        <v>8</v>
      </c>
      <c r="I26" s="275">
        <v>1</v>
      </c>
      <c r="J26" s="278">
        <v>0</v>
      </c>
      <c r="K26" s="278">
        <v>0</v>
      </c>
      <c r="L26" s="276">
        <v>177</v>
      </c>
      <c r="M26" s="278">
        <v>0</v>
      </c>
      <c r="N26" s="276">
        <v>94</v>
      </c>
    </row>
    <row r="27" spans="1:14" ht="16" customHeight="1" x14ac:dyDescent="0.2">
      <c r="A27" s="273" t="s">
        <v>544</v>
      </c>
      <c r="B27" s="280" t="s">
        <v>539</v>
      </c>
      <c r="C27" s="274">
        <v>665</v>
      </c>
      <c r="D27" s="275">
        <v>567</v>
      </c>
      <c r="E27" s="275">
        <v>71</v>
      </c>
      <c r="F27" s="275">
        <v>19</v>
      </c>
      <c r="G27" s="275">
        <v>3</v>
      </c>
      <c r="H27" s="275">
        <v>5</v>
      </c>
      <c r="I27" s="278">
        <v>0</v>
      </c>
      <c r="J27" s="278">
        <v>0</v>
      </c>
      <c r="K27" s="278">
        <v>0</v>
      </c>
      <c r="L27" s="276">
        <v>184</v>
      </c>
      <c r="M27" s="278">
        <v>0</v>
      </c>
      <c r="N27" s="276">
        <v>88</v>
      </c>
    </row>
    <row r="28" spans="1:14" ht="5" customHeight="1" x14ac:dyDescent="0.2">
      <c r="A28" s="271"/>
      <c r="B28" s="271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1"/>
      <c r="N28" s="271"/>
    </row>
    <row r="29" spans="1:14" ht="16" customHeight="1" x14ac:dyDescent="0.2">
      <c r="A29" s="273" t="s">
        <v>545</v>
      </c>
      <c r="B29" s="277" t="s">
        <v>537</v>
      </c>
      <c r="C29" s="274">
        <v>516</v>
      </c>
      <c r="D29" s="275">
        <v>187</v>
      </c>
      <c r="E29" s="275">
        <v>92</v>
      </c>
      <c r="F29" s="275">
        <v>108</v>
      </c>
      <c r="G29" s="275">
        <v>17</v>
      </c>
      <c r="H29" s="275">
        <v>72</v>
      </c>
      <c r="I29" s="275">
        <v>30</v>
      </c>
      <c r="J29" s="275">
        <v>10</v>
      </c>
      <c r="K29" s="278">
        <v>0</v>
      </c>
      <c r="L29" s="276">
        <v>180</v>
      </c>
      <c r="M29" s="278">
        <v>0</v>
      </c>
      <c r="N29" s="276">
        <v>242</v>
      </c>
    </row>
    <row r="30" spans="1:14" ht="16" customHeight="1" x14ac:dyDescent="0.2">
      <c r="A30" s="273" t="s">
        <v>545</v>
      </c>
      <c r="B30" s="279" t="s">
        <v>538</v>
      </c>
      <c r="C30" s="274">
        <v>678</v>
      </c>
      <c r="D30" s="275">
        <v>468</v>
      </c>
      <c r="E30" s="275">
        <v>108</v>
      </c>
      <c r="F30" s="275">
        <v>80</v>
      </c>
      <c r="G30" s="275">
        <v>5</v>
      </c>
      <c r="H30" s="275">
        <v>17</v>
      </c>
      <c r="I30" s="278">
        <v>0</v>
      </c>
      <c r="J30" s="278">
        <v>0</v>
      </c>
      <c r="K30" s="278">
        <v>0</v>
      </c>
      <c r="L30" s="276">
        <v>187</v>
      </c>
      <c r="M30" s="278">
        <v>0</v>
      </c>
      <c r="N30" s="276">
        <v>106</v>
      </c>
    </row>
    <row r="31" spans="1:14" ht="16" customHeight="1" x14ac:dyDescent="0.2">
      <c r="A31" s="273" t="s">
        <v>545</v>
      </c>
      <c r="B31" s="280" t="s">
        <v>539</v>
      </c>
      <c r="C31" s="274">
        <v>713</v>
      </c>
      <c r="D31" s="275">
        <v>598</v>
      </c>
      <c r="E31" s="275">
        <v>91</v>
      </c>
      <c r="F31" s="275">
        <v>14</v>
      </c>
      <c r="G31" s="275">
        <v>6</v>
      </c>
      <c r="H31" s="275">
        <v>3</v>
      </c>
      <c r="I31" s="275">
        <v>1</v>
      </c>
      <c r="J31" s="278">
        <v>0</v>
      </c>
      <c r="K31" s="278">
        <v>0</v>
      </c>
      <c r="L31" s="276">
        <v>201</v>
      </c>
      <c r="M31" s="278">
        <v>0</v>
      </c>
      <c r="N31" s="276">
        <v>101</v>
      </c>
    </row>
    <row r="32" spans="1:14" ht="5" customHeight="1" x14ac:dyDescent="0.2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/>
      <c r="N32" s="271"/>
    </row>
    <row r="33" spans="1:14" ht="16" customHeight="1" x14ac:dyDescent="0.2">
      <c r="A33" s="273" t="s">
        <v>546</v>
      </c>
      <c r="B33" s="277" t="s">
        <v>537</v>
      </c>
      <c r="C33" s="274">
        <v>644</v>
      </c>
      <c r="D33" s="275">
        <v>208</v>
      </c>
      <c r="E33" s="275">
        <v>100</v>
      </c>
      <c r="F33" s="275">
        <v>173</v>
      </c>
      <c r="G33" s="275">
        <v>30</v>
      </c>
      <c r="H33" s="275">
        <v>79</v>
      </c>
      <c r="I33" s="275">
        <v>31</v>
      </c>
      <c r="J33" s="275">
        <v>23</v>
      </c>
      <c r="K33" s="278">
        <v>0</v>
      </c>
      <c r="L33" s="276">
        <v>242</v>
      </c>
      <c r="M33" s="278">
        <v>0</v>
      </c>
      <c r="N33" s="276">
        <v>294</v>
      </c>
    </row>
    <row r="34" spans="1:14" ht="16" customHeight="1" x14ac:dyDescent="0.2">
      <c r="A34" s="273" t="s">
        <v>546</v>
      </c>
      <c r="B34" s="279" t="s">
        <v>538</v>
      </c>
      <c r="C34" s="274">
        <v>819</v>
      </c>
      <c r="D34" s="275">
        <v>574</v>
      </c>
      <c r="E34" s="275">
        <v>131</v>
      </c>
      <c r="F34" s="275">
        <v>88</v>
      </c>
      <c r="G34" s="275">
        <v>10</v>
      </c>
      <c r="H34" s="275">
        <v>13</v>
      </c>
      <c r="I34" s="275">
        <v>3</v>
      </c>
      <c r="J34" s="278">
        <v>0</v>
      </c>
      <c r="K34" s="278">
        <v>0</v>
      </c>
      <c r="L34" s="276">
        <v>196</v>
      </c>
      <c r="M34" s="278">
        <v>0</v>
      </c>
      <c r="N34" s="276">
        <v>132</v>
      </c>
    </row>
    <row r="35" spans="1:14" ht="16" customHeight="1" x14ac:dyDescent="0.2">
      <c r="A35" s="273" t="s">
        <v>546</v>
      </c>
      <c r="B35" s="280" t="s">
        <v>539</v>
      </c>
      <c r="C35" s="274">
        <v>773</v>
      </c>
      <c r="D35" s="275">
        <v>646</v>
      </c>
      <c r="E35" s="275">
        <v>98</v>
      </c>
      <c r="F35" s="275">
        <v>13</v>
      </c>
      <c r="G35" s="275">
        <v>4</v>
      </c>
      <c r="H35" s="275">
        <v>8</v>
      </c>
      <c r="I35" s="275">
        <v>3</v>
      </c>
      <c r="J35" s="275">
        <v>1</v>
      </c>
      <c r="K35" s="278">
        <v>0</v>
      </c>
      <c r="L35" s="276">
        <v>198</v>
      </c>
      <c r="M35" s="278">
        <v>0</v>
      </c>
      <c r="N35" s="276">
        <v>129</v>
      </c>
    </row>
    <row r="36" spans="1:14" ht="5" customHeight="1" x14ac:dyDescent="0.2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71"/>
      <c r="N36" s="271"/>
    </row>
    <row r="37" spans="1:14" ht="16" customHeight="1" x14ac:dyDescent="0.2">
      <c r="A37" s="273" t="s">
        <v>547</v>
      </c>
      <c r="B37" s="277" t="s">
        <v>537</v>
      </c>
      <c r="C37" s="274">
        <v>517</v>
      </c>
      <c r="D37" s="275">
        <v>167</v>
      </c>
      <c r="E37" s="275">
        <v>95</v>
      </c>
      <c r="F37" s="275">
        <v>128</v>
      </c>
      <c r="G37" s="275">
        <v>15</v>
      </c>
      <c r="H37" s="275">
        <v>68</v>
      </c>
      <c r="I37" s="275">
        <v>25</v>
      </c>
      <c r="J37" s="275">
        <v>19</v>
      </c>
      <c r="K37" s="278">
        <v>0</v>
      </c>
      <c r="L37" s="276">
        <v>159</v>
      </c>
      <c r="M37" s="278">
        <v>0</v>
      </c>
      <c r="N37" s="276">
        <v>239</v>
      </c>
    </row>
    <row r="38" spans="1:14" ht="16" customHeight="1" x14ac:dyDescent="0.2">
      <c r="A38" s="273" t="s">
        <v>547</v>
      </c>
      <c r="B38" s="279" t="s">
        <v>538</v>
      </c>
      <c r="C38" s="274">
        <v>721</v>
      </c>
      <c r="D38" s="275">
        <v>531</v>
      </c>
      <c r="E38" s="275">
        <v>113</v>
      </c>
      <c r="F38" s="275">
        <v>54</v>
      </c>
      <c r="G38" s="275">
        <v>12</v>
      </c>
      <c r="H38" s="275">
        <v>10</v>
      </c>
      <c r="I38" s="275">
        <v>1</v>
      </c>
      <c r="J38" s="278">
        <v>0</v>
      </c>
      <c r="K38" s="278">
        <v>0</v>
      </c>
      <c r="L38" s="276">
        <v>174</v>
      </c>
      <c r="M38" s="278">
        <v>0</v>
      </c>
      <c r="N38" s="276">
        <v>116</v>
      </c>
    </row>
    <row r="39" spans="1:14" ht="16" customHeight="1" x14ac:dyDescent="0.2">
      <c r="A39" s="273" t="s">
        <v>547</v>
      </c>
      <c r="B39" s="280" t="s">
        <v>539</v>
      </c>
      <c r="C39" s="274">
        <v>667</v>
      </c>
      <c r="D39" s="275">
        <v>534</v>
      </c>
      <c r="E39" s="275">
        <v>113</v>
      </c>
      <c r="F39" s="275">
        <v>14</v>
      </c>
      <c r="G39" s="275">
        <v>3</v>
      </c>
      <c r="H39" s="275">
        <v>3</v>
      </c>
      <c r="I39" s="278">
        <v>0</v>
      </c>
      <c r="J39" s="278">
        <v>0</v>
      </c>
      <c r="K39" s="278">
        <v>0</v>
      </c>
      <c r="L39" s="276">
        <v>167</v>
      </c>
      <c r="M39" s="278">
        <v>0</v>
      </c>
      <c r="N39" s="276">
        <v>119</v>
      </c>
    </row>
    <row r="40" spans="1:14" ht="5" customHeight="1" x14ac:dyDescent="0.2">
      <c r="A40" s="271"/>
      <c r="B40" s="271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1"/>
      <c r="N40" s="271"/>
    </row>
    <row r="41" spans="1:14" ht="16" customHeight="1" x14ac:dyDescent="0.2">
      <c r="A41" s="273" t="s">
        <v>548</v>
      </c>
      <c r="B41" s="277" t="s">
        <v>537</v>
      </c>
      <c r="C41" s="274">
        <v>797</v>
      </c>
      <c r="D41" s="275">
        <v>248</v>
      </c>
      <c r="E41" s="275">
        <v>140</v>
      </c>
      <c r="F41" s="275">
        <v>217</v>
      </c>
      <c r="G41" s="275">
        <v>29</v>
      </c>
      <c r="H41" s="275">
        <v>106</v>
      </c>
      <c r="I41" s="275">
        <v>42</v>
      </c>
      <c r="J41" s="275">
        <v>15</v>
      </c>
      <c r="K41" s="278">
        <v>0</v>
      </c>
      <c r="L41" s="276">
        <v>165</v>
      </c>
      <c r="M41" s="278">
        <v>0</v>
      </c>
      <c r="N41" s="276">
        <v>361</v>
      </c>
    </row>
    <row r="42" spans="1:14" ht="16" customHeight="1" x14ac:dyDescent="0.2">
      <c r="A42" s="273" t="s">
        <v>548</v>
      </c>
      <c r="B42" s="279" t="s">
        <v>538</v>
      </c>
      <c r="C42" s="274">
        <v>1009</v>
      </c>
      <c r="D42" s="275">
        <v>726</v>
      </c>
      <c r="E42" s="275">
        <v>190</v>
      </c>
      <c r="F42" s="275">
        <v>65</v>
      </c>
      <c r="G42" s="275">
        <v>11</v>
      </c>
      <c r="H42" s="275">
        <v>15</v>
      </c>
      <c r="I42" s="275">
        <v>2</v>
      </c>
      <c r="J42" s="278">
        <v>0</v>
      </c>
      <c r="K42" s="278">
        <v>0</v>
      </c>
      <c r="L42" s="276">
        <v>234</v>
      </c>
      <c r="M42" s="278">
        <v>0</v>
      </c>
      <c r="N42" s="276">
        <v>170</v>
      </c>
    </row>
    <row r="43" spans="1:14" ht="16" customHeight="1" x14ac:dyDescent="0.2">
      <c r="A43" s="273" t="s">
        <v>548</v>
      </c>
      <c r="B43" s="280" t="s">
        <v>539</v>
      </c>
      <c r="C43" s="274">
        <v>688</v>
      </c>
      <c r="D43" s="275">
        <v>588</v>
      </c>
      <c r="E43" s="275">
        <v>84</v>
      </c>
      <c r="F43" s="275">
        <v>8</v>
      </c>
      <c r="G43" s="275">
        <v>3</v>
      </c>
      <c r="H43" s="275">
        <v>4</v>
      </c>
      <c r="I43" s="275">
        <v>1</v>
      </c>
      <c r="J43" s="278">
        <v>0</v>
      </c>
      <c r="K43" s="278">
        <v>0</v>
      </c>
      <c r="L43" s="276">
        <v>167</v>
      </c>
      <c r="M43" s="278">
        <v>0</v>
      </c>
      <c r="N43" s="276">
        <v>99</v>
      </c>
    </row>
    <row r="44" spans="1:14" ht="5" customHeight="1" x14ac:dyDescent="0.2">
      <c r="A44" s="271"/>
      <c r="B44" s="271"/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271"/>
    </row>
    <row r="45" spans="1:14" ht="16" customHeight="1" x14ac:dyDescent="0.2">
      <c r="A45" s="273" t="s">
        <v>549</v>
      </c>
      <c r="B45" s="277" t="s">
        <v>537</v>
      </c>
      <c r="C45" s="274">
        <v>1017</v>
      </c>
      <c r="D45" s="275">
        <v>334</v>
      </c>
      <c r="E45" s="275">
        <v>178</v>
      </c>
      <c r="F45" s="275">
        <v>277</v>
      </c>
      <c r="G45" s="275">
        <v>27</v>
      </c>
      <c r="H45" s="275">
        <v>123</v>
      </c>
      <c r="I45" s="275">
        <v>54</v>
      </c>
      <c r="J45" s="275">
        <v>24</v>
      </c>
      <c r="K45" s="278">
        <v>0</v>
      </c>
      <c r="L45" s="276">
        <v>246</v>
      </c>
      <c r="M45" s="278">
        <v>0</v>
      </c>
      <c r="N45" s="276">
        <v>456</v>
      </c>
    </row>
    <row r="46" spans="1:14" ht="16" customHeight="1" x14ac:dyDescent="0.2">
      <c r="A46" s="273" t="s">
        <v>549</v>
      </c>
      <c r="B46" s="279" t="s">
        <v>538</v>
      </c>
      <c r="C46" s="274">
        <v>1189</v>
      </c>
      <c r="D46" s="275">
        <v>876</v>
      </c>
      <c r="E46" s="275">
        <v>203</v>
      </c>
      <c r="F46" s="275">
        <v>88</v>
      </c>
      <c r="G46" s="275">
        <v>10</v>
      </c>
      <c r="H46" s="275">
        <v>11</v>
      </c>
      <c r="I46" s="275">
        <v>1</v>
      </c>
      <c r="J46" s="278">
        <v>0</v>
      </c>
      <c r="K46" s="278">
        <v>0</v>
      </c>
      <c r="L46" s="276">
        <v>275</v>
      </c>
      <c r="M46" s="278">
        <v>0</v>
      </c>
      <c r="N46" s="276">
        <v>210</v>
      </c>
    </row>
    <row r="47" spans="1:14" ht="16" customHeight="1" x14ac:dyDescent="0.2">
      <c r="A47" s="273" t="s">
        <v>549</v>
      </c>
      <c r="B47" s="280" t="s">
        <v>539</v>
      </c>
      <c r="C47" s="274">
        <v>1102</v>
      </c>
      <c r="D47" s="275">
        <v>915</v>
      </c>
      <c r="E47" s="275">
        <v>152</v>
      </c>
      <c r="F47" s="275">
        <v>20</v>
      </c>
      <c r="G47" s="275">
        <v>8</v>
      </c>
      <c r="H47" s="275">
        <v>6</v>
      </c>
      <c r="I47" s="275">
        <v>1</v>
      </c>
      <c r="J47" s="278">
        <v>0</v>
      </c>
      <c r="K47" s="278">
        <v>0</v>
      </c>
      <c r="L47" s="276">
        <v>261</v>
      </c>
      <c r="M47" s="278">
        <v>0</v>
      </c>
      <c r="N47" s="276">
        <v>166</v>
      </c>
    </row>
    <row r="48" spans="1:14" ht="5" customHeight="1" x14ac:dyDescent="0.2">
      <c r="A48" s="271"/>
      <c r="B48" s="271"/>
      <c r="C48" s="271"/>
      <c r="D48" s="271"/>
      <c r="E48" s="271"/>
      <c r="F48" s="271"/>
      <c r="G48" s="271"/>
      <c r="H48" s="271"/>
      <c r="I48" s="271"/>
      <c r="J48" s="271"/>
      <c r="K48" s="271"/>
      <c r="L48" s="271"/>
      <c r="M48" s="271"/>
      <c r="N48" s="271"/>
    </row>
    <row r="49" spans="1:14" ht="16" customHeight="1" x14ac:dyDescent="0.2">
      <c r="A49" s="273" t="s">
        <v>550</v>
      </c>
      <c r="B49" s="277" t="s">
        <v>537</v>
      </c>
      <c r="C49" s="274">
        <v>1102</v>
      </c>
      <c r="D49" s="275">
        <v>384</v>
      </c>
      <c r="E49" s="275">
        <v>175</v>
      </c>
      <c r="F49" s="275">
        <v>287</v>
      </c>
      <c r="G49" s="275">
        <v>24</v>
      </c>
      <c r="H49" s="275">
        <v>151</v>
      </c>
      <c r="I49" s="275">
        <v>60</v>
      </c>
      <c r="J49" s="275">
        <v>21</v>
      </c>
      <c r="K49" s="278">
        <v>0</v>
      </c>
      <c r="L49" s="276">
        <v>400</v>
      </c>
      <c r="M49" s="278">
        <v>0</v>
      </c>
      <c r="N49" s="276">
        <v>477</v>
      </c>
    </row>
    <row r="50" spans="1:14" ht="16" customHeight="1" x14ac:dyDescent="0.2">
      <c r="A50" s="273" t="s">
        <v>550</v>
      </c>
      <c r="B50" s="279" t="s">
        <v>538</v>
      </c>
      <c r="C50" s="274">
        <v>1204</v>
      </c>
      <c r="D50" s="275">
        <v>878</v>
      </c>
      <c r="E50" s="275">
        <v>186</v>
      </c>
      <c r="F50" s="275">
        <v>105</v>
      </c>
      <c r="G50" s="275">
        <v>16</v>
      </c>
      <c r="H50" s="275">
        <v>19</v>
      </c>
      <c r="I50" s="278">
        <v>0</v>
      </c>
      <c r="J50" s="278">
        <v>0</v>
      </c>
      <c r="K50" s="278">
        <v>0</v>
      </c>
      <c r="L50" s="276">
        <v>331</v>
      </c>
      <c r="M50" s="278">
        <v>0</v>
      </c>
      <c r="N50" s="276">
        <v>214</v>
      </c>
    </row>
    <row r="51" spans="1:14" ht="16" customHeight="1" x14ac:dyDescent="0.2">
      <c r="A51" s="273" t="s">
        <v>550</v>
      </c>
      <c r="B51" s="280" t="s">
        <v>539</v>
      </c>
      <c r="C51" s="274">
        <v>1092</v>
      </c>
      <c r="D51" s="275">
        <v>896</v>
      </c>
      <c r="E51" s="275">
        <v>154</v>
      </c>
      <c r="F51" s="275">
        <v>21</v>
      </c>
      <c r="G51" s="275">
        <v>11</v>
      </c>
      <c r="H51" s="275">
        <v>10</v>
      </c>
      <c r="I51" s="278">
        <v>0</v>
      </c>
      <c r="J51" s="278">
        <v>0</v>
      </c>
      <c r="K51" s="278">
        <v>0</v>
      </c>
      <c r="L51" s="276">
        <v>282</v>
      </c>
      <c r="M51" s="278">
        <v>0</v>
      </c>
      <c r="N51" s="276">
        <v>187</v>
      </c>
    </row>
    <row r="52" spans="1:14" ht="5" customHeight="1" x14ac:dyDescent="0.2">
      <c r="A52" s="271"/>
      <c r="B52" s="271"/>
      <c r="C52" s="271"/>
      <c r="D52" s="271"/>
      <c r="E52" s="271"/>
      <c r="F52" s="271"/>
      <c r="G52" s="271"/>
      <c r="H52" s="271"/>
      <c r="I52" s="271"/>
      <c r="J52" s="271"/>
      <c r="K52" s="271"/>
      <c r="L52" s="271"/>
      <c r="M52" s="271"/>
      <c r="N52" s="271"/>
    </row>
    <row r="53" spans="1:14" ht="16" customHeight="1" x14ac:dyDescent="0.2">
      <c r="A53" s="273" t="s">
        <v>551</v>
      </c>
      <c r="B53" s="277" t="s">
        <v>537</v>
      </c>
      <c r="C53" s="274">
        <v>1267</v>
      </c>
      <c r="D53" s="275">
        <v>454</v>
      </c>
      <c r="E53" s="275">
        <v>162</v>
      </c>
      <c r="F53" s="275">
        <v>339</v>
      </c>
      <c r="G53" s="275">
        <v>26</v>
      </c>
      <c r="H53" s="275">
        <v>184</v>
      </c>
      <c r="I53" s="275">
        <v>72</v>
      </c>
      <c r="J53" s="275">
        <v>30</v>
      </c>
      <c r="K53" s="278">
        <v>0</v>
      </c>
      <c r="L53" s="276">
        <v>489</v>
      </c>
      <c r="M53" s="278">
        <v>0</v>
      </c>
      <c r="N53" s="276">
        <v>561</v>
      </c>
    </row>
    <row r="54" spans="1:14" ht="16" customHeight="1" x14ac:dyDescent="0.2">
      <c r="A54" s="273" t="s">
        <v>551</v>
      </c>
      <c r="B54" s="279" t="s">
        <v>538</v>
      </c>
      <c r="C54" s="274">
        <v>1273</v>
      </c>
      <c r="D54" s="275">
        <v>940</v>
      </c>
      <c r="E54" s="275">
        <v>223</v>
      </c>
      <c r="F54" s="275">
        <v>76</v>
      </c>
      <c r="G54" s="275">
        <v>12</v>
      </c>
      <c r="H54" s="275">
        <v>20</v>
      </c>
      <c r="I54" s="275">
        <v>2</v>
      </c>
      <c r="J54" s="278">
        <v>0</v>
      </c>
      <c r="K54" s="278">
        <v>0</v>
      </c>
      <c r="L54" s="276">
        <v>338</v>
      </c>
      <c r="M54" s="278">
        <v>0</v>
      </c>
      <c r="N54" s="276">
        <v>221</v>
      </c>
    </row>
    <row r="55" spans="1:14" ht="16" customHeight="1" x14ac:dyDescent="0.2">
      <c r="A55" s="273" t="s">
        <v>551</v>
      </c>
      <c r="B55" s="280" t="s">
        <v>539</v>
      </c>
      <c r="C55" s="274">
        <v>1246</v>
      </c>
      <c r="D55" s="275">
        <v>1021</v>
      </c>
      <c r="E55" s="275">
        <v>174</v>
      </c>
      <c r="F55" s="275">
        <v>27</v>
      </c>
      <c r="G55" s="275">
        <v>9</v>
      </c>
      <c r="H55" s="275">
        <v>14</v>
      </c>
      <c r="I55" s="275">
        <v>1</v>
      </c>
      <c r="J55" s="278">
        <v>0</v>
      </c>
      <c r="K55" s="278">
        <v>0</v>
      </c>
      <c r="L55" s="276">
        <v>309</v>
      </c>
      <c r="M55" s="278">
        <v>0</v>
      </c>
      <c r="N55" s="276">
        <v>215</v>
      </c>
    </row>
    <row r="56" spans="1:14" ht="5" customHeight="1" x14ac:dyDescent="0.2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</row>
    <row r="57" spans="1:14" ht="16" customHeight="1" x14ac:dyDescent="0.2">
      <c r="A57" s="273" t="s">
        <v>552</v>
      </c>
      <c r="B57" s="277" t="s">
        <v>537</v>
      </c>
      <c r="C57" s="274">
        <v>791</v>
      </c>
      <c r="D57" s="275">
        <v>209</v>
      </c>
      <c r="E57" s="275">
        <v>84</v>
      </c>
      <c r="F57" s="275">
        <v>221</v>
      </c>
      <c r="G57" s="275">
        <v>21</v>
      </c>
      <c r="H57" s="275">
        <v>151</v>
      </c>
      <c r="I57" s="275">
        <v>76</v>
      </c>
      <c r="J57" s="275">
        <v>29</v>
      </c>
      <c r="K57" s="278">
        <v>0</v>
      </c>
      <c r="L57" s="276">
        <v>283</v>
      </c>
      <c r="M57" s="278">
        <v>0</v>
      </c>
      <c r="N57" s="276">
        <v>418</v>
      </c>
    </row>
    <row r="58" spans="1:14" ht="16" customHeight="1" x14ac:dyDescent="0.2">
      <c r="A58" s="273" t="s">
        <v>552</v>
      </c>
      <c r="B58" s="279" t="s">
        <v>538</v>
      </c>
      <c r="C58" s="274">
        <v>1138</v>
      </c>
      <c r="D58" s="275">
        <v>866</v>
      </c>
      <c r="E58" s="275">
        <v>188</v>
      </c>
      <c r="F58" s="275">
        <v>59</v>
      </c>
      <c r="G58" s="275">
        <v>12</v>
      </c>
      <c r="H58" s="275">
        <v>12</v>
      </c>
      <c r="I58" s="275">
        <v>1</v>
      </c>
      <c r="J58" s="278">
        <v>0</v>
      </c>
      <c r="K58" s="278">
        <v>0</v>
      </c>
      <c r="L58" s="276">
        <v>258</v>
      </c>
      <c r="M58" s="278">
        <v>0</v>
      </c>
      <c r="N58" s="276">
        <v>177</v>
      </c>
    </row>
    <row r="59" spans="1:14" ht="16" customHeight="1" x14ac:dyDescent="0.2">
      <c r="A59" s="273" t="s">
        <v>552</v>
      </c>
      <c r="B59" s="280" t="s">
        <v>539</v>
      </c>
      <c r="C59" s="274">
        <v>1015</v>
      </c>
      <c r="D59" s="275">
        <v>827</v>
      </c>
      <c r="E59" s="275">
        <v>137</v>
      </c>
      <c r="F59" s="275">
        <v>21</v>
      </c>
      <c r="G59" s="275">
        <v>15</v>
      </c>
      <c r="H59" s="275">
        <v>13</v>
      </c>
      <c r="I59" s="275">
        <v>2</v>
      </c>
      <c r="J59" s="278">
        <v>0</v>
      </c>
      <c r="K59" s="278">
        <v>0</v>
      </c>
      <c r="L59" s="276">
        <v>205</v>
      </c>
      <c r="M59" s="278">
        <v>0</v>
      </c>
      <c r="N59" s="276">
        <v>167</v>
      </c>
    </row>
    <row r="60" spans="1:14" ht="5" customHeight="1" x14ac:dyDescent="0.2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</row>
    <row r="61" spans="1:14" ht="16" customHeight="1" x14ac:dyDescent="0.2">
      <c r="A61" s="273" t="s">
        <v>553</v>
      </c>
      <c r="B61" s="277" t="s">
        <v>537</v>
      </c>
      <c r="C61" s="274">
        <v>807</v>
      </c>
      <c r="D61" s="275">
        <v>258</v>
      </c>
      <c r="E61" s="275">
        <v>106</v>
      </c>
      <c r="F61" s="275">
        <v>198</v>
      </c>
      <c r="G61" s="275">
        <v>18</v>
      </c>
      <c r="H61" s="275">
        <v>135</v>
      </c>
      <c r="I61" s="275">
        <v>60</v>
      </c>
      <c r="J61" s="275">
        <v>32</v>
      </c>
      <c r="K61" s="276">
        <v>7</v>
      </c>
      <c r="L61" s="276">
        <v>275</v>
      </c>
      <c r="M61" s="276">
        <v>7</v>
      </c>
      <c r="N61" s="276">
        <v>358</v>
      </c>
    </row>
    <row r="62" spans="1:14" ht="16" customHeight="1" x14ac:dyDescent="0.2">
      <c r="A62" s="273" t="s">
        <v>553</v>
      </c>
      <c r="B62" s="279" t="s">
        <v>538</v>
      </c>
      <c r="C62" s="274">
        <v>942</v>
      </c>
      <c r="D62" s="275">
        <v>683</v>
      </c>
      <c r="E62" s="275">
        <v>165</v>
      </c>
      <c r="F62" s="275">
        <v>71</v>
      </c>
      <c r="G62" s="275">
        <v>9</v>
      </c>
      <c r="H62" s="275">
        <v>9</v>
      </c>
      <c r="I62" s="275">
        <v>5</v>
      </c>
      <c r="J62" s="278">
        <v>0</v>
      </c>
      <c r="K62" s="276">
        <v>79</v>
      </c>
      <c r="L62" s="276">
        <v>151</v>
      </c>
      <c r="M62" s="276">
        <v>51</v>
      </c>
      <c r="N62" s="276">
        <v>134</v>
      </c>
    </row>
    <row r="63" spans="1:14" ht="16" customHeight="1" x14ac:dyDescent="0.2">
      <c r="A63" s="273" t="s">
        <v>553</v>
      </c>
      <c r="B63" s="280" t="s">
        <v>539</v>
      </c>
      <c r="C63" s="274">
        <v>955</v>
      </c>
      <c r="D63" s="275">
        <v>788</v>
      </c>
      <c r="E63" s="275">
        <v>127</v>
      </c>
      <c r="F63" s="275">
        <v>15</v>
      </c>
      <c r="G63" s="275">
        <v>13</v>
      </c>
      <c r="H63" s="275">
        <v>12</v>
      </c>
      <c r="I63" s="278">
        <v>0</v>
      </c>
      <c r="J63" s="278">
        <v>0</v>
      </c>
      <c r="K63" s="276">
        <v>102</v>
      </c>
      <c r="L63" s="276">
        <v>158</v>
      </c>
      <c r="M63" s="276">
        <v>61</v>
      </c>
      <c r="N63" s="276">
        <v>155</v>
      </c>
    </row>
    <row r="64" spans="1:14" ht="5" customHeight="1" x14ac:dyDescent="0.2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</row>
    <row r="65" spans="1:14" ht="16" customHeight="1" x14ac:dyDescent="0.2">
      <c r="A65" s="273" t="s">
        <v>554</v>
      </c>
      <c r="B65" s="277" t="s">
        <v>537</v>
      </c>
      <c r="C65" s="274">
        <v>741</v>
      </c>
      <c r="D65" s="275">
        <v>281</v>
      </c>
      <c r="E65" s="275">
        <v>82</v>
      </c>
      <c r="F65" s="275">
        <v>187</v>
      </c>
      <c r="G65" s="275">
        <v>10</v>
      </c>
      <c r="H65" s="275">
        <v>98</v>
      </c>
      <c r="I65" s="275">
        <v>53</v>
      </c>
      <c r="J65" s="275">
        <v>30</v>
      </c>
      <c r="K65" s="276">
        <v>17</v>
      </c>
      <c r="L65" s="276">
        <v>260</v>
      </c>
      <c r="M65" s="276">
        <v>7</v>
      </c>
      <c r="N65" s="276">
        <v>313</v>
      </c>
    </row>
    <row r="66" spans="1:14" ht="16" customHeight="1" x14ac:dyDescent="0.2">
      <c r="A66" s="273" t="s">
        <v>554</v>
      </c>
      <c r="B66" s="279" t="s">
        <v>538</v>
      </c>
      <c r="C66" s="274">
        <v>1002</v>
      </c>
      <c r="D66" s="275">
        <v>715</v>
      </c>
      <c r="E66" s="275">
        <v>187</v>
      </c>
      <c r="F66" s="275">
        <v>68</v>
      </c>
      <c r="G66" s="275">
        <v>12</v>
      </c>
      <c r="H66" s="275">
        <v>14</v>
      </c>
      <c r="I66" s="275">
        <v>6</v>
      </c>
      <c r="J66" s="278">
        <v>0</v>
      </c>
      <c r="K66" s="276">
        <v>213</v>
      </c>
      <c r="L66" s="276">
        <v>85</v>
      </c>
      <c r="M66" s="276">
        <v>127</v>
      </c>
      <c r="N66" s="276">
        <v>141</v>
      </c>
    </row>
    <row r="67" spans="1:14" ht="16" customHeight="1" x14ac:dyDescent="0.2">
      <c r="A67" s="273" t="s">
        <v>554</v>
      </c>
      <c r="B67" s="280" t="s">
        <v>539</v>
      </c>
      <c r="C67" s="274">
        <v>755</v>
      </c>
      <c r="D67" s="275">
        <v>603</v>
      </c>
      <c r="E67" s="275">
        <v>117</v>
      </c>
      <c r="F67" s="275">
        <v>20</v>
      </c>
      <c r="G67" s="275">
        <v>9</v>
      </c>
      <c r="H67" s="275">
        <v>4</v>
      </c>
      <c r="I67" s="275">
        <v>2</v>
      </c>
      <c r="J67" s="278">
        <v>0</v>
      </c>
      <c r="K67" s="276">
        <v>159</v>
      </c>
      <c r="L67" s="276">
        <v>82</v>
      </c>
      <c r="M67" s="276">
        <v>98</v>
      </c>
      <c r="N67" s="276">
        <v>127</v>
      </c>
    </row>
    <row r="68" spans="1:14" ht="5" customHeight="1" x14ac:dyDescent="0.2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</row>
    <row r="69" spans="1:14" ht="16" customHeight="1" x14ac:dyDescent="0.2">
      <c r="A69" s="273" t="s">
        <v>555</v>
      </c>
      <c r="B69" s="277" t="s">
        <v>537</v>
      </c>
      <c r="C69" s="274">
        <v>737</v>
      </c>
      <c r="D69" s="275">
        <v>293</v>
      </c>
      <c r="E69" s="275">
        <v>95</v>
      </c>
      <c r="F69" s="275">
        <v>171</v>
      </c>
      <c r="G69" s="275">
        <v>17</v>
      </c>
      <c r="H69" s="275">
        <v>87</v>
      </c>
      <c r="I69" s="275">
        <v>51</v>
      </c>
      <c r="J69" s="275">
        <v>23</v>
      </c>
      <c r="K69" s="276">
        <v>14</v>
      </c>
      <c r="L69" s="276">
        <v>232</v>
      </c>
      <c r="M69" s="276">
        <v>16</v>
      </c>
      <c r="N69" s="276">
        <v>301</v>
      </c>
    </row>
    <row r="70" spans="1:14" ht="16" customHeight="1" x14ac:dyDescent="0.2">
      <c r="A70" s="273" t="s">
        <v>555</v>
      </c>
      <c r="B70" s="279" t="s">
        <v>538</v>
      </c>
      <c r="C70" s="274">
        <v>986</v>
      </c>
      <c r="D70" s="275">
        <v>656</v>
      </c>
      <c r="E70" s="275">
        <v>201</v>
      </c>
      <c r="F70" s="275">
        <v>98</v>
      </c>
      <c r="G70" s="275">
        <v>14</v>
      </c>
      <c r="H70" s="275">
        <v>13</v>
      </c>
      <c r="I70" s="275">
        <v>4</v>
      </c>
      <c r="J70" s="278">
        <v>0</v>
      </c>
      <c r="K70" s="276">
        <v>205</v>
      </c>
      <c r="L70" s="276">
        <v>72</v>
      </c>
      <c r="M70" s="276">
        <v>116</v>
      </c>
      <c r="N70" s="276">
        <v>148</v>
      </c>
    </row>
    <row r="71" spans="1:14" ht="16" customHeight="1" x14ac:dyDescent="0.2">
      <c r="A71" s="273" t="s">
        <v>555</v>
      </c>
      <c r="B71" s="280" t="s">
        <v>539</v>
      </c>
      <c r="C71" s="274">
        <v>745</v>
      </c>
      <c r="D71" s="275">
        <v>601</v>
      </c>
      <c r="E71" s="275">
        <v>109</v>
      </c>
      <c r="F71" s="275">
        <v>19</v>
      </c>
      <c r="G71" s="275">
        <v>8</v>
      </c>
      <c r="H71" s="275">
        <v>8</v>
      </c>
      <c r="I71" s="278">
        <v>0</v>
      </c>
      <c r="J71" s="278">
        <v>0</v>
      </c>
      <c r="K71" s="276">
        <v>168</v>
      </c>
      <c r="L71" s="276">
        <v>68</v>
      </c>
      <c r="M71" s="276">
        <v>94</v>
      </c>
      <c r="N71" s="276">
        <v>129</v>
      </c>
    </row>
    <row r="72" spans="1:14" ht="5" customHeight="1" x14ac:dyDescent="0.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</row>
    <row r="73" spans="1:14" ht="16" customHeight="1" x14ac:dyDescent="0.2">
      <c r="A73" s="273" t="s">
        <v>484</v>
      </c>
      <c r="B73" s="277" t="s">
        <v>537</v>
      </c>
      <c r="C73" s="274">
        <v>717</v>
      </c>
      <c r="D73" s="275">
        <v>260</v>
      </c>
      <c r="E73" s="275">
        <v>80</v>
      </c>
      <c r="F73" s="275">
        <v>166</v>
      </c>
      <c r="G73" s="275">
        <v>14</v>
      </c>
      <c r="H73" s="275">
        <v>106</v>
      </c>
      <c r="I73" s="275">
        <v>66</v>
      </c>
      <c r="J73" s="275">
        <v>25</v>
      </c>
      <c r="K73" s="276">
        <v>12</v>
      </c>
      <c r="L73" s="276">
        <v>213</v>
      </c>
      <c r="M73" s="276">
        <v>11</v>
      </c>
      <c r="N73" s="276">
        <v>320</v>
      </c>
    </row>
    <row r="74" spans="1:14" ht="16" customHeight="1" x14ac:dyDescent="0.2">
      <c r="A74" s="273" t="s">
        <v>484</v>
      </c>
      <c r="B74" s="279" t="s">
        <v>538</v>
      </c>
      <c r="C74" s="274">
        <v>1052</v>
      </c>
      <c r="D74" s="275">
        <v>741</v>
      </c>
      <c r="E74" s="275">
        <v>206</v>
      </c>
      <c r="F74" s="275">
        <v>71</v>
      </c>
      <c r="G74" s="275">
        <v>13</v>
      </c>
      <c r="H74" s="275">
        <v>16</v>
      </c>
      <c r="I74" s="275">
        <v>5</v>
      </c>
      <c r="J74" s="278">
        <v>0</v>
      </c>
      <c r="K74" s="276">
        <v>180</v>
      </c>
      <c r="L74" s="276">
        <v>107</v>
      </c>
      <c r="M74" s="276">
        <v>126</v>
      </c>
      <c r="N74" s="276">
        <v>142</v>
      </c>
    </row>
    <row r="75" spans="1:14" ht="16" customHeight="1" x14ac:dyDescent="0.2">
      <c r="A75" s="273" t="s">
        <v>484</v>
      </c>
      <c r="B75" s="280" t="s">
        <v>539</v>
      </c>
      <c r="C75" s="274">
        <v>715</v>
      </c>
      <c r="D75" s="275">
        <v>591</v>
      </c>
      <c r="E75" s="275">
        <v>96</v>
      </c>
      <c r="F75" s="275">
        <v>16</v>
      </c>
      <c r="G75" s="275">
        <v>5</v>
      </c>
      <c r="H75" s="275">
        <v>7</v>
      </c>
      <c r="I75" s="278">
        <v>0</v>
      </c>
      <c r="J75" s="278">
        <v>0</v>
      </c>
      <c r="K75" s="276">
        <v>167</v>
      </c>
      <c r="L75" s="276">
        <v>66</v>
      </c>
      <c r="M75" s="276">
        <v>99</v>
      </c>
      <c r="N75" s="276">
        <v>109</v>
      </c>
    </row>
    <row r="76" spans="1:14" ht="5" customHeight="1" x14ac:dyDescent="0.2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</row>
    <row r="77" spans="1:14" ht="5" customHeight="1" x14ac:dyDescent="0.2">
      <c r="A77" s="314" t="s">
        <v>556</v>
      </c>
      <c r="B77" s="315" t="s">
        <v>537</v>
      </c>
      <c r="C77" s="316">
        <v>121</v>
      </c>
      <c r="D77" s="317">
        <v>42</v>
      </c>
      <c r="E77" s="317">
        <v>18</v>
      </c>
      <c r="F77" s="317">
        <v>26</v>
      </c>
      <c r="G77" s="317">
        <v>3</v>
      </c>
      <c r="H77" s="317">
        <v>14</v>
      </c>
      <c r="I77" s="317">
        <v>14</v>
      </c>
      <c r="J77" s="317">
        <v>4</v>
      </c>
      <c r="K77" s="318">
        <v>2</v>
      </c>
      <c r="L77" s="318">
        <v>41</v>
      </c>
      <c r="M77" s="318">
        <v>1</v>
      </c>
      <c r="N77" s="318">
        <v>53</v>
      </c>
    </row>
    <row r="78" spans="1:14" ht="20" customHeight="1" x14ac:dyDescent="0.2">
      <c r="A78" s="314" t="s">
        <v>556</v>
      </c>
      <c r="B78" s="319" t="s">
        <v>538</v>
      </c>
      <c r="C78" s="316">
        <v>194</v>
      </c>
      <c r="D78" s="317">
        <v>146</v>
      </c>
      <c r="E78" s="317">
        <v>36</v>
      </c>
      <c r="F78" s="317">
        <v>11</v>
      </c>
      <c r="G78" s="317">
        <v>0</v>
      </c>
      <c r="H78" s="317">
        <v>1</v>
      </c>
      <c r="I78" s="317">
        <v>0</v>
      </c>
      <c r="J78" s="320">
        <v>0</v>
      </c>
      <c r="K78" s="318">
        <v>29</v>
      </c>
      <c r="L78" s="318">
        <v>28</v>
      </c>
      <c r="M78" s="318">
        <v>36</v>
      </c>
      <c r="N78" s="318">
        <v>22</v>
      </c>
    </row>
    <row r="79" spans="1:14" ht="16" customHeight="1" x14ac:dyDescent="0.2">
      <c r="A79" s="314" t="s">
        <v>556</v>
      </c>
      <c r="B79" s="321" t="s">
        <v>539</v>
      </c>
      <c r="C79" s="316">
        <v>131</v>
      </c>
      <c r="D79" s="317">
        <v>101</v>
      </c>
      <c r="E79" s="317">
        <v>27</v>
      </c>
      <c r="F79" s="317">
        <v>3</v>
      </c>
      <c r="G79" s="317">
        <v>0</v>
      </c>
      <c r="H79" s="317">
        <v>0</v>
      </c>
      <c r="I79" s="320">
        <v>0</v>
      </c>
      <c r="J79" s="320">
        <v>0</v>
      </c>
      <c r="K79" s="318">
        <v>25</v>
      </c>
      <c r="L79" s="318">
        <v>12</v>
      </c>
      <c r="M79" s="318">
        <v>18</v>
      </c>
      <c r="N79" s="318">
        <v>21</v>
      </c>
    </row>
    <row r="80" spans="1:14" ht="16" customHeight="1" x14ac:dyDescent="0.2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</row>
    <row r="81" spans="1:14" ht="16" customHeight="1" x14ac:dyDescent="0.2">
      <c r="A81" s="395" t="s">
        <v>557</v>
      </c>
      <c r="B81" s="336"/>
      <c r="C81" s="336"/>
      <c r="D81" s="336"/>
      <c r="E81" s="336"/>
      <c r="F81" s="336"/>
      <c r="G81" s="336"/>
      <c r="H81" s="336"/>
      <c r="I81" s="336"/>
      <c r="J81" s="336"/>
      <c r="K81" s="336"/>
      <c r="L81" s="336"/>
      <c r="M81" s="336"/>
      <c r="N81" s="336"/>
    </row>
    <row r="82" spans="1:14" ht="5" customHeight="1" x14ac:dyDescent="0.2">
      <c r="A82" s="273" t="s">
        <v>536</v>
      </c>
      <c r="B82" s="277" t="s">
        <v>537</v>
      </c>
      <c r="C82" s="274">
        <v>986</v>
      </c>
      <c r="D82" s="275">
        <v>344</v>
      </c>
      <c r="E82" s="275">
        <v>174</v>
      </c>
      <c r="F82" s="275">
        <v>329</v>
      </c>
      <c r="G82" s="275">
        <v>13</v>
      </c>
      <c r="H82" s="275">
        <v>100</v>
      </c>
      <c r="I82" s="275">
        <v>23</v>
      </c>
      <c r="J82" s="275">
        <v>3</v>
      </c>
      <c r="K82" s="276">
        <v>61</v>
      </c>
      <c r="L82" s="276">
        <v>258</v>
      </c>
      <c r="M82" s="276">
        <v>6</v>
      </c>
      <c r="N82" s="276">
        <v>522</v>
      </c>
    </row>
    <row r="83" spans="1:14" ht="16" customHeight="1" x14ac:dyDescent="0.2">
      <c r="A83" s="273" t="s">
        <v>536</v>
      </c>
      <c r="B83" s="279" t="s">
        <v>538</v>
      </c>
      <c r="C83" s="274">
        <v>898</v>
      </c>
      <c r="D83" s="275">
        <v>751</v>
      </c>
      <c r="E83" s="275">
        <v>109</v>
      </c>
      <c r="F83" s="275">
        <v>28</v>
      </c>
      <c r="G83" s="275">
        <v>2</v>
      </c>
      <c r="H83" s="275">
        <v>7</v>
      </c>
      <c r="I83" s="275">
        <v>1</v>
      </c>
      <c r="J83" s="278">
        <v>0</v>
      </c>
      <c r="K83" s="276">
        <v>506</v>
      </c>
      <c r="L83" s="276">
        <v>6</v>
      </c>
      <c r="M83" s="276">
        <v>9</v>
      </c>
      <c r="N83" s="276">
        <v>153</v>
      </c>
    </row>
    <row r="84" spans="1:14" ht="16" customHeight="1" x14ac:dyDescent="0.2">
      <c r="A84" s="273" t="s">
        <v>536</v>
      </c>
      <c r="B84" s="280" t="s">
        <v>539</v>
      </c>
      <c r="C84" s="274">
        <v>920</v>
      </c>
      <c r="D84" s="275">
        <v>871</v>
      </c>
      <c r="E84" s="275">
        <v>44</v>
      </c>
      <c r="F84" s="275">
        <v>3</v>
      </c>
      <c r="G84" s="275">
        <v>2</v>
      </c>
      <c r="H84" s="278">
        <v>0</v>
      </c>
      <c r="I84" s="278">
        <v>0</v>
      </c>
      <c r="J84" s="278">
        <v>0</v>
      </c>
      <c r="K84" s="276">
        <v>469</v>
      </c>
      <c r="L84" s="276">
        <v>4</v>
      </c>
      <c r="M84" s="276">
        <v>3</v>
      </c>
      <c r="N84" s="276">
        <v>79</v>
      </c>
    </row>
    <row r="85" spans="1:14" ht="16" customHeight="1" x14ac:dyDescent="0.2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</row>
    <row r="86" spans="1:14" ht="5" customHeight="1" x14ac:dyDescent="0.2">
      <c r="A86" s="273" t="s">
        <v>540</v>
      </c>
      <c r="B86" s="277" t="s">
        <v>537</v>
      </c>
      <c r="C86" s="274">
        <v>563</v>
      </c>
      <c r="D86" s="275">
        <v>273</v>
      </c>
      <c r="E86" s="275">
        <v>123</v>
      </c>
      <c r="F86" s="275">
        <v>67</v>
      </c>
      <c r="G86" s="275">
        <v>10</v>
      </c>
      <c r="H86" s="275">
        <v>69</v>
      </c>
      <c r="I86" s="275">
        <v>16</v>
      </c>
      <c r="J86" s="275">
        <v>5</v>
      </c>
      <c r="K86" s="276">
        <v>26</v>
      </c>
      <c r="L86" s="276">
        <v>180</v>
      </c>
      <c r="M86" s="276">
        <v>3</v>
      </c>
      <c r="N86" s="276">
        <v>218</v>
      </c>
    </row>
    <row r="87" spans="1:14" ht="16" customHeight="1" x14ac:dyDescent="0.2">
      <c r="A87" s="273" t="s">
        <v>540</v>
      </c>
      <c r="B87" s="279" t="s">
        <v>538</v>
      </c>
      <c r="C87" s="274">
        <v>324</v>
      </c>
      <c r="D87" s="275">
        <v>271</v>
      </c>
      <c r="E87" s="275">
        <v>42</v>
      </c>
      <c r="F87" s="275">
        <v>10</v>
      </c>
      <c r="G87" s="275">
        <v>1</v>
      </c>
      <c r="H87" s="278">
        <v>0</v>
      </c>
      <c r="I87" s="278">
        <v>0</v>
      </c>
      <c r="J87" s="278">
        <v>0</v>
      </c>
      <c r="K87" s="276">
        <v>172</v>
      </c>
      <c r="L87" s="276">
        <v>5</v>
      </c>
      <c r="M87" s="276">
        <v>2</v>
      </c>
      <c r="N87" s="276">
        <v>43</v>
      </c>
    </row>
    <row r="88" spans="1:14" ht="16" customHeight="1" x14ac:dyDescent="0.2">
      <c r="A88" s="273" t="s">
        <v>540</v>
      </c>
      <c r="B88" s="280" t="s">
        <v>539</v>
      </c>
      <c r="C88" s="274">
        <v>394</v>
      </c>
      <c r="D88" s="275">
        <v>359</v>
      </c>
      <c r="E88" s="275">
        <v>25</v>
      </c>
      <c r="F88" s="275">
        <v>3</v>
      </c>
      <c r="G88" s="275">
        <v>4</v>
      </c>
      <c r="H88" s="275">
        <v>3</v>
      </c>
      <c r="I88" s="278">
        <v>0</v>
      </c>
      <c r="J88" s="278">
        <v>0</v>
      </c>
      <c r="K88" s="276">
        <v>182</v>
      </c>
      <c r="L88" s="278">
        <v>0</v>
      </c>
      <c r="M88" s="276">
        <v>1</v>
      </c>
      <c r="N88" s="276">
        <v>44</v>
      </c>
    </row>
    <row r="89" spans="1:14" ht="16" customHeight="1" x14ac:dyDescent="0.2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</row>
    <row r="90" spans="1:14" ht="5" customHeight="1" x14ac:dyDescent="0.2">
      <c r="A90" s="273" t="s">
        <v>541</v>
      </c>
      <c r="B90" s="277" t="s">
        <v>537</v>
      </c>
      <c r="C90" s="274">
        <v>803</v>
      </c>
      <c r="D90" s="275">
        <v>408</v>
      </c>
      <c r="E90" s="275">
        <v>202</v>
      </c>
      <c r="F90" s="275">
        <v>92</v>
      </c>
      <c r="G90" s="275">
        <v>13</v>
      </c>
      <c r="H90" s="275">
        <v>68</v>
      </c>
      <c r="I90" s="275">
        <v>17</v>
      </c>
      <c r="J90" s="275">
        <v>3</v>
      </c>
      <c r="K90" s="276">
        <v>37</v>
      </c>
      <c r="L90" s="276">
        <v>280</v>
      </c>
      <c r="M90" s="276">
        <v>2</v>
      </c>
      <c r="N90" s="276">
        <v>305</v>
      </c>
    </row>
    <row r="91" spans="1:14" ht="16" customHeight="1" x14ac:dyDescent="0.2">
      <c r="A91" s="273" t="s">
        <v>541</v>
      </c>
      <c r="B91" s="279" t="s">
        <v>538</v>
      </c>
      <c r="C91" s="274">
        <v>351</v>
      </c>
      <c r="D91" s="275">
        <v>307</v>
      </c>
      <c r="E91" s="275">
        <v>31</v>
      </c>
      <c r="F91" s="275">
        <v>10</v>
      </c>
      <c r="G91" s="275">
        <v>1</v>
      </c>
      <c r="H91" s="275">
        <v>2</v>
      </c>
      <c r="I91" s="278">
        <v>0</v>
      </c>
      <c r="J91" s="278">
        <v>0</v>
      </c>
      <c r="K91" s="276">
        <v>202</v>
      </c>
      <c r="L91" s="276">
        <v>2</v>
      </c>
      <c r="M91" s="276">
        <v>2</v>
      </c>
      <c r="N91" s="276">
        <v>46</v>
      </c>
    </row>
    <row r="92" spans="1:14" ht="16" customHeight="1" x14ac:dyDescent="0.2">
      <c r="A92" s="273" t="s">
        <v>541</v>
      </c>
      <c r="B92" s="280" t="s">
        <v>539</v>
      </c>
      <c r="C92" s="274">
        <v>439</v>
      </c>
      <c r="D92" s="275">
        <v>396</v>
      </c>
      <c r="E92" s="275">
        <v>38</v>
      </c>
      <c r="F92" s="275">
        <v>2</v>
      </c>
      <c r="G92" s="275">
        <v>2</v>
      </c>
      <c r="H92" s="275">
        <v>1</v>
      </c>
      <c r="I92" s="278">
        <v>0</v>
      </c>
      <c r="J92" s="278">
        <v>0</v>
      </c>
      <c r="K92" s="276">
        <v>210</v>
      </c>
      <c r="L92" s="276">
        <v>1</v>
      </c>
      <c r="M92" s="276">
        <v>5</v>
      </c>
      <c r="N92" s="276">
        <v>58</v>
      </c>
    </row>
    <row r="93" spans="1:14" ht="16" customHeight="1" x14ac:dyDescent="0.2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</row>
    <row r="94" spans="1:14" ht="5" customHeight="1" x14ac:dyDescent="0.2">
      <c r="A94" s="273" t="s">
        <v>542</v>
      </c>
      <c r="B94" s="277" t="s">
        <v>537</v>
      </c>
      <c r="C94" s="274">
        <v>847</v>
      </c>
      <c r="D94" s="275">
        <v>413</v>
      </c>
      <c r="E94" s="275">
        <v>228</v>
      </c>
      <c r="F94" s="275">
        <v>96</v>
      </c>
      <c r="G94" s="275">
        <v>20</v>
      </c>
      <c r="H94" s="275">
        <v>78</v>
      </c>
      <c r="I94" s="275">
        <v>9</v>
      </c>
      <c r="J94" s="275">
        <v>3</v>
      </c>
      <c r="K94" s="276">
        <v>33</v>
      </c>
      <c r="L94" s="276">
        <v>267</v>
      </c>
      <c r="M94" s="276">
        <v>4</v>
      </c>
      <c r="N94" s="276">
        <v>355</v>
      </c>
    </row>
    <row r="95" spans="1:14" ht="16" customHeight="1" x14ac:dyDescent="0.2">
      <c r="A95" s="273" t="s">
        <v>542</v>
      </c>
      <c r="B95" s="279" t="s">
        <v>538</v>
      </c>
      <c r="C95" s="274">
        <v>299</v>
      </c>
      <c r="D95" s="275">
        <v>253</v>
      </c>
      <c r="E95" s="275">
        <v>32</v>
      </c>
      <c r="F95" s="275">
        <v>11</v>
      </c>
      <c r="G95" s="275">
        <v>2</v>
      </c>
      <c r="H95" s="278">
        <v>0</v>
      </c>
      <c r="I95" s="275">
        <v>1</v>
      </c>
      <c r="J95" s="278">
        <v>0</v>
      </c>
      <c r="K95" s="276">
        <v>141</v>
      </c>
      <c r="L95" s="276">
        <v>7</v>
      </c>
      <c r="M95" s="276">
        <v>2</v>
      </c>
      <c r="N95" s="276">
        <v>54</v>
      </c>
    </row>
    <row r="96" spans="1:14" ht="16" customHeight="1" x14ac:dyDescent="0.2">
      <c r="A96" s="273" t="s">
        <v>542</v>
      </c>
      <c r="B96" s="280" t="s">
        <v>539</v>
      </c>
      <c r="C96" s="274">
        <v>460</v>
      </c>
      <c r="D96" s="275">
        <v>429</v>
      </c>
      <c r="E96" s="275">
        <v>29</v>
      </c>
      <c r="F96" s="275">
        <v>2</v>
      </c>
      <c r="G96" s="278">
        <v>0</v>
      </c>
      <c r="H96" s="278">
        <v>0</v>
      </c>
      <c r="I96" s="278">
        <v>0</v>
      </c>
      <c r="J96" s="278">
        <v>0</v>
      </c>
      <c r="K96" s="276">
        <v>223</v>
      </c>
      <c r="L96" s="276">
        <v>6</v>
      </c>
      <c r="M96" s="276">
        <v>3</v>
      </c>
      <c r="N96" s="276">
        <v>48</v>
      </c>
    </row>
    <row r="97" spans="1:14" ht="16" customHeight="1" x14ac:dyDescent="0.2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</row>
    <row r="98" spans="1:14" ht="5" customHeight="1" x14ac:dyDescent="0.2">
      <c r="A98" s="273" t="s">
        <v>543</v>
      </c>
      <c r="B98" s="277" t="s">
        <v>537</v>
      </c>
      <c r="C98" s="274">
        <v>920</v>
      </c>
      <c r="D98" s="275">
        <v>508</v>
      </c>
      <c r="E98" s="275">
        <v>232</v>
      </c>
      <c r="F98" s="275">
        <v>95</v>
      </c>
      <c r="G98" s="275">
        <v>8</v>
      </c>
      <c r="H98" s="275">
        <v>66</v>
      </c>
      <c r="I98" s="275">
        <v>9</v>
      </c>
      <c r="J98" s="275">
        <v>2</v>
      </c>
      <c r="K98" s="276">
        <v>34</v>
      </c>
      <c r="L98" s="276">
        <v>316</v>
      </c>
      <c r="M98" s="276">
        <v>6</v>
      </c>
      <c r="N98" s="276">
        <v>306</v>
      </c>
    </row>
    <row r="99" spans="1:14" ht="16" customHeight="1" x14ac:dyDescent="0.2">
      <c r="A99" s="273" t="s">
        <v>543</v>
      </c>
      <c r="B99" s="279" t="s">
        <v>538</v>
      </c>
      <c r="C99" s="274">
        <v>368</v>
      </c>
      <c r="D99" s="275">
        <v>309</v>
      </c>
      <c r="E99" s="275">
        <v>37</v>
      </c>
      <c r="F99" s="275">
        <v>14</v>
      </c>
      <c r="G99" s="275">
        <v>6</v>
      </c>
      <c r="H99" s="275">
        <v>2</v>
      </c>
      <c r="I99" s="278">
        <v>0</v>
      </c>
      <c r="J99" s="278">
        <v>0</v>
      </c>
      <c r="K99" s="276">
        <v>194</v>
      </c>
      <c r="L99" s="276">
        <v>4</v>
      </c>
      <c r="M99" s="276">
        <v>3</v>
      </c>
      <c r="N99" s="276">
        <v>63</v>
      </c>
    </row>
    <row r="100" spans="1:14" ht="16" customHeight="1" x14ac:dyDescent="0.2">
      <c r="A100" s="273" t="s">
        <v>543</v>
      </c>
      <c r="B100" s="280" t="s">
        <v>539</v>
      </c>
      <c r="C100" s="274">
        <v>380</v>
      </c>
      <c r="D100" s="275">
        <v>358</v>
      </c>
      <c r="E100" s="275">
        <v>14</v>
      </c>
      <c r="F100" s="275">
        <v>5</v>
      </c>
      <c r="G100" s="275">
        <v>2</v>
      </c>
      <c r="H100" s="275">
        <v>1</v>
      </c>
      <c r="I100" s="278">
        <v>0</v>
      </c>
      <c r="J100" s="278">
        <v>0</v>
      </c>
      <c r="K100" s="276">
        <v>186</v>
      </c>
      <c r="L100" s="276">
        <v>1</v>
      </c>
      <c r="M100" s="276">
        <v>3</v>
      </c>
      <c r="N100" s="276">
        <v>30</v>
      </c>
    </row>
    <row r="101" spans="1:14" ht="16" customHeight="1" x14ac:dyDescent="0.2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</row>
    <row r="102" spans="1:14" ht="5" customHeight="1" x14ac:dyDescent="0.2">
      <c r="A102" s="273" t="s">
        <v>544</v>
      </c>
      <c r="B102" s="277" t="s">
        <v>537</v>
      </c>
      <c r="C102" s="274">
        <v>854</v>
      </c>
      <c r="D102" s="275">
        <v>425</v>
      </c>
      <c r="E102" s="275">
        <v>217</v>
      </c>
      <c r="F102" s="275">
        <v>113</v>
      </c>
      <c r="G102" s="275">
        <v>10</v>
      </c>
      <c r="H102" s="275">
        <v>71</v>
      </c>
      <c r="I102" s="275">
        <v>15</v>
      </c>
      <c r="J102" s="275">
        <v>3</v>
      </c>
      <c r="K102" s="276">
        <v>27</v>
      </c>
      <c r="L102" s="276">
        <v>298</v>
      </c>
      <c r="M102" s="276">
        <v>4</v>
      </c>
      <c r="N102" s="276">
        <v>325</v>
      </c>
    </row>
    <row r="103" spans="1:14" ht="16" customHeight="1" x14ac:dyDescent="0.2">
      <c r="A103" s="273" t="s">
        <v>544</v>
      </c>
      <c r="B103" s="279" t="s">
        <v>538</v>
      </c>
      <c r="C103" s="274">
        <v>426</v>
      </c>
      <c r="D103" s="275">
        <v>364</v>
      </c>
      <c r="E103" s="275">
        <v>43</v>
      </c>
      <c r="F103" s="275">
        <v>13</v>
      </c>
      <c r="G103" s="275">
        <v>2</v>
      </c>
      <c r="H103" s="275">
        <v>3</v>
      </c>
      <c r="I103" s="275">
        <v>1</v>
      </c>
      <c r="J103" s="278">
        <v>0</v>
      </c>
      <c r="K103" s="276">
        <v>217</v>
      </c>
      <c r="L103" s="276">
        <v>7</v>
      </c>
      <c r="M103" s="276">
        <v>15</v>
      </c>
      <c r="N103" s="276">
        <v>68</v>
      </c>
    </row>
    <row r="104" spans="1:14" ht="16" customHeight="1" x14ac:dyDescent="0.2">
      <c r="A104" s="273" t="s">
        <v>544</v>
      </c>
      <c r="B104" s="280" t="s">
        <v>539</v>
      </c>
      <c r="C104" s="274">
        <v>372</v>
      </c>
      <c r="D104" s="275">
        <v>339</v>
      </c>
      <c r="E104" s="275">
        <v>27</v>
      </c>
      <c r="F104" s="275">
        <v>4</v>
      </c>
      <c r="G104" s="275">
        <v>1</v>
      </c>
      <c r="H104" s="275">
        <v>1</v>
      </c>
      <c r="I104" s="278">
        <v>0</v>
      </c>
      <c r="J104" s="278">
        <v>0</v>
      </c>
      <c r="K104" s="276">
        <v>169</v>
      </c>
      <c r="L104" s="276">
        <v>6</v>
      </c>
      <c r="M104" s="276">
        <v>7</v>
      </c>
      <c r="N104" s="276">
        <v>46</v>
      </c>
    </row>
    <row r="105" spans="1:14" ht="16" customHeight="1" x14ac:dyDescent="0.2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</row>
    <row r="106" spans="1:14" ht="5" customHeight="1" x14ac:dyDescent="0.2">
      <c r="A106" s="273" t="s">
        <v>545</v>
      </c>
      <c r="B106" s="277" t="s">
        <v>537</v>
      </c>
      <c r="C106" s="274">
        <v>915</v>
      </c>
      <c r="D106" s="275">
        <v>457</v>
      </c>
      <c r="E106" s="275">
        <v>256</v>
      </c>
      <c r="F106" s="275">
        <v>99</v>
      </c>
      <c r="G106" s="275">
        <v>13</v>
      </c>
      <c r="H106" s="275">
        <v>78</v>
      </c>
      <c r="I106" s="275">
        <v>9</v>
      </c>
      <c r="J106" s="275">
        <v>3</v>
      </c>
      <c r="K106" s="276">
        <v>26</v>
      </c>
      <c r="L106" s="276">
        <v>286</v>
      </c>
      <c r="M106" s="276">
        <v>3</v>
      </c>
      <c r="N106" s="276">
        <v>369</v>
      </c>
    </row>
    <row r="107" spans="1:14" ht="16" customHeight="1" x14ac:dyDescent="0.2">
      <c r="A107" s="273" t="s">
        <v>545</v>
      </c>
      <c r="B107" s="279" t="s">
        <v>538</v>
      </c>
      <c r="C107" s="274">
        <v>544</v>
      </c>
      <c r="D107" s="275">
        <v>454</v>
      </c>
      <c r="E107" s="275">
        <v>65</v>
      </c>
      <c r="F107" s="275">
        <v>16</v>
      </c>
      <c r="G107" s="275">
        <v>5</v>
      </c>
      <c r="H107" s="275">
        <v>3</v>
      </c>
      <c r="I107" s="278">
        <v>0</v>
      </c>
      <c r="J107" s="275">
        <v>1</v>
      </c>
      <c r="K107" s="276">
        <v>268</v>
      </c>
      <c r="L107" s="276">
        <v>7</v>
      </c>
      <c r="M107" s="276">
        <v>15</v>
      </c>
      <c r="N107" s="276">
        <v>109</v>
      </c>
    </row>
    <row r="108" spans="1:14" ht="16" customHeight="1" x14ac:dyDescent="0.2">
      <c r="A108" s="273" t="s">
        <v>545</v>
      </c>
      <c r="B108" s="280" t="s">
        <v>539</v>
      </c>
      <c r="C108" s="274">
        <v>404</v>
      </c>
      <c r="D108" s="275">
        <v>363</v>
      </c>
      <c r="E108" s="275">
        <v>35</v>
      </c>
      <c r="F108" s="275">
        <v>3</v>
      </c>
      <c r="G108" s="275">
        <v>1</v>
      </c>
      <c r="H108" s="275">
        <v>2</v>
      </c>
      <c r="I108" s="278">
        <v>0</v>
      </c>
      <c r="J108" s="278">
        <v>0</v>
      </c>
      <c r="K108" s="276">
        <v>207</v>
      </c>
      <c r="L108" s="276">
        <v>2</v>
      </c>
      <c r="M108" s="276">
        <v>6</v>
      </c>
      <c r="N108" s="276">
        <v>60</v>
      </c>
    </row>
    <row r="109" spans="1:14" ht="16" customHeight="1" x14ac:dyDescent="0.2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</row>
    <row r="110" spans="1:14" ht="5" customHeight="1" x14ac:dyDescent="0.2">
      <c r="A110" s="273" t="s">
        <v>546</v>
      </c>
      <c r="B110" s="277" t="s">
        <v>537</v>
      </c>
      <c r="C110" s="274">
        <v>865</v>
      </c>
      <c r="D110" s="275">
        <v>448</v>
      </c>
      <c r="E110" s="275">
        <v>239</v>
      </c>
      <c r="F110" s="275">
        <v>98</v>
      </c>
      <c r="G110" s="275">
        <v>12</v>
      </c>
      <c r="H110" s="275">
        <v>54</v>
      </c>
      <c r="I110" s="275">
        <v>12</v>
      </c>
      <c r="J110" s="275">
        <v>2</v>
      </c>
      <c r="K110" s="276">
        <v>36</v>
      </c>
      <c r="L110" s="276">
        <v>277</v>
      </c>
      <c r="M110" s="276">
        <v>5</v>
      </c>
      <c r="N110" s="276">
        <v>331</v>
      </c>
    </row>
    <row r="111" spans="1:14" ht="16" customHeight="1" x14ac:dyDescent="0.2">
      <c r="A111" s="273" t="s">
        <v>546</v>
      </c>
      <c r="B111" s="279" t="s">
        <v>538</v>
      </c>
      <c r="C111" s="274">
        <v>586</v>
      </c>
      <c r="D111" s="275">
        <v>510</v>
      </c>
      <c r="E111" s="275">
        <v>49</v>
      </c>
      <c r="F111" s="275">
        <v>19</v>
      </c>
      <c r="G111" s="275">
        <v>5</v>
      </c>
      <c r="H111" s="275">
        <v>2</v>
      </c>
      <c r="I111" s="275">
        <v>1</v>
      </c>
      <c r="J111" s="278">
        <v>0</v>
      </c>
      <c r="K111" s="276">
        <v>270</v>
      </c>
      <c r="L111" s="276">
        <v>7</v>
      </c>
      <c r="M111" s="276">
        <v>14</v>
      </c>
      <c r="N111" s="276">
        <v>113</v>
      </c>
    </row>
    <row r="112" spans="1:14" ht="16" customHeight="1" x14ac:dyDescent="0.2">
      <c r="A112" s="273" t="s">
        <v>546</v>
      </c>
      <c r="B112" s="280" t="s">
        <v>539</v>
      </c>
      <c r="C112" s="274">
        <v>351</v>
      </c>
      <c r="D112" s="275">
        <v>307</v>
      </c>
      <c r="E112" s="275">
        <v>33</v>
      </c>
      <c r="F112" s="275">
        <v>3</v>
      </c>
      <c r="G112" s="275">
        <v>5</v>
      </c>
      <c r="H112" s="275">
        <v>2</v>
      </c>
      <c r="I112" s="275">
        <v>1</v>
      </c>
      <c r="J112" s="278">
        <v>0</v>
      </c>
      <c r="K112" s="276">
        <v>167</v>
      </c>
      <c r="L112" s="276">
        <v>5</v>
      </c>
      <c r="M112" s="276">
        <v>11</v>
      </c>
      <c r="N112" s="276">
        <v>50</v>
      </c>
    </row>
    <row r="113" spans="1:14" ht="16" customHeight="1" x14ac:dyDescent="0.2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</row>
    <row r="114" spans="1:14" ht="5" customHeight="1" x14ac:dyDescent="0.2">
      <c r="A114" s="273" t="s">
        <v>547</v>
      </c>
      <c r="B114" s="277" t="s">
        <v>537</v>
      </c>
      <c r="C114" s="274">
        <v>882</v>
      </c>
      <c r="D114" s="275">
        <v>441</v>
      </c>
      <c r="E114" s="275">
        <v>215</v>
      </c>
      <c r="F114" s="275">
        <v>119</v>
      </c>
      <c r="G114" s="275">
        <v>25</v>
      </c>
      <c r="H114" s="275">
        <v>67</v>
      </c>
      <c r="I114" s="275">
        <v>13</v>
      </c>
      <c r="J114" s="275">
        <v>2</v>
      </c>
      <c r="K114" s="276">
        <v>39</v>
      </c>
      <c r="L114" s="276">
        <v>170</v>
      </c>
      <c r="M114" s="276">
        <v>3</v>
      </c>
      <c r="N114" s="276">
        <v>318</v>
      </c>
    </row>
    <row r="115" spans="1:14" ht="16" customHeight="1" x14ac:dyDescent="0.2">
      <c r="A115" s="273" t="s">
        <v>547</v>
      </c>
      <c r="B115" s="279" t="s">
        <v>538</v>
      </c>
      <c r="C115" s="274">
        <v>504</v>
      </c>
      <c r="D115" s="275">
        <v>426</v>
      </c>
      <c r="E115" s="275">
        <v>57</v>
      </c>
      <c r="F115" s="275">
        <v>15</v>
      </c>
      <c r="G115" s="278">
        <v>0</v>
      </c>
      <c r="H115" s="275">
        <v>6</v>
      </c>
      <c r="I115" s="278">
        <v>0</v>
      </c>
      <c r="J115" s="278">
        <v>0</v>
      </c>
      <c r="K115" s="276">
        <v>256</v>
      </c>
      <c r="L115" s="276">
        <v>3</v>
      </c>
      <c r="M115" s="276">
        <v>8</v>
      </c>
      <c r="N115" s="276">
        <v>97</v>
      </c>
    </row>
    <row r="116" spans="1:14" ht="16" customHeight="1" x14ac:dyDescent="0.2">
      <c r="A116" s="273" t="s">
        <v>547</v>
      </c>
      <c r="B116" s="280" t="s">
        <v>539</v>
      </c>
      <c r="C116" s="274">
        <v>292</v>
      </c>
      <c r="D116" s="275">
        <v>269</v>
      </c>
      <c r="E116" s="275">
        <v>15</v>
      </c>
      <c r="F116" s="275">
        <v>4</v>
      </c>
      <c r="G116" s="275">
        <v>2</v>
      </c>
      <c r="H116" s="275">
        <v>2</v>
      </c>
      <c r="I116" s="278">
        <v>0</v>
      </c>
      <c r="J116" s="278">
        <v>0</v>
      </c>
      <c r="K116" s="276">
        <v>139</v>
      </c>
      <c r="L116" s="276">
        <v>1</v>
      </c>
      <c r="M116" s="276">
        <v>1</v>
      </c>
      <c r="N116" s="276">
        <v>39</v>
      </c>
    </row>
    <row r="117" spans="1:14" ht="16" customHeight="1" x14ac:dyDescent="0.2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</row>
    <row r="118" spans="1:14" ht="5" customHeight="1" x14ac:dyDescent="0.2">
      <c r="A118" s="273" t="s">
        <v>548</v>
      </c>
      <c r="B118" s="277" t="s">
        <v>537</v>
      </c>
      <c r="C118" s="274">
        <v>1360</v>
      </c>
      <c r="D118" s="275">
        <v>710</v>
      </c>
      <c r="E118" s="275">
        <v>319</v>
      </c>
      <c r="F118" s="275">
        <v>174</v>
      </c>
      <c r="G118" s="275">
        <v>41</v>
      </c>
      <c r="H118" s="275">
        <v>109</v>
      </c>
      <c r="I118" s="275">
        <v>7</v>
      </c>
      <c r="J118" s="278">
        <v>0</v>
      </c>
      <c r="K118" s="276">
        <v>124</v>
      </c>
      <c r="L118" s="276">
        <v>104</v>
      </c>
      <c r="M118" s="276">
        <v>3</v>
      </c>
      <c r="N118" s="276">
        <v>576</v>
      </c>
    </row>
    <row r="119" spans="1:14" ht="16" customHeight="1" x14ac:dyDescent="0.2">
      <c r="A119" s="273" t="s">
        <v>548</v>
      </c>
      <c r="B119" s="279" t="s">
        <v>538</v>
      </c>
      <c r="C119" s="274">
        <v>764</v>
      </c>
      <c r="D119" s="275">
        <v>621</v>
      </c>
      <c r="E119" s="275">
        <v>106</v>
      </c>
      <c r="F119" s="275">
        <v>28</v>
      </c>
      <c r="G119" s="275">
        <v>5</v>
      </c>
      <c r="H119" s="275">
        <v>2</v>
      </c>
      <c r="I119" s="275">
        <v>1</v>
      </c>
      <c r="J119" s="275">
        <v>1</v>
      </c>
      <c r="K119" s="276">
        <v>407</v>
      </c>
      <c r="L119" s="276">
        <v>5</v>
      </c>
      <c r="M119" s="276">
        <v>7</v>
      </c>
      <c r="N119" s="276">
        <v>217</v>
      </c>
    </row>
    <row r="120" spans="1:14" ht="16" customHeight="1" x14ac:dyDescent="0.2">
      <c r="A120" s="273" t="s">
        <v>548</v>
      </c>
      <c r="B120" s="280" t="s">
        <v>539</v>
      </c>
      <c r="C120" s="274">
        <v>294</v>
      </c>
      <c r="D120" s="275">
        <v>271</v>
      </c>
      <c r="E120" s="275">
        <v>18</v>
      </c>
      <c r="F120" s="275">
        <v>4</v>
      </c>
      <c r="G120" s="275">
        <v>1</v>
      </c>
      <c r="H120" s="278">
        <v>0</v>
      </c>
      <c r="I120" s="278">
        <v>0</v>
      </c>
      <c r="J120" s="278">
        <v>0</v>
      </c>
      <c r="K120" s="276">
        <v>148</v>
      </c>
      <c r="L120" s="278">
        <v>0</v>
      </c>
      <c r="M120" s="276">
        <v>1</v>
      </c>
      <c r="N120" s="276">
        <v>87</v>
      </c>
    </row>
    <row r="121" spans="1:14" ht="16" customHeight="1" x14ac:dyDescent="0.2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</row>
    <row r="122" spans="1:14" ht="5" customHeight="1" x14ac:dyDescent="0.2">
      <c r="A122" s="273" t="s">
        <v>549</v>
      </c>
      <c r="B122" s="277" t="s">
        <v>537</v>
      </c>
      <c r="C122" s="274">
        <v>1379</v>
      </c>
      <c r="D122" s="275">
        <v>681</v>
      </c>
      <c r="E122" s="275">
        <v>368</v>
      </c>
      <c r="F122" s="275">
        <v>166</v>
      </c>
      <c r="G122" s="275">
        <v>54</v>
      </c>
      <c r="H122" s="275">
        <v>91</v>
      </c>
      <c r="I122" s="275">
        <v>17</v>
      </c>
      <c r="J122" s="275">
        <v>2</v>
      </c>
      <c r="K122" s="276">
        <v>67</v>
      </c>
      <c r="L122" s="276">
        <v>370</v>
      </c>
      <c r="M122" s="276">
        <v>12</v>
      </c>
      <c r="N122" s="276">
        <v>539</v>
      </c>
    </row>
    <row r="123" spans="1:14" ht="16" customHeight="1" x14ac:dyDescent="0.2">
      <c r="A123" s="273" t="s">
        <v>549</v>
      </c>
      <c r="B123" s="279" t="s">
        <v>538</v>
      </c>
      <c r="C123" s="274">
        <v>689</v>
      </c>
      <c r="D123" s="275">
        <v>575</v>
      </c>
      <c r="E123" s="275">
        <v>83</v>
      </c>
      <c r="F123" s="275">
        <v>25</v>
      </c>
      <c r="G123" s="275">
        <v>2</v>
      </c>
      <c r="H123" s="275">
        <v>1</v>
      </c>
      <c r="I123" s="275">
        <v>2</v>
      </c>
      <c r="J123" s="275">
        <v>1</v>
      </c>
      <c r="K123" s="276">
        <v>332</v>
      </c>
      <c r="L123" s="276">
        <v>8</v>
      </c>
      <c r="M123" s="276">
        <v>20</v>
      </c>
      <c r="N123" s="276">
        <v>165</v>
      </c>
    </row>
    <row r="124" spans="1:14" ht="16" customHeight="1" x14ac:dyDescent="0.2">
      <c r="A124" s="273" t="s">
        <v>549</v>
      </c>
      <c r="B124" s="280" t="s">
        <v>539</v>
      </c>
      <c r="C124" s="274">
        <v>333</v>
      </c>
      <c r="D124" s="275">
        <v>301</v>
      </c>
      <c r="E124" s="275">
        <v>23</v>
      </c>
      <c r="F124" s="275">
        <v>7</v>
      </c>
      <c r="G124" s="275">
        <v>1</v>
      </c>
      <c r="H124" s="275">
        <v>1</v>
      </c>
      <c r="I124" s="278">
        <v>0</v>
      </c>
      <c r="J124" s="278">
        <v>0</v>
      </c>
      <c r="K124" s="276">
        <v>192</v>
      </c>
      <c r="L124" s="276">
        <v>4</v>
      </c>
      <c r="M124" s="276">
        <v>7</v>
      </c>
      <c r="N124" s="276">
        <v>62</v>
      </c>
    </row>
    <row r="125" spans="1:14" ht="16" customHeight="1" x14ac:dyDescent="0.2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</row>
    <row r="126" spans="1:14" ht="5" customHeight="1" x14ac:dyDescent="0.2">
      <c r="A126" s="273" t="s">
        <v>550</v>
      </c>
      <c r="B126" s="277" t="s">
        <v>537</v>
      </c>
      <c r="C126" s="274">
        <v>1320</v>
      </c>
      <c r="D126" s="275">
        <v>682</v>
      </c>
      <c r="E126" s="275">
        <v>288</v>
      </c>
      <c r="F126" s="275">
        <v>207</v>
      </c>
      <c r="G126" s="275">
        <v>38</v>
      </c>
      <c r="H126" s="275">
        <v>86</v>
      </c>
      <c r="I126" s="275">
        <v>16</v>
      </c>
      <c r="J126" s="275">
        <v>3</v>
      </c>
      <c r="K126" s="276">
        <v>46</v>
      </c>
      <c r="L126" s="276">
        <v>400</v>
      </c>
      <c r="M126" s="276">
        <v>11</v>
      </c>
      <c r="N126" s="276">
        <v>467</v>
      </c>
    </row>
    <row r="127" spans="1:14" ht="16" customHeight="1" x14ac:dyDescent="0.2">
      <c r="A127" s="273" t="s">
        <v>550</v>
      </c>
      <c r="B127" s="279" t="s">
        <v>538</v>
      </c>
      <c r="C127" s="274">
        <v>737</v>
      </c>
      <c r="D127" s="275">
        <v>636</v>
      </c>
      <c r="E127" s="275">
        <v>78</v>
      </c>
      <c r="F127" s="275">
        <v>18</v>
      </c>
      <c r="G127" s="275">
        <v>3</v>
      </c>
      <c r="H127" s="275">
        <v>2</v>
      </c>
      <c r="I127" s="278">
        <v>0</v>
      </c>
      <c r="J127" s="278">
        <v>0</v>
      </c>
      <c r="K127" s="276">
        <v>376</v>
      </c>
      <c r="L127" s="276">
        <v>14</v>
      </c>
      <c r="M127" s="276">
        <v>27</v>
      </c>
      <c r="N127" s="276">
        <v>157</v>
      </c>
    </row>
    <row r="128" spans="1:14" ht="16" customHeight="1" x14ac:dyDescent="0.2">
      <c r="A128" s="273" t="s">
        <v>550</v>
      </c>
      <c r="B128" s="280" t="s">
        <v>539</v>
      </c>
      <c r="C128" s="274">
        <v>557</v>
      </c>
      <c r="D128" s="275">
        <v>508</v>
      </c>
      <c r="E128" s="275">
        <v>38</v>
      </c>
      <c r="F128" s="275">
        <v>5</v>
      </c>
      <c r="G128" s="275">
        <v>2</v>
      </c>
      <c r="H128" s="275">
        <v>4</v>
      </c>
      <c r="I128" s="278">
        <v>0</v>
      </c>
      <c r="J128" s="278">
        <v>0</v>
      </c>
      <c r="K128" s="276">
        <v>287</v>
      </c>
      <c r="L128" s="276">
        <v>9</v>
      </c>
      <c r="M128" s="276">
        <v>22</v>
      </c>
      <c r="N128" s="276">
        <v>73</v>
      </c>
    </row>
    <row r="129" spans="1:14" ht="16" customHeight="1" x14ac:dyDescent="0.2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</row>
    <row r="130" spans="1:14" ht="5" customHeight="1" x14ac:dyDescent="0.2">
      <c r="A130" s="273" t="s">
        <v>551</v>
      </c>
      <c r="B130" s="277" t="s">
        <v>537</v>
      </c>
      <c r="C130" s="274">
        <v>1587</v>
      </c>
      <c r="D130" s="275">
        <v>879</v>
      </c>
      <c r="E130" s="275">
        <v>254</v>
      </c>
      <c r="F130" s="275">
        <v>315</v>
      </c>
      <c r="G130" s="275">
        <v>23</v>
      </c>
      <c r="H130" s="275">
        <v>90</v>
      </c>
      <c r="I130" s="275">
        <v>18</v>
      </c>
      <c r="J130" s="275">
        <v>8</v>
      </c>
      <c r="K130" s="276">
        <v>85</v>
      </c>
      <c r="L130" s="276">
        <v>487</v>
      </c>
      <c r="M130" s="276">
        <v>14</v>
      </c>
      <c r="N130" s="276">
        <v>605</v>
      </c>
    </row>
    <row r="131" spans="1:14" ht="16" customHeight="1" x14ac:dyDescent="0.2">
      <c r="A131" s="273" t="s">
        <v>551</v>
      </c>
      <c r="B131" s="279" t="s">
        <v>538</v>
      </c>
      <c r="C131" s="274">
        <v>819</v>
      </c>
      <c r="D131" s="275">
        <v>685</v>
      </c>
      <c r="E131" s="275">
        <v>95</v>
      </c>
      <c r="F131" s="275">
        <v>29</v>
      </c>
      <c r="G131" s="275">
        <v>6</v>
      </c>
      <c r="H131" s="275">
        <v>3</v>
      </c>
      <c r="I131" s="275">
        <v>1</v>
      </c>
      <c r="J131" s="278">
        <v>0</v>
      </c>
      <c r="K131" s="276">
        <v>427</v>
      </c>
      <c r="L131" s="276">
        <v>3</v>
      </c>
      <c r="M131" s="276">
        <v>32</v>
      </c>
      <c r="N131" s="276">
        <v>195</v>
      </c>
    </row>
    <row r="132" spans="1:14" ht="16" customHeight="1" x14ac:dyDescent="0.2">
      <c r="A132" s="273" t="s">
        <v>551</v>
      </c>
      <c r="B132" s="280" t="s">
        <v>539</v>
      </c>
      <c r="C132" s="274">
        <v>600</v>
      </c>
      <c r="D132" s="275">
        <v>534</v>
      </c>
      <c r="E132" s="275">
        <v>53</v>
      </c>
      <c r="F132" s="275">
        <v>9</v>
      </c>
      <c r="G132" s="275">
        <v>3</v>
      </c>
      <c r="H132" s="275">
        <v>1</v>
      </c>
      <c r="I132" s="278">
        <v>0</v>
      </c>
      <c r="J132" s="278">
        <v>0</v>
      </c>
      <c r="K132" s="276">
        <v>301</v>
      </c>
      <c r="L132" s="276">
        <v>8</v>
      </c>
      <c r="M132" s="276">
        <v>18</v>
      </c>
      <c r="N132" s="276">
        <v>133</v>
      </c>
    </row>
    <row r="133" spans="1:14" ht="16" customHeight="1" x14ac:dyDescent="0.2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</row>
    <row r="134" spans="1:14" ht="5" customHeight="1" x14ac:dyDescent="0.2">
      <c r="A134" s="273" t="s">
        <v>552</v>
      </c>
      <c r="B134" s="277" t="s">
        <v>537</v>
      </c>
      <c r="C134" s="274">
        <v>1183</v>
      </c>
      <c r="D134" s="275">
        <v>561</v>
      </c>
      <c r="E134" s="275">
        <v>209</v>
      </c>
      <c r="F134" s="275">
        <v>255</v>
      </c>
      <c r="G134" s="275">
        <v>27</v>
      </c>
      <c r="H134" s="275">
        <v>111</v>
      </c>
      <c r="I134" s="275">
        <v>16</v>
      </c>
      <c r="J134" s="275">
        <v>4</v>
      </c>
      <c r="K134" s="276">
        <v>86</v>
      </c>
      <c r="L134" s="276">
        <v>379</v>
      </c>
      <c r="M134" s="276">
        <v>16</v>
      </c>
      <c r="N134" s="276">
        <v>545</v>
      </c>
    </row>
    <row r="135" spans="1:14" ht="16" customHeight="1" x14ac:dyDescent="0.2">
      <c r="A135" s="273" t="s">
        <v>552</v>
      </c>
      <c r="B135" s="279" t="s">
        <v>538</v>
      </c>
      <c r="C135" s="274">
        <v>1105</v>
      </c>
      <c r="D135" s="275">
        <v>947</v>
      </c>
      <c r="E135" s="275">
        <v>129</v>
      </c>
      <c r="F135" s="275">
        <v>19</v>
      </c>
      <c r="G135" s="275">
        <v>6</v>
      </c>
      <c r="H135" s="275">
        <v>2</v>
      </c>
      <c r="I135" s="275">
        <v>2</v>
      </c>
      <c r="J135" s="278">
        <v>0</v>
      </c>
      <c r="K135" s="276">
        <v>520</v>
      </c>
      <c r="L135" s="276">
        <v>21</v>
      </c>
      <c r="M135" s="276">
        <v>22</v>
      </c>
      <c r="N135" s="276">
        <v>257</v>
      </c>
    </row>
    <row r="136" spans="1:14" ht="16" customHeight="1" x14ac:dyDescent="0.2">
      <c r="A136" s="273" t="s">
        <v>552</v>
      </c>
      <c r="B136" s="280" t="s">
        <v>539</v>
      </c>
      <c r="C136" s="274">
        <v>688</v>
      </c>
      <c r="D136" s="275">
        <v>607</v>
      </c>
      <c r="E136" s="275">
        <v>64</v>
      </c>
      <c r="F136" s="275">
        <v>8</v>
      </c>
      <c r="G136" s="275">
        <v>5</v>
      </c>
      <c r="H136" s="275">
        <v>4</v>
      </c>
      <c r="I136" s="278">
        <v>0</v>
      </c>
      <c r="J136" s="278">
        <v>0</v>
      </c>
      <c r="K136" s="276">
        <v>319</v>
      </c>
      <c r="L136" s="276">
        <v>11</v>
      </c>
      <c r="M136" s="276">
        <v>24</v>
      </c>
      <c r="N136" s="276">
        <v>157</v>
      </c>
    </row>
    <row r="137" spans="1:14" ht="16" customHeight="1" x14ac:dyDescent="0.2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</row>
    <row r="138" spans="1:14" ht="5" customHeight="1" x14ac:dyDescent="0.2">
      <c r="A138" s="273" t="s">
        <v>553</v>
      </c>
      <c r="B138" s="277" t="s">
        <v>537</v>
      </c>
      <c r="C138" s="274">
        <v>852</v>
      </c>
      <c r="D138" s="275">
        <v>495</v>
      </c>
      <c r="E138" s="275">
        <v>147</v>
      </c>
      <c r="F138" s="275">
        <v>140</v>
      </c>
      <c r="G138" s="275">
        <v>12</v>
      </c>
      <c r="H138" s="275">
        <v>43</v>
      </c>
      <c r="I138" s="275">
        <v>14</v>
      </c>
      <c r="J138" s="275">
        <v>1</v>
      </c>
      <c r="K138" s="276">
        <v>30</v>
      </c>
      <c r="L138" s="276">
        <v>232</v>
      </c>
      <c r="M138" s="276">
        <v>10</v>
      </c>
      <c r="N138" s="276">
        <v>287</v>
      </c>
    </row>
    <row r="139" spans="1:14" ht="16" customHeight="1" x14ac:dyDescent="0.2">
      <c r="A139" s="273" t="s">
        <v>553</v>
      </c>
      <c r="B139" s="279" t="s">
        <v>538</v>
      </c>
      <c r="C139" s="274">
        <v>545</v>
      </c>
      <c r="D139" s="275">
        <v>480</v>
      </c>
      <c r="E139" s="275">
        <v>45</v>
      </c>
      <c r="F139" s="275">
        <v>14</v>
      </c>
      <c r="G139" s="275">
        <v>2</v>
      </c>
      <c r="H139" s="275">
        <v>2</v>
      </c>
      <c r="I139" s="275">
        <v>2</v>
      </c>
      <c r="J139" s="278">
        <v>0</v>
      </c>
      <c r="K139" s="276">
        <v>205</v>
      </c>
      <c r="L139" s="276">
        <v>24</v>
      </c>
      <c r="M139" s="276">
        <v>59</v>
      </c>
      <c r="N139" s="276">
        <v>103</v>
      </c>
    </row>
    <row r="140" spans="1:14" ht="16" customHeight="1" x14ac:dyDescent="0.2">
      <c r="A140" s="273" t="s">
        <v>553</v>
      </c>
      <c r="B140" s="280" t="s">
        <v>539</v>
      </c>
      <c r="C140" s="274">
        <v>400</v>
      </c>
      <c r="D140" s="275">
        <v>366</v>
      </c>
      <c r="E140" s="275">
        <v>26</v>
      </c>
      <c r="F140" s="275">
        <v>4</v>
      </c>
      <c r="G140" s="275">
        <v>1</v>
      </c>
      <c r="H140" s="275">
        <v>3</v>
      </c>
      <c r="I140" s="278">
        <v>0</v>
      </c>
      <c r="J140" s="278">
        <v>0</v>
      </c>
      <c r="K140" s="276">
        <v>143</v>
      </c>
      <c r="L140" s="276">
        <v>22</v>
      </c>
      <c r="M140" s="276">
        <v>37</v>
      </c>
      <c r="N140" s="276">
        <v>61</v>
      </c>
    </row>
    <row r="141" spans="1:14" ht="16" customHeight="1" x14ac:dyDescent="0.2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</row>
    <row r="142" spans="1:14" ht="5" customHeight="1" x14ac:dyDescent="0.2">
      <c r="A142" s="273" t="s">
        <v>554</v>
      </c>
      <c r="B142" s="277" t="s">
        <v>537</v>
      </c>
      <c r="C142" s="274">
        <v>893</v>
      </c>
      <c r="D142" s="275">
        <v>484</v>
      </c>
      <c r="E142" s="275">
        <v>133</v>
      </c>
      <c r="F142" s="275">
        <v>168</v>
      </c>
      <c r="G142" s="275">
        <v>23</v>
      </c>
      <c r="H142" s="275">
        <v>66</v>
      </c>
      <c r="I142" s="275">
        <v>16</v>
      </c>
      <c r="J142" s="275">
        <v>3</v>
      </c>
      <c r="K142" s="276">
        <v>22</v>
      </c>
      <c r="L142" s="276">
        <v>320</v>
      </c>
      <c r="M142" s="276">
        <v>12</v>
      </c>
      <c r="N142" s="276">
        <v>322</v>
      </c>
    </row>
    <row r="143" spans="1:14" ht="16" customHeight="1" x14ac:dyDescent="0.2">
      <c r="A143" s="273" t="s">
        <v>554</v>
      </c>
      <c r="B143" s="279" t="s">
        <v>538</v>
      </c>
      <c r="C143" s="274">
        <v>545</v>
      </c>
      <c r="D143" s="275">
        <v>478</v>
      </c>
      <c r="E143" s="275">
        <v>46</v>
      </c>
      <c r="F143" s="275">
        <v>15</v>
      </c>
      <c r="G143" s="275">
        <v>1</v>
      </c>
      <c r="H143" s="275">
        <v>3</v>
      </c>
      <c r="I143" s="278">
        <v>0</v>
      </c>
      <c r="J143" s="275">
        <v>2</v>
      </c>
      <c r="K143" s="276">
        <v>128</v>
      </c>
      <c r="L143" s="276">
        <v>42</v>
      </c>
      <c r="M143" s="276">
        <v>105</v>
      </c>
      <c r="N143" s="276">
        <v>101</v>
      </c>
    </row>
    <row r="144" spans="1:14" ht="16" customHeight="1" x14ac:dyDescent="0.2">
      <c r="A144" s="273" t="s">
        <v>554</v>
      </c>
      <c r="B144" s="280" t="s">
        <v>539</v>
      </c>
      <c r="C144" s="274">
        <v>357</v>
      </c>
      <c r="D144" s="275">
        <v>323</v>
      </c>
      <c r="E144" s="275">
        <v>23</v>
      </c>
      <c r="F144" s="275">
        <v>7</v>
      </c>
      <c r="G144" s="275">
        <v>2</v>
      </c>
      <c r="H144" s="275">
        <v>1</v>
      </c>
      <c r="I144" s="278">
        <v>0</v>
      </c>
      <c r="J144" s="275">
        <v>1</v>
      </c>
      <c r="K144" s="276">
        <v>95</v>
      </c>
      <c r="L144" s="276">
        <v>23</v>
      </c>
      <c r="M144" s="276">
        <v>71</v>
      </c>
      <c r="N144" s="276">
        <v>59</v>
      </c>
    </row>
    <row r="145" spans="1:14" ht="16" customHeight="1" x14ac:dyDescent="0.2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</row>
    <row r="146" spans="1:14" ht="5" customHeight="1" x14ac:dyDescent="0.2">
      <c r="A146" s="273" t="s">
        <v>555</v>
      </c>
      <c r="B146" s="277" t="s">
        <v>537</v>
      </c>
      <c r="C146" s="274">
        <v>810</v>
      </c>
      <c r="D146" s="275">
        <v>472</v>
      </c>
      <c r="E146" s="275">
        <v>117</v>
      </c>
      <c r="F146" s="275">
        <v>146</v>
      </c>
      <c r="G146" s="275">
        <v>15</v>
      </c>
      <c r="H146" s="275">
        <v>47</v>
      </c>
      <c r="I146" s="275">
        <v>9</v>
      </c>
      <c r="J146" s="275">
        <v>4</v>
      </c>
      <c r="K146" s="276">
        <v>19</v>
      </c>
      <c r="L146" s="276">
        <v>284</v>
      </c>
      <c r="M146" s="276">
        <v>20</v>
      </c>
      <c r="N146" s="276">
        <v>289</v>
      </c>
    </row>
    <row r="147" spans="1:14" ht="16" customHeight="1" x14ac:dyDescent="0.2">
      <c r="A147" s="273" t="s">
        <v>555</v>
      </c>
      <c r="B147" s="279" t="s">
        <v>538</v>
      </c>
      <c r="C147" s="274">
        <v>559</v>
      </c>
      <c r="D147" s="275">
        <v>487</v>
      </c>
      <c r="E147" s="275">
        <v>53</v>
      </c>
      <c r="F147" s="275">
        <v>13</v>
      </c>
      <c r="G147" s="275">
        <v>2</v>
      </c>
      <c r="H147" s="275">
        <v>3</v>
      </c>
      <c r="I147" s="275">
        <v>1</v>
      </c>
      <c r="J147" s="278">
        <v>0</v>
      </c>
      <c r="K147" s="276">
        <v>111</v>
      </c>
      <c r="L147" s="276">
        <v>57</v>
      </c>
      <c r="M147" s="276">
        <v>122</v>
      </c>
      <c r="N147" s="276">
        <v>100</v>
      </c>
    </row>
    <row r="148" spans="1:14" ht="16" customHeight="1" x14ac:dyDescent="0.2">
      <c r="A148" s="273" t="s">
        <v>555</v>
      </c>
      <c r="B148" s="280" t="s">
        <v>539</v>
      </c>
      <c r="C148" s="274">
        <v>287</v>
      </c>
      <c r="D148" s="275">
        <v>258</v>
      </c>
      <c r="E148" s="275">
        <v>24</v>
      </c>
      <c r="F148" s="275">
        <v>2</v>
      </c>
      <c r="G148" s="275">
        <v>1</v>
      </c>
      <c r="H148" s="275">
        <v>2</v>
      </c>
      <c r="I148" s="278">
        <v>0</v>
      </c>
      <c r="J148" s="278">
        <v>0</v>
      </c>
      <c r="K148" s="276">
        <v>81</v>
      </c>
      <c r="L148" s="276">
        <v>16</v>
      </c>
      <c r="M148" s="276">
        <v>49</v>
      </c>
      <c r="N148" s="276">
        <v>44</v>
      </c>
    </row>
    <row r="149" spans="1:14" ht="16" customHeight="1" x14ac:dyDescent="0.2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</row>
    <row r="150" spans="1:14" ht="5" customHeight="1" x14ac:dyDescent="0.2">
      <c r="A150" s="273" t="s">
        <v>484</v>
      </c>
      <c r="B150" s="277" t="s">
        <v>537</v>
      </c>
      <c r="C150" s="274">
        <v>731</v>
      </c>
      <c r="D150" s="275">
        <v>420</v>
      </c>
      <c r="E150" s="275">
        <v>91</v>
      </c>
      <c r="F150" s="275">
        <v>141</v>
      </c>
      <c r="G150" s="275">
        <v>10</v>
      </c>
      <c r="H150" s="275">
        <v>51</v>
      </c>
      <c r="I150" s="275">
        <v>15</v>
      </c>
      <c r="J150" s="275">
        <v>3</v>
      </c>
      <c r="K150" s="276">
        <v>20</v>
      </c>
      <c r="L150" s="276">
        <v>244</v>
      </c>
      <c r="M150" s="276">
        <v>23</v>
      </c>
      <c r="N150" s="276">
        <v>285</v>
      </c>
    </row>
    <row r="151" spans="1:14" x14ac:dyDescent="0.2">
      <c r="A151" s="273" t="s">
        <v>484</v>
      </c>
      <c r="B151" s="279" t="s">
        <v>538</v>
      </c>
      <c r="C151" s="274">
        <v>568</v>
      </c>
      <c r="D151" s="275">
        <v>497</v>
      </c>
      <c r="E151" s="275">
        <v>54</v>
      </c>
      <c r="F151" s="275">
        <v>13</v>
      </c>
      <c r="G151" s="275">
        <v>2</v>
      </c>
      <c r="H151" s="275">
        <v>2</v>
      </c>
      <c r="I151" s="278">
        <v>0</v>
      </c>
      <c r="J151" s="278">
        <v>0</v>
      </c>
      <c r="K151" s="276">
        <v>115</v>
      </c>
      <c r="L151" s="276">
        <v>57</v>
      </c>
      <c r="M151" s="276">
        <v>134</v>
      </c>
      <c r="N151" s="276">
        <v>115</v>
      </c>
    </row>
    <row r="152" spans="1:14" x14ac:dyDescent="0.2">
      <c r="A152" s="273" t="s">
        <v>484</v>
      </c>
      <c r="B152" s="280" t="s">
        <v>539</v>
      </c>
      <c r="C152" s="274">
        <v>293</v>
      </c>
      <c r="D152" s="275">
        <v>255</v>
      </c>
      <c r="E152" s="275">
        <v>30</v>
      </c>
      <c r="F152" s="275">
        <v>4</v>
      </c>
      <c r="G152" s="278">
        <v>3</v>
      </c>
      <c r="H152" s="275">
        <v>1</v>
      </c>
      <c r="I152" s="278">
        <v>0</v>
      </c>
      <c r="J152" s="278">
        <v>0</v>
      </c>
      <c r="K152" s="276">
        <v>74</v>
      </c>
      <c r="L152" s="276">
        <v>27</v>
      </c>
      <c r="M152" s="276">
        <v>62</v>
      </c>
      <c r="N152" s="276">
        <v>68</v>
      </c>
    </row>
    <row r="153" spans="1:14" x14ac:dyDescent="0.2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</row>
    <row r="154" spans="1:14" x14ac:dyDescent="0.2">
      <c r="A154" s="314" t="s">
        <v>556</v>
      </c>
      <c r="B154" s="315" t="s">
        <v>537</v>
      </c>
      <c r="C154" s="316">
        <v>115</v>
      </c>
      <c r="D154" s="317">
        <v>70</v>
      </c>
      <c r="E154" s="317">
        <v>11</v>
      </c>
      <c r="F154" s="317">
        <v>20</v>
      </c>
      <c r="G154" s="317">
        <v>1</v>
      </c>
      <c r="H154" s="317">
        <v>10</v>
      </c>
      <c r="I154" s="317">
        <v>2</v>
      </c>
      <c r="J154" s="317">
        <v>1</v>
      </c>
      <c r="K154" s="318">
        <v>2</v>
      </c>
      <c r="L154" s="318">
        <v>39</v>
      </c>
      <c r="M154" s="318">
        <v>2</v>
      </c>
      <c r="N154" s="318">
        <v>38</v>
      </c>
    </row>
    <row r="155" spans="1:14" x14ac:dyDescent="0.2">
      <c r="A155" s="314" t="s">
        <v>556</v>
      </c>
      <c r="B155" s="319" t="s">
        <v>538</v>
      </c>
      <c r="C155" s="316">
        <v>95</v>
      </c>
      <c r="D155" s="317">
        <v>81</v>
      </c>
      <c r="E155" s="317">
        <v>10</v>
      </c>
      <c r="F155" s="317">
        <v>2</v>
      </c>
      <c r="G155" s="317">
        <v>1</v>
      </c>
      <c r="H155" s="317">
        <v>1</v>
      </c>
      <c r="I155" s="320">
        <v>0</v>
      </c>
      <c r="J155" s="320">
        <v>0</v>
      </c>
      <c r="K155" s="318">
        <v>22</v>
      </c>
      <c r="L155" s="318">
        <v>9</v>
      </c>
      <c r="M155" s="318">
        <v>22</v>
      </c>
      <c r="N155" s="318">
        <v>20</v>
      </c>
    </row>
    <row r="156" spans="1:14" x14ac:dyDescent="0.2">
      <c r="A156" s="314" t="s">
        <v>556</v>
      </c>
      <c r="B156" s="321" t="s">
        <v>539</v>
      </c>
      <c r="C156" s="316">
        <v>58</v>
      </c>
      <c r="D156" s="317">
        <v>51</v>
      </c>
      <c r="E156" s="317">
        <v>3</v>
      </c>
      <c r="F156" s="317">
        <v>4</v>
      </c>
      <c r="G156" s="320">
        <v>0</v>
      </c>
      <c r="H156" s="317">
        <v>0</v>
      </c>
      <c r="I156" s="320">
        <v>0</v>
      </c>
      <c r="J156" s="320">
        <v>0</v>
      </c>
      <c r="K156" s="318">
        <v>12</v>
      </c>
      <c r="L156" s="318">
        <v>4</v>
      </c>
      <c r="M156" s="318">
        <v>14</v>
      </c>
      <c r="N156" s="318">
        <v>7</v>
      </c>
    </row>
  </sheetData>
  <mergeCells count="4">
    <mergeCell ref="A4:N4"/>
    <mergeCell ref="A2:N2"/>
    <mergeCell ref="A81:N8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dcterms:created xsi:type="dcterms:W3CDTF">2026-06-12T08:03:41Z</dcterms:created>
  <dcterms:modified xsi:type="dcterms:W3CDTF">2026-07-06T15:18:10Z</dcterms:modified>
</cp:coreProperties>
</file>